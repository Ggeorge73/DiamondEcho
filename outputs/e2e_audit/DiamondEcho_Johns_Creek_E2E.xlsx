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Executive Summary" sheetId="2" r:id="rId2"/>
    <sheet name="Inputs" sheetId="3" r:id="rId3"/>
    <sheet name="Monthly Cash Flow" sheetId="4" r:id="rId4"/>
    <sheet name="Annual Cash Flow" sheetId="5" r:id="rId5"/>
    <sheet name="Checks &amp; Warnings" sheetId="6" r:id="rId6"/>
  </sheet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%;[Red](0.0%);-"/>
    <numFmt numFmtId="166" formatCode="0.00x;[Red](0.00x);-"/>
    <numFmt numFmtId="167" formatCode="$0.00;[Red]($0.00);-"/>
  </numFmts>
  <fonts count="5">
    <font>
      <sz val="10"/>
      <name val="Arial"/>
    </font>
    <font>
      <b/>
      <color rgb="FFFFFFFF"/>
      <sz val="18"/>
      <name val="Arial"/>
    </font>
    <font>
      <b/>
      <color rgb="FFFFFFFF"/>
      <sz val="10"/>
      <name val="Arial"/>
    </font>
    <font>
      <color rgb="FF0000FF"/>
      <sz val="10"/>
      <name val="Arial"/>
    </font>
    <font>
      <b/>
      <color rgb="FF10281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0281F"/>
        <bgColor indexed="64"/>
      </patternFill>
    </fill>
    <fill>
      <patternFill patternType="solid">
        <fgColor rgb="FFE9DF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5C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3" borderId="1" xfId="0" applyFont="1" applyFill="1" applyBorder="1"/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164" fontId="4" fillId="3" borderId="0" xfId="0" applyFont="1" applyFill="1" applyNumberFormat="1"/>
    <xf numFmtId="165" fontId="4" fillId="3" borderId="0" xfId="0" applyFont="1" applyFill="1" applyNumberFormat="1"/>
    <xf numFmtId="166" fontId="4" fillId="3" borderId="0" xfId="0" applyFont="1" applyFill="1" applyNumberFormat="1"/>
    <xf numFmtId="0" fontId="4" fillId="5" borderId="0" xfId="0" applyFont="1" applyFill="1"/>
    <xf numFmtId="167" fontId="0" fillId="0" borderId="0" xfId="0" applyNumberFormat="1"/>
    <xf numFmtId="0" fontId="0" fillId="4" borderId="0" xfId="0" applyFill="1">
      <alignment wrapText="1" vertical="top"/>
    </xf>
    <xf numFmtId="0" fontId="0" fillId="0" borderId="0" xfId="0">
      <alignment wrapText="1" vertical="top"/>
    </xf>
    <xf numFmtId="164" fontId="3" fillId="4" borderId="0" xfId="0" applyFont="1" applyFill="1" applyNumberFormat="1"/>
    <xf numFmtId="165" fontId="3" fillId="4" borderId="0" xfId="0" applyFont="1" applyFill="1" applyNumberFormat="1"/>
    <xf numFmtId="0" fontId="3" fillId="4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92" customWidth="1"/>
    <col min="3" max="3" width="14" customWidth="1"/>
    <col min="4" max="4" width="14" customWidth="1"/>
  </cols>
  <sheetData>
    <row r="1" ht="30" customHeight="1">
      <c r="A1" t="inlineStr" s="1">
        <is>
          <t xml:space="preserve">DIAMOND ECHO</t>
        </is>
      </c>
    </row>
    <row r="2" ht="23" customHeight="1">
      <c r="A2" t="inlineStr" s="2">
        <is>
          <t xml:space="preserve">Deal-Specific Institutional Real Estate Analysis</t>
        </is>
      </c>
    </row>
    <row r="3"/>
    <row r="4">
      <c r="A4" t="inlineStr" s="3">
        <is>
          <t xml:space="preserve">Property</t>
        </is>
      </c>
      <c r="B4" t="inlineStr">
        <is>
          <t xml:space="preserve">11085 State Bridge Rd, Johns Creek, GA 30022</t>
        </is>
      </c>
    </row>
    <row r="5">
      <c r="A5" t="inlineStr" s="3">
        <is>
          <t xml:space="preserve">Strategy</t>
        </is>
      </c>
      <c r="B5" t="inlineStr">
        <is>
          <t xml:space="preserve">land</t>
        </is>
      </c>
    </row>
    <row r="6">
      <c r="A6" t="inlineStr" s="3">
        <is>
          <t xml:space="preserve">Formula version</t>
        </is>
      </c>
      <c r="B6" t="inlineStr">
        <is>
          <t xml:space="preserve">diamond-underwriting-web-1.1.0</t>
        </is>
      </c>
    </row>
    <row r="7">
      <c r="A7" t="inlineStr" s="3">
        <is>
          <t xml:space="preserve">Generated</t>
        </is>
      </c>
      <c r="B7" t="inlineStr">
        <is>
          <t xml:space="preserve">2026-07-10T21:22:03.529Z</t>
        </is>
      </c>
    </row>
    <row r="8">
      <c r="A8" t="inlineStr" s="3">
        <is>
          <t xml:space="preserve">Model status</t>
        </is>
      </c>
      <c r="B8" t="inlineStr">
        <is>
          <t xml:space="preserve">Review the Checks &amp; Warnings sheet before reliance.</t>
        </is>
      </c>
    </row>
    <row r="9"/>
    <row r="10" ht="21" customHeight="1">
      <c r="A10" t="inlineStr" s="2">
        <is>
          <t xml:space="preserve">HOW TO USE</t>
        </is>
      </c>
    </row>
    <row r="11">
      <c r="A11" t="inlineStr">
        <is>
          <t xml:space="preserve">1</t>
        </is>
      </c>
      <c r="B11" t="inlineStr">
        <is>
          <t xml:space="preserve">This workbook contains the exact assumptions and cash flows submitted through the Deal Analysis page.</t>
        </is>
      </c>
    </row>
    <row r="12">
      <c r="A12" t="inlineStr">
        <is>
          <t xml:space="preserve">2</t>
        </is>
      </c>
      <c r="B12" t="inlineStr">
        <is>
          <t xml:space="preserve">Blue-font inputs document the submitted assumptions; calculation outputs reconcile to the website result.</t>
        </is>
      </c>
    </row>
    <row r="13">
      <c r="A13" t="inlineStr">
        <is>
          <t xml:space="preserve">3</t>
        </is>
      </c>
      <c r="B13" t="inlineStr">
        <is>
          <t xml:space="preserve">IRR is intentionally shown as undefined when cash flows do not include both an outflow and a positive distribution.</t>
        </is>
      </c>
    </row>
    <row r="14">
      <c r="A14" t="inlineStr">
        <is>
          <t xml:space="preserve">4</t>
        </is>
      </c>
      <c r="B14" t="inlineStr">
        <is>
          <t xml:space="preserve">This is an illustrative underwriting tool, not an appraisal, tax opinion, credit decision, or investment recommendation.</t>
        </is>
      </c>
    </row>
  </sheetData>
  <mergeCells count="3">
    <mergeCell ref="A1:D1"/>
    <mergeCell ref="A2:D2"/>
    <mergeCell ref="A10:D10"/>
  </mergeCells>
  <pageMargins left="0.4" right="0.4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1" customWidth="1"/>
    <col min="2" max="2" width="22" customWidth="1"/>
    <col min="3" max="3" width="19" customWidth="1"/>
    <col min="4" max="4" width="72" customWidth="1"/>
  </cols>
  <sheetData>
    <row r="1" ht="30" customHeight="1">
      <c r="A1" t="inlineStr" s="1">
        <is>
          <t xml:space="preserve">DIAMOND ECHO — DEAL-SPECIFIC ANALYSIS</t>
        </is>
      </c>
    </row>
    <row r="2" ht="23" customHeight="1">
      <c r="A2" t="inlineStr" s="2">
        <is>
          <t xml:space="preserve">11085 State Bridge Rd, Johns Creek, GA 30022 · LAND · generated 2026-07-10</t>
        </is>
      </c>
    </row>
    <row r="3"/>
    <row r="4">
      <c r="A4" t="inlineStr" s="3">
        <is>
          <t xml:space="preserve">Investment Committee Metric</t>
        </is>
      </c>
      <c r="B4" t="inlineStr" s="3">
        <is>
          <t xml:space="preserve">Result</t>
        </is>
      </c>
      <c r="C4" t="inlineStr" s="3">
        <is>
          <t xml:space="preserve">Unit</t>
        </is>
      </c>
      <c r="D4" t="inlineStr" s="3">
        <is>
          <t xml:space="preserve">Method / Formula</t>
        </is>
      </c>
    </row>
    <row r="5">
      <c r="A5" t="inlineStr">
        <is>
          <t xml:space="preserve">Development profit</t>
        </is>
      </c>
      <c r="B5" s="9">
        <v>835001</v>
      </c>
      <c r="C5" t="inlineStr">
        <is>
          <t xml:space="preserve">USD</t>
        </is>
      </c>
      <c r="D5" t="inlineStr" s="15">
        <is>
          <t xml:space="preserve">net disposition proceeds - equity contributions - carrying and financing costs</t>
        </is>
      </c>
    </row>
    <row r="6">
      <c r="A6" t="inlineStr">
        <is>
          <t xml:space="preserve">Development ROI</t>
        </is>
      </c>
      <c r="B6" s="10">
        <v>0.24290945</v>
      </c>
      <c r="C6" t="inlineStr">
        <is>
          <t xml:space="preserve">%</t>
        </is>
      </c>
      <c r="D6" t="inlineStr" s="15">
        <is>
          <t xml:space="preserve">development profit / total equity contributions</t>
        </is>
      </c>
    </row>
    <row r="7">
      <c r="A7" t="inlineStr">
        <is>
          <t xml:space="preserve">Projected IRR</t>
        </is>
      </c>
      <c r="B7" s="10">
        <f>(1+IRR('Monthly Cash Flow'!$H$5:$H$29))^12-1</f>
        <v>0.11581216</v>
      </c>
      <c r="C7" t="inlineStr">
        <is>
          <t xml:space="preserve">%</t>
        </is>
      </c>
      <c r="D7" t="inlineStr" s="15">
        <is>
          <t xml:space="preserve">annualized monthly IRR where NPV(cash flows) = 0</t>
        </is>
      </c>
    </row>
    <row r="8">
      <c r="A8" t="inlineStr">
        <is>
          <t xml:space="preserve">Net present value</t>
        </is>
      </c>
      <c r="B8" s="9">
        <f>NPV((1+'Inputs'!$B$25)^(1/12)-1,'Monthly Cash Flow'!$H$6:$H$29)+'Monthly Cash Flow'!$H$5</f>
        <v>98647.43205422</v>
      </c>
      <c r="C8" t="inlineStr">
        <is>
          <t xml:space="preserve">USD</t>
        </is>
      </c>
      <c r="D8" t="inlineStr" s="15">
        <is>
          <t xml:space="preserve">sum(monthly cash flow / (1 + annual discount rate)^(month/12))</t>
        </is>
      </c>
    </row>
    <row r="9">
      <c r="A9" t="inlineStr">
        <is>
          <t xml:space="preserve">Development margin</t>
        </is>
      </c>
      <c r="B9" s="10">
        <v>0.18555578</v>
      </c>
      <c r="C9" t="inlineStr">
        <is>
          <t xml:space="preserve">%</t>
        </is>
      </c>
      <c r="D9" t="inlineStr" s="15">
        <is>
          <t xml:space="preserve">development profit / gross terminal value</t>
        </is>
      </c>
    </row>
    <row r="10" ht="28" customHeight="1">
      <c r="A10" t="inlineStr">
        <is>
          <t xml:space="preserve">Total development cost</t>
        </is>
      </c>
      <c r="B10" s="9">
        <v>3379999</v>
      </c>
      <c r="C10" t="inlineStr">
        <is>
          <t xml:space="preserve">USD</t>
        </is>
      </c>
      <c r="D10" t="inlineStr" s="15">
        <is>
          <t xml:space="preserve">land acquisition + transaction + site + hard + soft + entitlement + environmental + developer fee + contingency</t>
        </is>
      </c>
    </row>
    <row r="11" ht="28" customHeight="1">
      <c r="A11" t="inlineStr">
        <is>
          <t xml:space="preserve">Residual land value</t>
        </is>
      </c>
      <c r="B11" s="9">
        <v>980000</v>
      </c>
      <c r="C11" t="inlineStr">
        <is>
          <t xml:space="preserve">USD</t>
        </is>
      </c>
      <c r="D11" t="inlineStr" s="15">
        <is>
          <t xml:space="preserve">net terminal value after target margin less all non-land, carrying, and financing costs</t>
        </is>
      </c>
    </row>
    <row r="12">
      <c r="A12" t="inlineStr">
        <is>
          <t xml:space="preserve">Break-even terminal value</t>
        </is>
      </c>
      <c r="B12" s="9">
        <v>3621051.57894737</v>
      </c>
      <c r="C12" t="inlineStr">
        <is>
          <t xml:space="preserve">USD</t>
        </is>
      </c>
      <c r="D12" t="inlineStr" s="15">
        <is>
          <t xml:space="preserve">total economic cost / (1 - selling cost rate)</t>
        </is>
      </c>
    </row>
    <row r="13">
      <c r="A13" t="inlineStr">
        <is>
          <t xml:space="preserve">Cost per acre</t>
        </is>
      </c>
      <c r="B13" s="9">
        <v>1351999.6</v>
      </c>
      <c r="C13" t="inlineStr">
        <is>
          <t xml:space="preserve">USD/acre</t>
        </is>
      </c>
      <c r="D13" t="inlineStr" s="15">
        <is>
          <t xml:space="preserve">total development cost / site acres</t>
        </is>
      </c>
    </row>
    <row r="14">
      <c r="A14" t="inlineStr">
        <is>
          <t xml:space="preserve">Cost per planned unit</t>
        </is>
      </c>
      <c r="B14" s="9">
        <v>1126666.33333333</v>
      </c>
      <c r="C14" t="inlineStr">
        <is>
          <t xml:space="preserve">USD/unit</t>
        </is>
      </c>
      <c r="D14" t="inlineStr" s="15">
        <is>
          <t xml:space="preserve">total development cost / planned units</t>
        </is>
      </c>
    </row>
    <row r="15">
      <c r="A15" t="inlineStr">
        <is>
          <t xml:space="preserve">Cost per buildable square foot</t>
        </is>
      </c>
      <c r="B15" s="9">
        <v>225.33326667</v>
      </c>
      <c r="C15" t="inlineStr">
        <is>
          <t xml:space="preserve">USD/sf</t>
        </is>
      </c>
      <c r="D15" t="inlineStr" s="15">
        <is>
          <t xml:space="preserve">total development cost / buildable square feet</t>
        </is>
      </c>
    </row>
    <row r="16">
      <c r="A16" t="inlineStr">
        <is>
          <t xml:space="preserve">Loan-to-cost</t>
        </is>
      </c>
      <c r="B16" s="10">
        <v>0</v>
      </c>
      <c r="C16" t="inlineStr">
        <is>
          <t xml:space="preserve">%</t>
        </is>
      </c>
      <c r="D16" t="inlineStr" s="15">
        <is>
          <t xml:space="preserve">total initial debt / total initial project cost</t>
        </is>
      </c>
    </row>
    <row r="17"/>
    <row r="18" ht="21" customHeight="1">
      <c r="A18" t="inlineStr" s="2">
        <is>
          <t xml:space="preserve">MODEL INTERPRETATION</t>
        </is>
      </c>
    </row>
    <row r="19" ht="32" customHeight="1">
      <c r="A19" t="inlineStr" s="14">
        <is>
          <t xml:space="preserve">Review</t>
        </is>
      </c>
      <c r="B19" t="inlineStr" s="14">
        <is>
          <t xml:space="preserve">Calculated securely in this browser; no live analysis service was required.</t>
        </is>
      </c>
    </row>
    <row r="20" ht="32" customHeight="1">
      <c r="A20" t="inlineStr" s="14">
        <is>
          <t xml:space="preserve">Review</t>
        </is>
      </c>
      <c r="B20" t="inlineStr" s="14">
        <is>
          <t xml:space="preserve">Land-development results depend on zoning, entitlement, utility, environmental, geotechnical, civil, market, and construction assumptions that require professional verification.</t>
        </is>
      </c>
    </row>
    <row r="21" ht="32" customHeight="1">
      <c r="A21" t="inlineStr" s="14">
        <is>
          <t xml:space="preserve">Review</t>
        </is>
      </c>
      <c r="B21" t="inlineStr" s="14">
        <is>
          <t xml:space="preserve">The modeled residual land value is below the proposed purchase price at the selected target margin.</t>
        </is>
      </c>
    </row>
  </sheetData>
  <mergeCells count="6">
    <mergeCell ref="A1:D1"/>
    <mergeCell ref="A2:D2"/>
    <mergeCell ref="A18:D18"/>
    <mergeCell ref="B19:D19"/>
    <mergeCell ref="B20:D20"/>
    <mergeCell ref="B21:D21"/>
  </mergeCells>
  <pageMargins left="0.4" right="0.4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7" customWidth="1"/>
    <col min="2" max="2" width="32" customWidth="1"/>
    <col min="3" max="3" width="15" customWidth="1"/>
    <col min="4" max="4" width="65" customWidth="1"/>
  </cols>
  <sheetData>
    <row r="1" ht="30" customHeight="1">
      <c r="A1" t="inlineStr" s="1">
        <is>
          <t xml:space="preserve">Deal Inputs</t>
        </is>
      </c>
    </row>
    <row r="2" ht="23" customHeight="1">
      <c r="A2" t="inlineStr" s="2">
        <is>
          <t xml:space="preserve">Blue-font cells are the exact assumptions submitted from Deal Analysis.</t>
        </is>
      </c>
    </row>
    <row r="3"/>
    <row r="4" ht="21" customHeight="1">
      <c r="A4" t="inlineStr" s="2">
        <is>
          <t xml:space="preserve">PROPERTY &amp; ACQUISITION</t>
        </is>
      </c>
    </row>
    <row r="5">
      <c r="A5" t="inlineStr">
        <is>
          <t xml:space="preserve">Property address</t>
        </is>
      </c>
      <c r="B5" t="inlineStr" s="4">
        <is>
          <t xml:space="preserve">11085 State Bridge Rd, Johns Creek, GA 30022</t>
        </is>
      </c>
      <c r="C5" t="inlineStr">
        <is>
          <t xml:space="preserve"/>
        </is>
      </c>
      <c r="D5" t="inlineStr">
        <is>
          <t xml:space="preserve"/>
        </is>
      </c>
    </row>
    <row r="6">
      <c r="A6" t="inlineStr">
        <is>
          <t xml:space="preserve">Strategy</t>
        </is>
      </c>
      <c r="B6" t="inlineStr" s="4">
        <is>
          <t xml:space="preserve">land</t>
        </is>
      </c>
      <c r="C6" t="inlineStr">
        <is>
          <t xml:space="preserve"/>
        </is>
      </c>
      <c r="D6" t="inlineStr">
        <is>
          <t xml:space="preserve"/>
        </is>
      </c>
    </row>
    <row r="7">
      <c r="A7" t="inlineStr">
        <is>
          <t xml:space="preserve">Asset type</t>
        </is>
      </c>
      <c r="B7" t="inlineStr" s="4">
        <is>
          <t xml:space="preserve">land</t>
        </is>
      </c>
      <c r="C7" t="inlineStr">
        <is>
          <t xml:space="preserve"/>
        </is>
      </c>
      <c r="D7" t="inlineStr">
        <is>
          <t xml:space="preserve"/>
        </is>
      </c>
    </row>
    <row r="8">
      <c r="A8" t="inlineStr">
        <is>
          <t xml:space="preserve">Market</t>
        </is>
      </c>
      <c r="B8" t="inlineStr" s="4">
        <is>
          <t xml:space="preserve">Johns Creek, GA</t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Planned units / lots</t>
        </is>
      </c>
      <c r="B9" s="4">
        <v>3</v>
      </c>
      <c r="C9" t="inlineStr">
        <is>
          <t xml:space="preserve">count</t>
        </is>
      </c>
      <c r="D9" t="inlineStr">
        <is>
          <t xml:space="preserve"/>
        </is>
      </c>
    </row>
    <row r="10">
      <c r="A10" t="inlineStr">
        <is>
          <t xml:space="preserve">Buildable square feet</t>
        </is>
      </c>
      <c r="B10" s="4">
        <v>15000</v>
      </c>
      <c r="C10" t="inlineStr">
        <is>
          <t xml:space="preserve">sf</t>
        </is>
      </c>
      <c r="D10" t="inlineStr">
        <is>
          <t xml:space="preserve"/>
        </is>
      </c>
    </row>
    <row r="11">
      <c r="A11" t="inlineStr">
        <is>
          <t xml:space="preserve">Purchase price</t>
        </is>
      </c>
      <c r="B11" s="16">
        <v>999999</v>
      </c>
      <c r="C11" t="inlineStr">
        <is>
          <t xml:space="preserve">USD</t>
        </is>
      </c>
      <c r="D11" t="inlineStr">
        <is>
          <t xml:space="preserve"/>
        </is>
      </c>
    </row>
    <row r="12">
      <c r="A12" t="inlineStr">
        <is>
          <t xml:space="preserve">Closing costs</t>
        </is>
      </c>
      <c r="B12" s="16">
        <v>0</v>
      </c>
      <c r="C12" t="inlineStr">
        <is>
          <t xml:space="preserve">USD</t>
        </is>
      </c>
      <c r="D12" t="inlineStr">
        <is>
          <t xml:space="preserve"/>
        </is>
      </c>
    </row>
    <row r="13">
      <c r="A13" t="inlineStr">
        <is>
          <t xml:space="preserve">Due diligence costs</t>
        </is>
      </c>
      <c r="B13" s="16">
        <v>0</v>
      </c>
      <c r="C13" t="inlineStr">
        <is>
          <t xml:space="preserve">USD</t>
        </is>
      </c>
      <c r="D13" t="inlineStr">
        <is>
          <t xml:space="preserve"/>
        </is>
      </c>
    </row>
    <row r="14">
      <c r="A14" t="inlineStr">
        <is>
          <t xml:space="preserve">Initial capital work</t>
        </is>
      </c>
      <c r="B14" s="16">
        <v>0</v>
      </c>
      <c r="C14" t="inlineStr">
        <is>
          <t xml:space="preserve">USD</t>
        </is>
      </c>
      <c r="D14" t="inlineStr">
        <is>
          <t xml:space="preserve"/>
        </is>
      </c>
    </row>
    <row r="15">
      <c r="A15" t="inlineStr">
        <is>
          <t xml:space="preserve">Hold period</t>
        </is>
      </c>
      <c r="B15" s="4">
        <v>24</v>
      </c>
      <c r="C15" t="inlineStr">
        <is>
          <t xml:space="preserve">months</t>
        </is>
      </c>
      <c r="D15" t="inlineStr">
        <is>
          <t xml:space="preserve"/>
        </is>
      </c>
    </row>
    <row r="16"/>
    <row r="17" ht="21" customHeight="1">
      <c r="A17" t="inlineStr" s="2">
        <is>
          <t xml:space="preserve">DEBT &amp; DISCOUNTING</t>
        </is>
      </c>
    </row>
    <row r="18">
      <c r="A18" t="inlineStr">
        <is>
          <t xml:space="preserve">Initial loan amount</t>
        </is>
      </c>
      <c r="B18" s="16">
        <v>0</v>
      </c>
      <c r="C18" t="inlineStr">
        <is>
          <t xml:space="preserve">USD</t>
        </is>
      </c>
      <c r="D18" t="inlineStr">
        <is>
          <t xml:space="preserve"/>
        </is>
      </c>
    </row>
    <row r="19">
      <c r="A19" t="inlineStr">
        <is>
          <t xml:space="preserve">Annual interest rate</t>
        </is>
      </c>
      <c r="B19" s="17">
        <v>0</v>
      </c>
      <c r="C19" t="inlineStr">
        <is>
          <t xml:space="preserve">%</t>
        </is>
      </c>
      <c r="D19" t="inlineStr">
        <is>
          <t xml:space="preserve"/>
        </is>
      </c>
    </row>
    <row r="20">
      <c r="A20" t="inlineStr">
        <is>
          <t xml:space="preserve">Amortization</t>
        </is>
      </c>
      <c r="B20" s="4">
        <v>0</v>
      </c>
      <c r="C20" t="inlineStr">
        <is>
          <t xml:space="preserve">years</t>
        </is>
      </c>
      <c r="D20" t="inlineStr">
        <is>
          <t xml:space="preserve"/>
        </is>
      </c>
    </row>
    <row r="21">
      <c r="A21" t="inlineStr">
        <is>
          <t xml:space="preserve">Interest-only period</t>
        </is>
      </c>
      <c r="B21" s="4">
        <v>0</v>
      </c>
      <c r="C21" t="inlineStr">
        <is>
          <t xml:space="preserve">months</t>
        </is>
      </c>
      <c r="D21" t="inlineStr">
        <is>
          <t xml:space="preserve"/>
        </is>
      </c>
    </row>
    <row r="22">
      <c r="A22" t="inlineStr">
        <is>
          <t xml:space="preserve">Loan term</t>
        </is>
      </c>
      <c r="B22" s="4">
        <v>0</v>
      </c>
      <c r="C22" t="inlineStr">
        <is>
          <t xml:space="preserve">months</t>
        </is>
      </c>
      <c r="D22" t="inlineStr">
        <is>
          <t xml:space="preserve"/>
        </is>
      </c>
    </row>
    <row r="23">
      <c r="A23" t="inlineStr">
        <is>
          <t xml:space="preserve">Origination fee</t>
        </is>
      </c>
      <c r="B23" s="17">
        <v>0</v>
      </c>
      <c r="C23" t="inlineStr">
        <is>
          <t xml:space="preserve">%</t>
        </is>
      </c>
      <c r="D23" t="inlineStr">
        <is>
          <t xml:space="preserve"/>
        </is>
      </c>
    </row>
    <row r="24">
      <c r="A24" t="inlineStr">
        <is>
          <t xml:space="preserve">Selling costs</t>
        </is>
      </c>
      <c r="B24" s="17">
        <v>0.05</v>
      </c>
      <c r="C24" t="inlineStr">
        <is>
          <t xml:space="preserve">%</t>
        </is>
      </c>
      <c r="D24" t="inlineStr">
        <is>
          <t xml:space="preserve"/>
        </is>
      </c>
    </row>
    <row r="25">
      <c r="A25" t="inlineStr">
        <is>
          <t xml:space="preserve">Annual discount rate</t>
        </is>
      </c>
      <c r="B25" s="17">
        <v>0.1</v>
      </c>
      <c r="C25" t="inlineStr">
        <is>
          <t xml:space="preserve">%</t>
        </is>
      </c>
      <c r="D25" t="inlineStr">
        <is>
          <t xml:space="preserve"/>
        </is>
      </c>
    </row>
    <row r="26"/>
    <row r="27" ht="21" customHeight="1">
      <c r="A27" t="inlineStr" s="2">
        <is>
          <t xml:space="preserve">LAND DEVELOPMENT</t>
        </is>
      </c>
    </row>
    <row r="28">
      <c r="A28" t="inlineStr">
        <is>
          <t xml:space="preserve">Development Type</t>
        </is>
      </c>
      <c r="B28" t="inlineStr" s="4">
        <is>
          <t xml:space="preserve">single_family_subdivision</t>
        </is>
      </c>
      <c r="C28" t="inlineStr">
        <is>
          <t xml:space="preserve"/>
        </is>
      </c>
      <c r="D28" t="inlineStr">
        <is>
          <t xml:space="preserve"/>
        </is>
      </c>
    </row>
    <row r="29">
      <c r="A29" t="inlineStr">
        <is>
          <t xml:space="preserve">Disposition Strategy</t>
        </is>
      </c>
      <c r="B29" t="inlineStr" s="4">
        <is>
          <t xml:space="preserve">build_and_sell</t>
        </is>
      </c>
      <c r="C29" t="inlineStr">
        <is>
          <t xml:space="preserve"/>
        </is>
      </c>
      <c r="D29" t="inlineStr">
        <is>
          <t xml:space="preserve"/>
        </is>
      </c>
    </row>
    <row r="30">
      <c r="A30" t="inlineStr">
        <is>
          <t xml:space="preserve">Site Acres</t>
        </is>
      </c>
      <c r="B30" s="4">
        <v>2.5</v>
      </c>
      <c r="C30" t="inlineStr">
        <is>
          <t xml:space="preserve">acres</t>
        </is>
      </c>
      <c r="D30" t="inlineStr">
        <is>
          <t xml:space="preserve"/>
        </is>
      </c>
    </row>
    <row r="31">
      <c r="A31" t="inlineStr">
        <is>
          <t xml:space="preserve">Parcel Count</t>
        </is>
      </c>
      <c r="B31" s="4">
        <v>1</v>
      </c>
      <c r="C31" t="inlineStr">
        <is>
          <t xml:space="preserve">count</t>
        </is>
      </c>
      <c r="D31" t="inlineStr">
        <is>
          <t xml:space="preserve"/>
        </is>
      </c>
    </row>
    <row r="32">
      <c r="A32" t="inlineStr">
        <is>
          <t xml:space="preserve">Current Zoning</t>
        </is>
      </c>
      <c r="B32" t="inlineStr" s="4">
        <is>
          <t xml:space="preserve">R-4A</t>
        </is>
      </c>
      <c r="C32" t="inlineStr">
        <is>
          <t xml:space="preserve"/>
        </is>
      </c>
      <c r="D32" t="inlineStr">
        <is>
          <t xml:space="preserve"/>
        </is>
      </c>
    </row>
    <row r="33">
      <c r="A33" t="inlineStr">
        <is>
          <t xml:space="preserve">Proposed Zoning</t>
        </is>
      </c>
      <c r="B33" t="inlineStr" s="4">
        <is>
          <t xml:space="preserve">R-4A</t>
        </is>
      </c>
      <c r="C33" t="inlineStr">
        <is>
          <t xml:space="preserve"/>
        </is>
      </c>
      <c r="D33" t="inlineStr">
        <is>
          <t xml:space="preserve"/>
        </is>
      </c>
    </row>
    <row r="34">
      <c r="A34" t="inlineStr">
        <is>
          <t xml:space="preserve">Entitlement Status</t>
        </is>
      </c>
      <c r="B34" t="inlineStr" s="4">
        <is>
          <t xml:space="preserve">fully_entitled</t>
        </is>
      </c>
      <c r="C34" t="inlineStr">
        <is>
          <t xml:space="preserve"/>
        </is>
      </c>
      <c r="D34" t="inlineStr">
        <is>
          <t xml:space="preserve"/>
        </is>
      </c>
    </row>
    <row r="35">
      <c r="A35" t="inlineStr">
        <is>
          <t xml:space="preserve">Utility Status</t>
        </is>
      </c>
      <c r="B35" t="inlineStr" s="4">
        <is>
          <t xml:space="preserve">available</t>
        </is>
      </c>
      <c r="C35" t="inlineStr">
        <is>
          <t xml:space="preserve"/>
        </is>
      </c>
      <c r="D35" t="inlineStr">
        <is>
          <t xml:space="preserve"/>
        </is>
      </c>
    </row>
    <row r="36">
      <c r="A36" t="inlineStr">
        <is>
          <t xml:space="preserve">Access Status</t>
        </is>
      </c>
      <c r="B36" t="inlineStr" s="4">
        <is>
          <t xml:space="preserve">legal_confirmed</t>
        </is>
      </c>
      <c r="C36" t="inlineStr">
        <is>
          <t xml:space="preserve"/>
        </is>
      </c>
      <c r="D36" t="inlineStr">
        <is>
          <t xml:space="preserve"/>
        </is>
      </c>
    </row>
    <row r="37">
      <c r="A37" t="inlineStr">
        <is>
          <t xml:space="preserve">Environmental Status</t>
        </is>
      </c>
      <c r="B37" t="inlineStr" s="4">
        <is>
          <t xml:space="preserve">clear</t>
        </is>
      </c>
      <c r="C37" t="inlineStr">
        <is>
          <t xml:space="preserve"/>
        </is>
      </c>
      <c r="D37" t="inlineStr">
        <is>
          <t xml:space="preserve"/>
        </is>
      </c>
    </row>
    <row r="38">
      <c r="A38" t="inlineStr">
        <is>
          <t xml:space="preserve">Geotechnical Status</t>
        </is>
      </c>
      <c r="B38" t="inlineStr" s="4">
        <is>
          <t xml:space="preserve">complete_suitable</t>
        </is>
      </c>
      <c r="C38" t="inlineStr">
        <is>
          <t xml:space="preserve"/>
        </is>
      </c>
      <c r="D38" t="inlineStr">
        <is>
          <t xml:space="preserve"/>
        </is>
      </c>
    </row>
    <row r="39">
      <c r="A39" t="inlineStr">
        <is>
          <t xml:space="preserve">Flood Zone</t>
        </is>
      </c>
      <c r="B39" t="inlineStr" s="4">
        <is>
          <t xml:space="preserve">X</t>
        </is>
      </c>
      <c r="C39" t="inlineStr">
        <is>
          <t xml:space="preserve"/>
        </is>
      </c>
      <c r="D39" t="inlineStr">
        <is>
          <t xml:space="preserve"/>
        </is>
      </c>
    </row>
    <row r="40">
      <c r="A40" t="inlineStr">
        <is>
          <t xml:space="preserve">Wetlands Acres</t>
        </is>
      </c>
      <c r="B40" s="4">
        <v>0</v>
      </c>
      <c r="C40" t="inlineStr">
        <is>
          <t xml:space="preserve">acres</t>
        </is>
      </c>
      <c r="D40" t="inlineStr">
        <is>
          <t xml:space="preserve"/>
        </is>
      </c>
    </row>
    <row r="41">
      <c r="A41" t="inlineStr">
        <is>
          <t xml:space="preserve">Planned Units</t>
        </is>
      </c>
      <c r="B41" s="4">
        <v>3</v>
      </c>
      <c r="C41" t="inlineStr">
        <is>
          <t xml:space="preserve">count</t>
        </is>
      </c>
      <c r="D41" t="inlineStr">
        <is>
          <t xml:space="preserve"/>
        </is>
      </c>
    </row>
    <row r="42">
      <c r="A42" t="inlineStr">
        <is>
          <t xml:space="preserve">Buildable Square Feet</t>
        </is>
      </c>
      <c r="B42" s="4">
        <v>15000</v>
      </c>
      <c r="C42" t="inlineStr">
        <is>
          <t xml:space="preserve">sf</t>
        </is>
      </c>
      <c r="D42" t="inlineStr">
        <is>
          <t xml:space="preserve"/>
        </is>
      </c>
    </row>
    <row r="43">
      <c r="A43" t="inlineStr">
        <is>
          <t xml:space="preserve">Development Months</t>
        </is>
      </c>
      <c r="B43" s="4">
        <v>18</v>
      </c>
      <c r="C43" t="inlineStr">
        <is>
          <t xml:space="preserve">months</t>
        </is>
      </c>
      <c r="D43" t="inlineStr">
        <is>
          <t xml:space="preserve"/>
        </is>
      </c>
    </row>
    <row r="44">
      <c r="A44" t="inlineStr">
        <is>
          <t xml:space="preserve">Absorption Months</t>
        </is>
      </c>
      <c r="B44" s="4">
        <v>6</v>
      </c>
      <c r="C44" t="inlineStr">
        <is>
          <t xml:space="preserve">months</t>
        </is>
      </c>
      <c r="D44" t="inlineStr">
        <is>
          <t xml:space="preserve"/>
        </is>
      </c>
    </row>
    <row r="45">
      <c r="A45" t="inlineStr">
        <is>
          <t xml:space="preserve">Site Work Cost</t>
        </is>
      </c>
      <c r="B45" s="16">
        <v>300000</v>
      </c>
      <c r="C45" t="inlineStr">
        <is>
          <t xml:space="preserve">USD</t>
        </is>
      </c>
      <c r="D45" t="inlineStr">
        <is>
          <t xml:space="preserve"/>
        </is>
      </c>
    </row>
    <row r="46">
      <c r="A46" t="inlineStr">
        <is>
          <t xml:space="preserve">Hard Construction Cost</t>
        </is>
      </c>
      <c r="B46" s="16">
        <v>1500000</v>
      </c>
      <c r="C46" t="inlineStr">
        <is>
          <t xml:space="preserve">USD</t>
        </is>
      </c>
      <c r="D46" t="inlineStr">
        <is>
          <t xml:space="preserve"/>
        </is>
      </c>
    </row>
    <row r="47">
      <c r="A47" t="inlineStr">
        <is>
          <t xml:space="preserve">Soft Costs</t>
        </is>
      </c>
      <c r="B47" s="16">
        <v>200000</v>
      </c>
      <c r="C47" t="inlineStr">
        <is>
          <t xml:space="preserve">USD</t>
        </is>
      </c>
      <c r="D47" t="inlineStr">
        <is>
          <t xml:space="preserve"/>
        </is>
      </c>
    </row>
    <row r="48">
      <c r="A48" t="inlineStr">
        <is>
          <t xml:space="preserve">Permits Impact Fees</t>
        </is>
      </c>
      <c r="B48" s="16">
        <v>100000</v>
      </c>
      <c r="C48" t="inlineStr">
        <is>
          <t xml:space="preserve">USD</t>
        </is>
      </c>
      <c r="D48" t="inlineStr">
        <is>
          <t xml:space="preserve"/>
        </is>
      </c>
    </row>
    <row r="49">
      <c r="A49" t="inlineStr">
        <is>
          <t xml:space="preserve">Environmental Remediation</t>
        </is>
      </c>
      <c r="B49" s="16">
        <v>0</v>
      </c>
      <c r="C49" t="inlineStr">
        <is>
          <t xml:space="preserve">USD</t>
        </is>
      </c>
      <c r="D49" t="inlineStr">
        <is>
          <t xml:space="preserve"/>
        </is>
      </c>
    </row>
    <row r="50">
      <c r="A50" t="inlineStr">
        <is>
          <t xml:space="preserve">Developer Fee</t>
        </is>
      </c>
      <c r="B50" s="16">
        <v>100000</v>
      </c>
      <c r="C50" t="inlineStr">
        <is>
          <t xml:space="preserve">USD</t>
        </is>
      </c>
      <c r="D50" t="inlineStr">
        <is>
          <t xml:space="preserve"/>
        </is>
      </c>
    </row>
    <row r="51">
      <c r="A51" t="inlineStr">
        <is>
          <t xml:space="preserve">Contingency Rate</t>
        </is>
      </c>
      <c r="B51" s="17">
        <v>0.1</v>
      </c>
      <c r="C51" t="inlineStr">
        <is>
          <t xml:space="preserve">%</t>
        </is>
      </c>
      <c r="D51" t="inlineStr">
        <is>
          <t xml:space="preserve"/>
        </is>
      </c>
    </row>
    <row r="52">
      <c r="A52" t="inlineStr">
        <is>
          <t xml:space="preserve">Annual Carrying Costs</t>
        </is>
      </c>
      <c r="B52" s="16">
        <v>30000</v>
      </c>
      <c r="C52" t="inlineStr">
        <is>
          <t xml:space="preserve">USD</t>
        </is>
      </c>
      <c r="D52" t="inlineStr">
        <is>
          <t xml:space="preserve"/>
        </is>
      </c>
    </row>
    <row r="53">
      <c r="A53" t="inlineStr">
        <is>
          <t xml:space="preserve">Expected Terminal Value</t>
        </is>
      </c>
      <c r="B53" s="16">
        <v>4500000</v>
      </c>
      <c r="C53" t="inlineStr">
        <is>
          <t xml:space="preserve">USD</t>
        </is>
      </c>
      <c r="D53" t="inlineStr">
        <is>
          <t xml:space="preserve"/>
        </is>
      </c>
    </row>
    <row r="54">
      <c r="A54" t="inlineStr">
        <is>
          <t xml:space="preserve">Stabilized Noi</t>
        </is>
      </c>
      <c r="B54" s="16">
        <v>0</v>
      </c>
      <c r="C54" t="inlineStr">
        <is>
          <t xml:space="preserve">USD</t>
        </is>
      </c>
      <c r="D54" t="inlineStr">
        <is>
          <t xml:space="preserve"/>
        </is>
      </c>
    </row>
    <row r="55">
      <c r="A55" t="inlineStr">
        <is>
          <t xml:space="preserve">Stabilized Exit Cap Rate</t>
        </is>
      </c>
      <c r="B55" s="17">
        <v>0</v>
      </c>
      <c r="C55" t="inlineStr">
        <is>
          <t xml:space="preserve">%</t>
        </is>
      </c>
      <c r="D55" t="inlineStr">
        <is>
          <t xml:space="preserve"/>
        </is>
      </c>
    </row>
    <row r="56">
      <c r="A56" t="inlineStr">
        <is>
          <t xml:space="preserve">Target Profit Margin</t>
        </is>
      </c>
      <c r="B56" s="17">
        <v>0.2</v>
      </c>
      <c r="C56" t="inlineStr">
        <is>
          <t xml:space="preserve">%</t>
        </is>
      </c>
      <c r="D56" t="inlineStr">
        <is>
          <t xml:space="preserve"/>
        </is>
      </c>
    </row>
  </sheetData>
  <mergeCells count="2">
    <mergeCell ref="A1:D1"/>
    <mergeCell ref="A2:D2"/>
  </mergeCells>
  <pageMargins left="0.4" right="0.4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0" customWidth="1"/>
    <col min="2" max="2" width="10" customWidth="1"/>
    <col min="3" max="3" width="21" customWidth="1"/>
    <col min="4" max="4" width="18" customWidth="1"/>
    <col min="5" max="5" width="18" customWidth="1"/>
    <col min="6" max="6" width="20" customWidth="1"/>
    <col min="7" max="7" width="18" customWidth="1"/>
    <col min="8" max="8" width="20" customWidth="1"/>
  </cols>
  <sheetData>
    <row r="1" ht="30" customHeight="1">
      <c r="A1" t="inlineStr" s="1">
        <is>
          <t xml:space="preserve">Monthly Levered Cash Flow</t>
        </is>
      </c>
    </row>
    <row r="2" ht="23" customHeight="1">
      <c r="A2" t="inlineStr" s="2">
        <is>
          <t xml:space="preserve">Exact 24-month schedule used by the website calculation.</t>
        </is>
      </c>
    </row>
    <row r="3"/>
    <row r="4">
      <c r="A4" t="inlineStr" s="3">
        <is>
          <t xml:space="preserve">Month</t>
        </is>
      </c>
      <c r="B4" t="inlineStr" s="3">
        <is>
          <t xml:space="preserve">Year</t>
        </is>
      </c>
      <c r="C4" t="inlineStr" s="3">
        <is>
          <t xml:space="preserve">Operating Cash Flow</t>
        </is>
      </c>
      <c r="D4" t="inlineStr" s="3">
        <is>
          <t xml:space="preserve">Debt Service</t>
        </is>
      </c>
      <c r="E4" t="inlineStr" s="3">
        <is>
          <t xml:space="preserve">Capital Costs</t>
        </is>
      </c>
      <c r="F4" t="inlineStr" s="3">
        <is>
          <t xml:space="preserve">Net Sale Proceeds</t>
        </is>
      </c>
      <c r="G4" t="inlineStr" s="3">
        <is>
          <t xml:space="preserve">Loan Payoff</t>
        </is>
      </c>
      <c r="H4" t="inlineStr" s="3">
        <is>
          <t xml:space="preserve">Net Cash Flow</t>
        </is>
      </c>
    </row>
    <row r="5">
      <c r="A5" s="8">
        <v>0</v>
      </c>
      <c r="B5" s="8">
        <v>0</v>
      </c>
      <c r="C5" s="5">
        <v>0</v>
      </c>
      <c r="D5" s="5">
        <v>0</v>
      </c>
      <c r="E5" s="5">
        <v>-3379999</v>
      </c>
      <c r="F5" s="5">
        <v>0</v>
      </c>
      <c r="G5" s="5">
        <v>0</v>
      </c>
      <c r="H5" s="5">
        <v>-3379999</v>
      </c>
    </row>
    <row r="6">
      <c r="A6" s="8">
        <v>1</v>
      </c>
      <c r="B6" s="8">
        <v>1</v>
      </c>
      <c r="C6" s="5">
        <v>0</v>
      </c>
      <c r="D6" s="5">
        <v>0</v>
      </c>
      <c r="E6" s="5">
        <v>-2500</v>
      </c>
      <c r="F6" s="5">
        <v>0</v>
      </c>
      <c r="G6" s="5">
        <v>0</v>
      </c>
      <c r="H6" s="5">
        <v>-2500</v>
      </c>
    </row>
    <row r="7">
      <c r="A7" s="8">
        <v>2</v>
      </c>
      <c r="B7" s="8">
        <v>1</v>
      </c>
      <c r="C7" s="5">
        <v>0</v>
      </c>
      <c r="D7" s="5">
        <v>0</v>
      </c>
      <c r="E7" s="5">
        <v>-2500</v>
      </c>
      <c r="F7" s="5">
        <v>0</v>
      </c>
      <c r="G7" s="5">
        <v>0</v>
      </c>
      <c r="H7" s="5">
        <v>-2500</v>
      </c>
    </row>
    <row r="8">
      <c r="A8" s="8">
        <v>3</v>
      </c>
      <c r="B8" s="8">
        <v>1</v>
      </c>
      <c r="C8" s="5">
        <v>0</v>
      </c>
      <c r="D8" s="5">
        <v>0</v>
      </c>
      <c r="E8" s="5">
        <v>-2500</v>
      </c>
      <c r="F8" s="5">
        <v>0</v>
      </c>
      <c r="G8" s="5">
        <v>0</v>
      </c>
      <c r="H8" s="5">
        <v>-2500</v>
      </c>
    </row>
    <row r="9">
      <c r="A9" s="8">
        <v>4</v>
      </c>
      <c r="B9" s="8">
        <v>1</v>
      </c>
      <c r="C9" s="5">
        <v>0</v>
      </c>
      <c r="D9" s="5">
        <v>0</v>
      </c>
      <c r="E9" s="5">
        <v>-2500</v>
      </c>
      <c r="F9" s="5">
        <v>0</v>
      </c>
      <c r="G9" s="5">
        <v>0</v>
      </c>
      <c r="H9" s="5">
        <v>-2500</v>
      </c>
    </row>
    <row r="10">
      <c r="A10" s="8">
        <v>5</v>
      </c>
      <c r="B10" s="8">
        <v>1</v>
      </c>
      <c r="C10" s="5">
        <v>0</v>
      </c>
      <c r="D10" s="5">
        <v>0</v>
      </c>
      <c r="E10" s="5">
        <v>-2500</v>
      </c>
      <c r="F10" s="5">
        <v>0</v>
      </c>
      <c r="G10" s="5">
        <v>0</v>
      </c>
      <c r="H10" s="5">
        <v>-2500</v>
      </c>
    </row>
    <row r="11">
      <c r="A11" s="8">
        <v>6</v>
      </c>
      <c r="B11" s="8">
        <v>1</v>
      </c>
      <c r="C11" s="5">
        <v>0</v>
      </c>
      <c r="D11" s="5">
        <v>0</v>
      </c>
      <c r="E11" s="5">
        <v>-2500</v>
      </c>
      <c r="F11" s="5">
        <v>0</v>
      </c>
      <c r="G11" s="5">
        <v>0</v>
      </c>
      <c r="H11" s="5">
        <v>-2500</v>
      </c>
    </row>
    <row r="12">
      <c r="A12" s="8">
        <v>7</v>
      </c>
      <c r="B12" s="8">
        <v>1</v>
      </c>
      <c r="C12" s="5">
        <v>0</v>
      </c>
      <c r="D12" s="5">
        <v>0</v>
      </c>
      <c r="E12" s="5">
        <v>-2500</v>
      </c>
      <c r="F12" s="5">
        <v>0</v>
      </c>
      <c r="G12" s="5">
        <v>0</v>
      </c>
      <c r="H12" s="5">
        <v>-2500</v>
      </c>
    </row>
    <row r="13">
      <c r="A13" s="8">
        <v>8</v>
      </c>
      <c r="B13" s="8">
        <v>1</v>
      </c>
      <c r="C13" s="5">
        <v>0</v>
      </c>
      <c r="D13" s="5">
        <v>0</v>
      </c>
      <c r="E13" s="5">
        <v>-2500</v>
      </c>
      <c r="F13" s="5">
        <v>0</v>
      </c>
      <c r="G13" s="5">
        <v>0</v>
      </c>
      <c r="H13" s="5">
        <v>-2500</v>
      </c>
    </row>
    <row r="14">
      <c r="A14" s="8">
        <v>9</v>
      </c>
      <c r="B14" s="8">
        <v>1</v>
      </c>
      <c r="C14" s="5">
        <v>0</v>
      </c>
      <c r="D14" s="5">
        <v>0</v>
      </c>
      <c r="E14" s="5">
        <v>-2500</v>
      </c>
      <c r="F14" s="5">
        <v>0</v>
      </c>
      <c r="G14" s="5">
        <v>0</v>
      </c>
      <c r="H14" s="5">
        <v>-2500</v>
      </c>
    </row>
    <row r="15">
      <c r="A15" s="8">
        <v>10</v>
      </c>
      <c r="B15" s="8">
        <v>1</v>
      </c>
      <c r="C15" s="5">
        <v>0</v>
      </c>
      <c r="D15" s="5">
        <v>0</v>
      </c>
      <c r="E15" s="5">
        <v>-2500</v>
      </c>
      <c r="F15" s="5">
        <v>0</v>
      </c>
      <c r="G15" s="5">
        <v>0</v>
      </c>
      <c r="H15" s="5">
        <v>-2500</v>
      </c>
    </row>
    <row r="16">
      <c r="A16" s="8">
        <v>11</v>
      </c>
      <c r="B16" s="8">
        <v>1</v>
      </c>
      <c r="C16" s="5">
        <v>0</v>
      </c>
      <c r="D16" s="5">
        <v>0</v>
      </c>
      <c r="E16" s="5">
        <v>-2500</v>
      </c>
      <c r="F16" s="5">
        <v>0</v>
      </c>
      <c r="G16" s="5">
        <v>0</v>
      </c>
      <c r="H16" s="5">
        <v>-2500</v>
      </c>
    </row>
    <row r="17">
      <c r="A17" s="8">
        <v>12</v>
      </c>
      <c r="B17" s="8">
        <v>1</v>
      </c>
      <c r="C17" s="5">
        <v>0</v>
      </c>
      <c r="D17" s="5">
        <v>0</v>
      </c>
      <c r="E17" s="5">
        <v>-2500</v>
      </c>
      <c r="F17" s="5">
        <v>0</v>
      </c>
      <c r="G17" s="5">
        <v>0</v>
      </c>
      <c r="H17" s="5">
        <v>-2500</v>
      </c>
    </row>
    <row r="18">
      <c r="A18" s="8">
        <v>13</v>
      </c>
      <c r="B18" s="8">
        <v>2</v>
      </c>
      <c r="C18" s="5">
        <v>0</v>
      </c>
      <c r="D18" s="5">
        <v>0</v>
      </c>
      <c r="E18" s="5">
        <v>-2500</v>
      </c>
      <c r="F18" s="5">
        <v>0</v>
      </c>
      <c r="G18" s="5">
        <v>0</v>
      </c>
      <c r="H18" s="5">
        <v>-2500</v>
      </c>
    </row>
    <row r="19">
      <c r="A19" s="8">
        <v>14</v>
      </c>
      <c r="B19" s="8">
        <v>2</v>
      </c>
      <c r="C19" s="5">
        <v>0</v>
      </c>
      <c r="D19" s="5">
        <v>0</v>
      </c>
      <c r="E19" s="5">
        <v>-2500</v>
      </c>
      <c r="F19" s="5">
        <v>0</v>
      </c>
      <c r="G19" s="5">
        <v>0</v>
      </c>
      <c r="H19" s="5">
        <v>-2500</v>
      </c>
    </row>
    <row r="20">
      <c r="A20" s="8">
        <v>15</v>
      </c>
      <c r="B20" s="8">
        <v>2</v>
      </c>
      <c r="C20" s="5">
        <v>0</v>
      </c>
      <c r="D20" s="5">
        <v>0</v>
      </c>
      <c r="E20" s="5">
        <v>-2500</v>
      </c>
      <c r="F20" s="5">
        <v>0</v>
      </c>
      <c r="G20" s="5">
        <v>0</v>
      </c>
      <c r="H20" s="5">
        <v>-2500</v>
      </c>
    </row>
    <row r="21">
      <c r="A21" s="8">
        <v>16</v>
      </c>
      <c r="B21" s="8">
        <v>2</v>
      </c>
      <c r="C21" s="5">
        <v>0</v>
      </c>
      <c r="D21" s="5">
        <v>0</v>
      </c>
      <c r="E21" s="5">
        <v>-2500</v>
      </c>
      <c r="F21" s="5">
        <v>0</v>
      </c>
      <c r="G21" s="5">
        <v>0</v>
      </c>
      <c r="H21" s="5">
        <v>-2500</v>
      </c>
    </row>
    <row r="22">
      <c r="A22" s="8">
        <v>17</v>
      </c>
      <c r="B22" s="8">
        <v>2</v>
      </c>
      <c r="C22" s="5">
        <v>0</v>
      </c>
      <c r="D22" s="5">
        <v>0</v>
      </c>
      <c r="E22" s="5">
        <v>-2500</v>
      </c>
      <c r="F22" s="5">
        <v>0</v>
      </c>
      <c r="G22" s="5">
        <v>0</v>
      </c>
      <c r="H22" s="5">
        <v>-2500</v>
      </c>
    </row>
    <row r="23">
      <c r="A23" s="8">
        <v>18</v>
      </c>
      <c r="B23" s="8">
        <v>2</v>
      </c>
      <c r="C23" s="5">
        <v>0</v>
      </c>
      <c r="D23" s="5">
        <v>0</v>
      </c>
      <c r="E23" s="5">
        <v>-2500</v>
      </c>
      <c r="F23" s="5">
        <v>0</v>
      </c>
      <c r="G23" s="5">
        <v>0</v>
      </c>
      <c r="H23" s="5">
        <v>-2500</v>
      </c>
    </row>
    <row r="24">
      <c r="A24" s="8">
        <v>19</v>
      </c>
      <c r="B24" s="8">
        <v>2</v>
      </c>
      <c r="C24" s="5">
        <v>0</v>
      </c>
      <c r="D24" s="5">
        <v>0</v>
      </c>
      <c r="E24" s="5">
        <v>-2500</v>
      </c>
      <c r="F24" s="5">
        <v>0</v>
      </c>
      <c r="G24" s="5">
        <v>0</v>
      </c>
      <c r="H24" s="5">
        <v>-2500</v>
      </c>
    </row>
    <row r="25">
      <c r="A25" s="8">
        <v>20</v>
      </c>
      <c r="B25" s="8">
        <v>2</v>
      </c>
      <c r="C25" s="5">
        <v>0</v>
      </c>
      <c r="D25" s="5">
        <v>0</v>
      </c>
      <c r="E25" s="5">
        <v>-2500</v>
      </c>
      <c r="F25" s="5">
        <v>0</v>
      </c>
      <c r="G25" s="5">
        <v>0</v>
      </c>
      <c r="H25" s="5">
        <v>-2500</v>
      </c>
    </row>
    <row r="26">
      <c r="A26" s="8">
        <v>21</v>
      </c>
      <c r="B26" s="8">
        <v>2</v>
      </c>
      <c r="C26" s="5">
        <v>0</v>
      </c>
      <c r="D26" s="5">
        <v>0</v>
      </c>
      <c r="E26" s="5">
        <v>-2500</v>
      </c>
      <c r="F26" s="5">
        <v>0</v>
      </c>
      <c r="G26" s="5">
        <v>0</v>
      </c>
      <c r="H26" s="5">
        <v>-2500</v>
      </c>
    </row>
    <row r="27">
      <c r="A27" s="8">
        <v>22</v>
      </c>
      <c r="B27" s="8">
        <v>2</v>
      </c>
      <c r="C27" s="5">
        <v>0</v>
      </c>
      <c r="D27" s="5">
        <v>0</v>
      </c>
      <c r="E27" s="5">
        <v>-2500</v>
      </c>
      <c r="F27" s="5">
        <v>0</v>
      </c>
      <c r="G27" s="5">
        <v>0</v>
      </c>
      <c r="H27" s="5">
        <v>-2500</v>
      </c>
    </row>
    <row r="28">
      <c r="A28" s="8">
        <v>23</v>
      </c>
      <c r="B28" s="8">
        <v>2</v>
      </c>
      <c r="C28" s="5">
        <v>0</v>
      </c>
      <c r="D28" s="5">
        <v>0</v>
      </c>
      <c r="E28" s="5">
        <v>-2500</v>
      </c>
      <c r="F28" s="5">
        <v>0</v>
      </c>
      <c r="G28" s="5">
        <v>0</v>
      </c>
      <c r="H28" s="5">
        <v>-2500</v>
      </c>
    </row>
    <row r="29">
      <c r="A29" s="8">
        <v>24</v>
      </c>
      <c r="B29" s="8">
        <v>2</v>
      </c>
      <c r="C29" s="5">
        <v>0</v>
      </c>
      <c r="D29" s="5">
        <v>0</v>
      </c>
      <c r="E29" s="5">
        <v>-2500</v>
      </c>
      <c r="F29" s="5">
        <v>4275000</v>
      </c>
      <c r="G29" s="5">
        <v>0</v>
      </c>
      <c r="H29" s="5">
        <v>4272500</v>
      </c>
    </row>
  </sheetData>
  <autoFilter ref="A4:H29"/>
  <mergeCells count="2">
    <mergeCell ref="A1:H1"/>
    <mergeCell ref="A2:H2"/>
  </mergeCells>
  <pageMargins left="0.4" right="0.4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1" customWidth="1"/>
    <col min="2" max="2" width="23" customWidth="1"/>
    <col min="3" max="3" width="20" customWidth="1"/>
    <col min="4" max="4" width="20" customWidth="1"/>
    <col min="5" max="5" width="22" customWidth="1"/>
    <col min="6" max="6" width="22" customWidth="1"/>
  </cols>
  <sheetData>
    <row r="1" ht="30" customHeight="1">
      <c r="A1" t="inlineStr" s="1">
        <is>
          <t xml:space="preserve">Annual Cash Flow Summary</t>
        </is>
      </c>
    </row>
    <row r="2" ht="23" customHeight="1">
      <c r="A2" t="inlineStr" s="2">
        <is>
          <t xml:space="preserve">Formula-linked roll-up of the monthly cash-flow schedule.</t>
        </is>
      </c>
    </row>
    <row r="3"/>
    <row r="4">
      <c r="A4" t="inlineStr" s="3">
        <is>
          <t xml:space="preserve">Year</t>
        </is>
      </c>
      <c r="B4" t="inlineStr" s="3">
        <is>
          <t xml:space="preserve">Operating Cash Flow</t>
        </is>
      </c>
      <c r="C4" t="inlineStr" s="3">
        <is>
          <t xml:space="preserve">Debt Service</t>
        </is>
      </c>
      <c r="D4" t="inlineStr" s="3">
        <is>
          <t xml:space="preserve">Capital Costs</t>
        </is>
      </c>
      <c r="E4" t="inlineStr" s="3">
        <is>
          <t xml:space="preserve">Net Sale / Payoff</t>
        </is>
      </c>
      <c r="F4" t="inlineStr" s="3">
        <is>
          <t xml:space="preserve">Equity Cash Flow</t>
        </is>
      </c>
    </row>
    <row r="5">
      <c r="A5" s="8">
        <v>1</v>
      </c>
      <c r="B5" s="5">
        <f>SUMIF('Monthly Cash Flow'!$B$5:$B$29,A5,'Monthly Cash Flow'!$C$5:$C$29)</f>
        <v>0</v>
      </c>
      <c r="C5" s="5">
        <f>SUMIF('Monthly Cash Flow'!$B$5:$B$29,A5,'Monthly Cash Flow'!$D$5:$D$29)</f>
        <v>0</v>
      </c>
      <c r="D5" s="5">
        <f>SUMIF('Monthly Cash Flow'!$B$5:$B$29,A5,'Monthly Cash Flow'!$E$5:$E$29)</f>
        <v>0</v>
      </c>
      <c r="E5" s="5">
        <f>SUMIF('Monthly Cash Flow'!$B$5:$B$29,A5,'Monthly Cash Flow'!$F$5:$F$29)+SUMIF('Monthly Cash Flow'!$B$5:$B$29,A5,'Monthly Cash Flow'!$G$5:$G$29)</f>
        <v>0</v>
      </c>
      <c r="F5" s="5">
        <f>SUMIF('Monthly Cash Flow'!$B$5:$B$29,A5,'Monthly Cash Flow'!$H$5:$H$29)</f>
        <v>0</v>
      </c>
    </row>
    <row r="6">
      <c r="A6" s="8">
        <v>2</v>
      </c>
      <c r="B6" s="5">
        <f>SUMIF('Monthly Cash Flow'!$B$5:$B$29,A6,'Monthly Cash Flow'!$C$5:$C$29)</f>
        <v>0</v>
      </c>
      <c r="C6" s="5">
        <f>SUMIF('Monthly Cash Flow'!$B$5:$B$29,A6,'Monthly Cash Flow'!$D$5:$D$29)</f>
        <v>0</v>
      </c>
      <c r="D6" s="5">
        <f>SUMIF('Monthly Cash Flow'!$B$5:$B$29,A6,'Monthly Cash Flow'!$E$5:$E$29)</f>
        <v>0</v>
      </c>
      <c r="E6" s="5">
        <f>SUMIF('Monthly Cash Flow'!$B$5:$B$29,A6,'Monthly Cash Flow'!$F$5:$F$29)+SUMIF('Monthly Cash Flow'!$B$5:$B$29,A6,'Monthly Cash Flow'!$G$5:$G$29)</f>
        <v>0</v>
      </c>
      <c r="F6" s="5">
        <f>SUMIF('Monthly Cash Flow'!$B$5:$B$29,A6,'Monthly Cash Flow'!$H$5:$H$29)</f>
        <v>0</v>
      </c>
    </row>
  </sheetData>
  <mergeCells count="2">
    <mergeCell ref="A1:F1"/>
    <mergeCell ref="A2:F2"/>
  </mergeCells>
  <pageMargins left="0.4" right="0.4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55" customWidth="1"/>
    <col min="2" max="2" width="19" customWidth="1"/>
    <col min="3" max="3" width="19" customWidth="1"/>
    <col min="4" max="4" width="19" customWidth="1"/>
    <col min="5" max="5" width="14" customWidth="1"/>
    <col min="6" max="6" width="16" customWidth="1"/>
  </cols>
  <sheetData>
    <row r="1" ht="30" customHeight="1">
      <c r="A1" t="inlineStr" s="1">
        <is>
          <t xml:space="preserve">Checks &amp; Warnings</t>
        </is>
      </c>
    </row>
    <row r="2" ht="23" customHeight="1">
      <c r="A2" t="inlineStr" s="2">
        <is>
          <t xml:space="preserve">One assertion per row; REVIEW flags require judgment rather than representing a formula error.</t>
        </is>
      </c>
    </row>
    <row r="3"/>
    <row r="4">
      <c r="A4" t="inlineStr" s="3">
        <is>
          <t xml:space="preserve">Check</t>
        </is>
      </c>
      <c r="B4" t="inlineStr" s="3">
        <is>
          <t xml:space="preserve">Actual</t>
        </is>
      </c>
      <c r="C4" t="inlineStr" s="3">
        <is>
          <t xml:space="preserve">Expected</t>
        </is>
      </c>
      <c r="D4" t="inlineStr" s="3">
        <is>
          <t xml:space="preserve">Difference</t>
        </is>
      </c>
      <c r="E4" t="inlineStr" s="3">
        <is>
          <t xml:space="preserve">Tolerance</t>
        </is>
      </c>
      <c r="F4" t="inlineStr" s="3">
        <is>
          <t xml:space="preserve">Status</t>
        </is>
      </c>
    </row>
    <row r="5">
      <c r="A5" t="inlineStr">
        <is>
          <t xml:space="preserve">Cash-flow row count</t>
        </is>
      </c>
      <c r="B5">
        <v>25</v>
      </c>
      <c r="C5">
        <v>25</v>
      </c>
      <c r="D5" s="8">
        <f>B5-C5</f>
        <v>0</v>
      </c>
      <c r="E5">
        <v>0</v>
      </c>
      <c r="F5" s="12">
        <f>IF(ABS(D5)&lt;=E5,"OK","FAIL")</f>
        <v>0</v>
      </c>
    </row>
    <row r="6">
      <c r="A6" t="inlineStr">
        <is>
          <t xml:space="preserve">Initial equity is an outflow</t>
        </is>
      </c>
      <c r="B6" s="5">
        <v>-3379999</v>
      </c>
      <c r="C6" t="inlineStr">
        <is>
          <t xml:space="preserve">Negative</t>
        </is>
      </c>
      <c r="F6" s="12">
        <f>IF(B6&lt;0,"OK","FAIL")</f>
        <v>0</v>
      </c>
    </row>
    <row r="7">
      <c r="A7" t="inlineStr">
        <is>
          <t xml:space="preserve">Positive distributions available for IRR</t>
        </is>
      </c>
      <c r="B7">
        <v>1</v>
      </c>
      <c r="C7" t="inlineStr">
        <is>
          <t xml:space="preserve">At least 1</t>
        </is>
      </c>
      <c r="F7" s="12">
        <f>IF(B7&gt;=1,"OK","REVIEW")</f>
        <v>0</v>
      </c>
    </row>
    <row r="8">
      <c r="A8" t="inlineStr">
        <is>
          <t xml:space="preserve">Terminal sale proceeds</t>
        </is>
      </c>
      <c r="B8" s="5">
        <v>4275000</v>
      </c>
      <c r="C8" t="inlineStr">
        <is>
          <t xml:space="preserve">Greater than 0</t>
        </is>
      </c>
      <c r="F8" s="12">
        <f>IF(B8&gt;0,"OK","REVIEW")</f>
        <v>0</v>
      </c>
    </row>
    <row r="9">
      <c r="A9" t="inlineStr">
        <is>
          <t xml:space="preserve">Overall model status</t>
        </is>
      </c>
      <c r="F9" s="12">
        <f>IF(COUNTIF(F5:F8,"FAIL")&gt;0,"FAIL",IF(COUNTIF(F5:F8,"REVIEW")&gt;0,"REVIEW","OK"))</f>
        <v>0</v>
      </c>
    </row>
    <row r="10"/>
    <row r="11" ht="21" customHeight="1">
      <c r="A11" t="inlineStr" s="2">
        <is>
          <t xml:space="preserve">WARNINGS</t>
        </is>
      </c>
    </row>
    <row r="12" ht="32" customHeight="1">
      <c r="A12" t="inlineStr" s="14">
        <is>
          <t xml:space="preserve">Calculated securely in this browser; no live analysis service was required.</t>
        </is>
      </c>
    </row>
    <row r="13" ht="32" customHeight="1">
      <c r="A13" t="inlineStr" s="14">
        <is>
          <t xml:space="preserve">Land-development results depend on zoning, entitlement, utility, environmental, geotechnical, civil, market, and construction assumptions that require professional verification.</t>
        </is>
      </c>
    </row>
    <row r="14" ht="32" customHeight="1">
      <c r="A14" t="inlineStr" s="14">
        <is>
          <t xml:space="preserve">The modeled residual land value is below the proposed purchase price at the selected target margin.</t>
        </is>
      </c>
    </row>
  </sheetData>
  <mergeCells count="6">
    <mergeCell ref="A1:F1"/>
    <mergeCell ref="A2:F2"/>
    <mergeCell ref="A11:F11"/>
    <mergeCell ref="A12:F12"/>
    <mergeCell ref="A13:F13"/>
    <mergeCell ref="A14:F14"/>
  </mergeCells>
  <pageMargins left="0.4" right="0.4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DiamondEcho Deal Analysis</Application>
  <AppVersion>1.1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DiamondEcho Deal-Specific Analysis</dc:title>
  <dc:creator>DiamondEcho</dc:creator>
  <dcterms:created xsi:type="dcterms:W3CDTF">2026-07-10T21:22:03.529Z</dcterms:created>
  <dcterms:modified xsi:type="dcterms:W3CDTF">2026-07-10T21:22:03.529Z</dcterms:modified>
</cp:coreProperties>
</file>