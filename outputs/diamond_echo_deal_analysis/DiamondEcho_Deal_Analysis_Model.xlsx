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12df5a156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57a9056d0d64988"/>
    <x:sheet xmlns:r="http://schemas.openxmlformats.org/officeDocument/2006/relationships" name="Executive Summary" sheetId="2" r:id="Rf16818e137934ea9"/>
    <x:sheet xmlns:r="http://schemas.openxmlformats.org/officeDocument/2006/relationships" name="Assumptions" sheetId="3" r:id="Re5a9c1463b7f4175"/>
    <x:sheet xmlns:r="http://schemas.openxmlformats.org/officeDocument/2006/relationships" name="Monthly Cash Flow" sheetId="4" r:id="R382b69166aac451e"/>
    <x:sheet xmlns:r="http://schemas.openxmlformats.org/officeDocument/2006/relationships" name="Annual Cash Flow" sheetId="5" r:id="R4c1990f010324268"/>
    <x:sheet xmlns:r="http://schemas.openxmlformats.org/officeDocument/2006/relationships" name="Debt Schedule" sheetId="6" r:id="Rdf3ef1d558354d68"/>
    <x:sheet xmlns:r="http://schemas.openxmlformats.org/officeDocument/2006/relationships" name="Sensitivities" sheetId="7" r:id="R1e896d9664e14348"/>
    <x:sheet xmlns:r="http://schemas.openxmlformats.org/officeDocument/2006/relationships" name="Monte Carlo" sheetId="8" r:id="R73e150f9230f4e39"/>
    <x:sheet xmlns:r="http://schemas.openxmlformats.org/officeDocument/2006/relationships" name="Checks" sheetId="9" r:id="Rad9c354656a44d26"/>
    <x:sheet xmlns:r="http://schemas.openxmlformats.org/officeDocument/2006/relationships" name="Sources &amp; Audit" sheetId="10" r:id="R26caf3e848e843b2"/>
  </x:sheets>
</x:workbook>
</file>

<file path=xl/comments1.xml><?xml version="1.0" encoding="utf-8"?>
<x:comments xmlns:x="http://schemas.openxmlformats.org/spreadsheetml/2006/main">
  <x:authors>
    <x:author>tc={96901C3A-3226-906F-C8AA-64A189625CDF}</x:author>
    <x:author>tc={8AA8E41E-23C2-3D2D-9C17-525A635E8B8F}</x:author>
    <x:author>tc={C0CAADB0-43B2-8B4D-A9A0-A75B0BA1AE27}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Property details may be enriched through RentCast after Mapbox address selection. Verify parcel/unit matching before underwriting.</x:t>
        </x:r>
      </x:text>
    </x:comment>
    <x:comment ref="B4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Exit cap rate is an investment-committee assumption. Support with current comparable transactions and market evidence.</x:t>
        </x:r>
      </x:text>
    </x:comment>
    <x:comment ref="B4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Monte Carlo distributions are triangular and user-defined; they do not infer correlations or fat-tail events.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General"/>
    <x:numFmt numFmtId="202" formatCode="$#,##0;[Red]($#,##0);-"/>
    <x:numFmt numFmtId="203" formatCode="0.0%;[Red](0.0%);-"/>
    <x:numFmt numFmtId="204" formatCode="#,##0;[Red](#,##0);-"/>
    <x:numFmt numFmtId="205" formatCode="0.0x;[Red](0.0x);-"/>
  </x:numFmts>
  <x:fonts count="24">
    <x:font>
      <x:sz val="11"/>
      <x:name val="Carlito"/>
    </x:font>
    <x:font>
      <x:b/>
      <x:sz val="28"/>
      <x:color rgb="FFFFFFFF"/>
      <x:name val="Carlito"/>
    </x:font>
    <x:font>
      <x:sz val="16"/>
      <x:color rgb="FFE6D7B5"/>
      <x:name val="Carlito"/>
    </x:font>
    <x:font>
      <x:b/>
      <x:sz val="11"/>
      <x:color rgb="FF101713"/>
      <x:name val="Carlito"/>
    </x:font>
    <x:font>
      <x:sz val="11"/>
      <x:color rgb="FF008000"/>
      <x:name val="Carlito"/>
    </x:font>
    <x:font>
      <x:b/>
      <x:sz val="10"/>
      <x:color rgb="FFFFFFFF"/>
      <x:name val="Carlito"/>
    </x:font>
    <x:font>
      <x:b/>
      <x:sz val="11"/>
      <x:color rgb="FFC6A76A"/>
      <x:name val="Carlito"/>
    </x:font>
    <x:font>
      <x:sz val="10"/>
      <x:color rgb="FF101713"/>
      <x:name val="Carlito"/>
    </x:font>
    <x:font>
      <x:b/>
      <x:sz val="11"/>
      <x:color rgb="FF0000FF"/>
      <x:name val="Carlito"/>
    </x:font>
    <x:font>
      <x:b/>
      <x:sz val="11"/>
      <x:color rgb="FF008000"/>
      <x:name val="Carlito"/>
    </x:font>
    <x:font>
      <x:b/>
      <x:sz val="11"/>
      <x:color rgb="FFFF0000"/>
      <x:name val="Carlito"/>
    </x:font>
    <x:font>
      <x:b/>
      <x:sz val="20"/>
      <x:color rgb="FFFFFFFF"/>
      <x:name val="Carlito"/>
    </x:font>
    <x:font>
      <x:i/>
      <x:sz val="9"/>
      <x:color rgb="FFE6D7B5"/>
      <x:name val="Carlito"/>
    </x:font>
    <x:font>
      <x:sz val="11"/>
      <x:color rgb="FF101713"/>
      <x:name val="Carlito"/>
    </x:font>
    <x:font>
      <x:b/>
      <x:sz val="10"/>
      <x:color rgb="FF101713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9"/>
      <x:color rgb="FFFFFFFF"/>
      <x:name val="Carlito"/>
    </x:font>
    <x:font>
      <x:sz val="8"/>
      <x:color rgb="FF101713"/>
      <x:name val="Carlito"/>
    </x:font>
    <x:font>
      <x:b/>
      <x:sz val="8"/>
      <x:color rgb="FFFFFFFF"/>
      <x:name val="Carlito"/>
    </x:font>
    <x:font>
      <x:sz val="8"/>
      <x:name val="Carlito"/>
    </x:font>
    <x:font>
      <x:b/>
      <x:sz val="11"/>
      <x:color rgb="FF74776F"/>
      <x:name val="Carlito"/>
    </x:font>
    <x:font>
      <x:b/>
      <x:sz val="10"/>
      <x:color rgb="FF74776F"/>
      <x:name val="Carlito"/>
    </x:font>
    <x:font>
      <x:sz val="11"/>
      <x:color rgb="FFFF0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4251D"/>
      </x:patternFill>
    </x:fill>
    <x:fill>
      <x:patternFill patternType="solid">
        <x:fgColor rgb="FFF3F0E8"/>
      </x:patternFill>
    </x:fill>
    <x:fill>
      <x:patternFill patternType="solid">
        <x:fgColor rgb="FF20382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E6D7B5"/>
      </x:patternFill>
    </x:fill>
    <x:fill>
      <x:patternFill patternType="solid">
        <x:fgColor rgb="FFFFFFFF"/>
      </x:patternFill>
    </x:fill>
    <x:fill>
      <x:patternFill patternType="solid">
        <x:fgColor rgb="FFF8F4E8"/>
      </x:patternFill>
    </x:fill>
  </x:fills>
  <x:borders count="20">
    <x:border/>
    <x:border>
      <x:left style="thin">
        <x:color rgb="FFD8D4CA"/>
      </x:left>
      <x:right style="thin">
        <x:color rgb="FFD8D4CA"/>
      </x:right>
      <x:top style="thin">
        <x:color rgb="FFD8D4CA"/>
      </x:top>
    </x:border>
    <x:border>
      <x:left style="thin">
        <x:color rgb="FFD8D4CA"/>
      </x:left>
      <x:right style="thin">
        <x:color rgb="FFD8D4CA"/>
      </x:right>
    </x:border>
    <x:border>
      <x:left style="thin">
        <x:color rgb="FFD8D4CA"/>
      </x:left>
      <x:right style="thin">
        <x:color rgb="FFD8D4CA"/>
      </x:right>
      <x:bottom style="thin">
        <x:color rgb="FFD8D4CA"/>
      </x:bottom>
    </x:border>
    <x:border>
      <x:left style="thin">
        <x:color rgb="FFD8D4CA"/>
      </x:left>
      <x:top style="thin">
        <x:color rgb="FFD8D4CA"/>
      </x:top>
    </x:border>
    <x:border>
      <x:top style="thin">
        <x:color rgb="FFD8D4CA"/>
      </x:top>
    </x:border>
    <x:border>
      <x:right style="thin">
        <x:color rgb="FFD8D4CA"/>
      </x:right>
      <x:top style="thin">
        <x:color rgb="FFD8D4CA"/>
      </x:top>
    </x:border>
    <x:border>
      <x:left style="thin">
        <x:color rgb="FFD8D4CA"/>
      </x:left>
    </x:border>
    <x:border>
      <x:right style="thin">
        <x:color rgb="FFD8D4CA"/>
      </x:right>
    </x:border>
    <x:border>
      <x:left style="thin">
        <x:color rgb="FFD8D4CA"/>
      </x:left>
      <x:bottom style="thin">
        <x:color rgb="FFD8D4CA"/>
      </x:bottom>
    </x:border>
    <x:border>
      <x:bottom style="thin">
        <x:color rgb="FFD8D4CA"/>
      </x:bottom>
    </x:border>
    <x:border>
      <x:right style="thin">
        <x:color rgb="FFD8D4CA"/>
      </x:right>
      <x:bottom style="thin">
        <x:color rgb="FFD8D4CA"/>
      </x:bottom>
    </x:border>
    <x:border>
      <x:left style="thin">
        <x:color rgb="FFD8D4CA"/>
      </x:left>
      <x:right style="thin">
        <x:color rgb="FFD8D4CA"/>
      </x:right>
      <x:top style="thin">
        <x:color rgb="FFD8D4CA"/>
      </x:top>
      <x:bottom style="thin">
        <x:color rgb="FFD8D4CA"/>
      </x:bottom>
    </x:border>
    <x:border>
      <x:right style="thin">
        <x:color rgb="FF587164"/>
      </x:right>
    </x:border>
    <x:border>
      <x:left style="thin">
        <x:color rgb="FF587164"/>
      </x:left>
      <x:right style="thin">
        <x:color rgb="FF587164"/>
      </x:right>
    </x:border>
    <x:border>
      <x:left style="thin">
        <x:color rgb="FF587164"/>
      </x:left>
    </x:border>
    <x:border>
      <x:bottom style="thin">
        <x:color rgb="FFECE9E1"/>
      </x:bottom>
    </x:border>
    <x:border>
      <x:top style="thin">
        <x:color rgb="FFECE9E1"/>
      </x:top>
      <x:bottom style="thin">
        <x:color rgb="FFECE9E1"/>
      </x:bottom>
    </x:border>
    <x:border>
      <x:top style="thin">
        <x:color rgb="FFECE9E1"/>
      </x:top>
    </x:border>
    <x:border>
      <x:top style="thin">
        <x:color rgb="FFD8D4CA"/>
      </x:top>
      <x:bottom style="thin">
        <x:color rgb="FFD8D4CA"/>
      </x:bottom>
    </x:border>
  </x:borders>
  <x:cellStyleXfs count="1">
    <x:xf numFmtId="0" fontId="0" fillId="0" borderId="0"/>
  </x:cellStyleXfs>
  <x:cellXfs count="1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3" fillId="0" borderId="0" xfId="0" applyNumberFormat="1" applyFont="1" applyFill="1" applyBorder="1"/>
    <x:xf numFmtId="0" fontId="1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/>
    <x:xf numFmtId="0" fontId="13" fillId="0" borderId="0" xfId="0" applyNumberFormat="1" applyFont="1" applyFill="1" applyBorder="1"/>
    <x:xf numFmtId="0" fontId="14" fillId="4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1" xfId="0" applyNumberFormat="1" applyFont="1" applyFill="1" applyBorder="1"/>
    <x:xf numFmtId="0" fontId="15" fillId="9" borderId="2" xfId="0" applyNumberFormat="1" applyFont="1" applyFill="1" applyBorder="1"/>
    <x:xf numFmtId="0" fontId="15" fillId="9" borderId="3" xfId="0" applyNumberFormat="1" applyFont="1" applyFill="1" applyBorder="1"/>
    <x:xf numFmtId="201" fontId="15" fillId="9" borderId="1" xfId="0" applyNumberFormat="1" applyFont="1" applyFill="1" applyBorder="1"/>
    <x:xf numFmtId="201" fontId="15" fillId="9" borderId="2" xfId="0" applyNumberFormat="1" applyFont="1" applyFill="1" applyBorder="1"/>
    <x:xf numFmtId="201" fontId="15" fillId="9" borderId="3" xfId="0" applyNumberFormat="1" applyFont="1" applyFill="1" applyBorder="1"/>
    <x:xf numFmtId="0" fontId="15" fillId="9" borderId="4" xfId="0" applyNumberFormat="1" applyFont="1" applyFill="1" applyBorder="1"/>
    <x:xf numFmtId="0" fontId="15" fillId="9" borderId="5" xfId="0" applyNumberFormat="1" applyFont="1" applyFill="1" applyBorder="1"/>
    <x:xf numFmtId="0" fontId="15" fillId="9" borderId="6" xfId="0" applyNumberFormat="1" applyFont="1" applyFill="1" applyBorder="1"/>
    <x:xf numFmtId="0" fontId="15" fillId="9" borderId="7" xfId="0" applyNumberFormat="1" applyFont="1" applyFill="1" applyBorder="1"/>
    <x:xf numFmtId="0" fontId="15" fillId="9" borderId="8" xfId="0" applyNumberFormat="1" applyFont="1" applyFill="1" applyBorder="1"/>
    <x:xf numFmtId="0" fontId="15" fillId="9" borderId="9" xfId="0" applyNumberFormat="1" applyFont="1" applyFill="1" applyBorder="1"/>
    <x:xf numFmtId="0" fontId="15" fillId="9" borderId="10" xfId="0" applyNumberFormat="1" applyFont="1" applyFill="1" applyBorder="1"/>
    <x:xf numFmtId="0" fontId="15" fillId="9" borderId="11" xfId="0" applyNumberFormat="1" applyFont="1" applyFill="1" applyBorder="1"/>
    <x:xf numFmtId="201" fontId="15" fillId="9" borderId="4" xfId="0" applyNumberFormat="1" applyFont="1" applyFill="1" applyBorder="1"/>
    <x:xf numFmtId="201" fontId="15" fillId="9" borderId="5" xfId="0" applyNumberFormat="1" applyFont="1" applyFill="1" applyBorder="1"/>
    <x:xf numFmtId="201" fontId="15" fillId="9" borderId="6" xfId="0" applyNumberFormat="1" applyFont="1" applyFill="1" applyBorder="1"/>
    <x:xf numFmtId="201" fontId="15" fillId="9" borderId="7" xfId="0" applyNumberFormat="1" applyFont="1" applyFill="1" applyBorder="1"/>
    <x:xf numFmtId="201" fontId="15" fillId="9" borderId="0" xfId="0" applyNumberFormat="1" applyFont="1" applyFill="1" applyBorder="1"/>
    <x:xf numFmtId="201" fontId="15" fillId="9" borderId="8" xfId="0" applyNumberFormat="1" applyFont="1" applyFill="1" applyBorder="1"/>
    <x:xf numFmtId="201" fontId="15" fillId="9" borderId="9" xfId="0" applyNumberFormat="1" applyFont="1" applyFill="1" applyBorder="1"/>
    <x:xf numFmtId="201" fontId="15" fillId="9" borderId="10" xfId="0" applyNumberFormat="1" applyFont="1" applyFill="1" applyBorder="1"/>
    <x:xf numFmtId="201" fontId="15" fillId="9" borderId="11" xfId="0" applyNumberFormat="1" applyFont="1" applyFill="1" applyBorder="1"/>
    <x:xf numFmtId="0" fontId="15" fillId="9" borderId="12" xfId="0" applyNumberFormat="1" applyFont="1" applyFill="1" applyBorder="1"/>
    <x:xf numFmtId="201" fontId="15" fillId="9" borderId="12" xfId="0" applyNumberFormat="1" applyFont="1" applyFill="1" applyBorder="1"/>
    <x:xf numFmtId="202" fontId="15" fillId="9" borderId="2" xfId="0" applyNumberFormat="1" applyFont="1" applyFill="1" applyBorder="1"/>
    <x:xf numFmtId="202" fontId="15" fillId="9" borderId="1" xfId="0" applyNumberFormat="1" applyFont="1" applyFill="1" applyBorder="1"/>
    <x:xf numFmtId="203" fontId="15" fillId="9" borderId="2" xfId="0" applyNumberFormat="1" applyFont="1" applyFill="1" applyBorder="1"/>
    <x:xf numFmtId="203" fontId="15" fillId="9" borderId="3" xfId="0" applyNumberFormat="1" applyFont="1" applyFill="1" applyBorder="1"/>
    <x:xf numFmtId="203" fontId="15" fillId="9" borderId="1" xfId="0" applyNumberFormat="1" applyFont="1" applyFill="1" applyBorder="1"/>
    <x:xf numFmtId="203" fontId="15" fillId="9" borderId="4" xfId="0" applyNumberFormat="1" applyFont="1" applyFill="1" applyBorder="1"/>
    <x:xf numFmtId="203" fontId="15" fillId="9" borderId="5" xfId="0" applyNumberFormat="1" applyFont="1" applyFill="1" applyBorder="1"/>
    <x:xf numFmtId="203" fontId="15" fillId="9" borderId="6" xfId="0" applyNumberFormat="1" applyFont="1" applyFill="1" applyBorder="1"/>
    <x:xf numFmtId="203" fontId="15" fillId="9" borderId="7" xfId="0" applyNumberFormat="1" applyFont="1" applyFill="1" applyBorder="1"/>
    <x:xf numFmtId="203" fontId="15" fillId="9" borderId="0" xfId="0" applyNumberFormat="1" applyFont="1" applyFill="1" applyBorder="1"/>
    <x:xf numFmtId="203" fontId="15" fillId="9" borderId="8" xfId="0" applyNumberFormat="1" applyFont="1" applyFill="1" applyBorder="1"/>
    <x:xf numFmtId="203" fontId="15" fillId="9" borderId="9" xfId="0" applyNumberFormat="1" applyFont="1" applyFill="1" applyBorder="1"/>
    <x:xf numFmtId="203" fontId="15" fillId="9" borderId="10" xfId="0" applyNumberFormat="1" applyFont="1" applyFill="1" applyBorder="1"/>
    <x:xf numFmtId="203" fontId="15" fillId="9" borderId="11" xfId="0" applyNumberFormat="1" applyFont="1" applyFill="1" applyBorder="1"/>
    <x:xf numFmtId="0" fontId="13" fillId="3" borderId="0" xfId="0" applyNumberFormat="1" applyFont="1" applyFill="1" applyBorder="1"/>
    <x:xf numFmtId="0" fontId="16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6" fillId="3" borderId="0" xfId="0" applyNumberFormat="1" applyFont="1" applyFill="1" applyBorder="1" applyAlignment="1">
      <x:alignment horizontal="center"/>
    </x:xf>
    <x:xf numFmtId="0" fontId="17" fillId="4" borderId="0" xfId="0" applyNumberFormat="1" applyFont="1" applyFill="1" applyBorder="1"/>
    <x:xf numFmtId="0" fontId="17" fillId="4" borderId="13" xfId="0" applyNumberFormat="1" applyFont="1" applyFill="1" applyBorder="1"/>
    <x:xf numFmtId="0" fontId="17" fillId="4" borderId="14" xfId="0" applyNumberFormat="1" applyFont="1" applyFill="1" applyBorder="1"/>
    <x:xf numFmtId="0" fontId="17" fillId="4" borderId="15" xfId="0" applyNumberFormat="1" applyFont="1" applyFill="1" applyBorder="1"/>
    <x:xf numFmtId="0" fontId="17" fillId="4" borderId="13" xfId="0" applyNumberFormat="1" applyFont="1" applyFill="1" applyBorder="1" applyAlignment="1">
      <x:alignment wrapText="1"/>
    </x:xf>
    <x:xf numFmtId="0" fontId="17" fillId="4" borderId="14" xfId="0" applyNumberFormat="1" applyFont="1" applyFill="1" applyBorder="1" applyAlignment="1">
      <x:alignment wrapText="1"/>
    </x:xf>
    <x:xf numFmtId="0" fontId="17" fillId="4" borderId="15" xfId="0" applyNumberFormat="1" applyFont="1" applyFill="1" applyBorder="1" applyAlignment="1">
      <x:alignment wrapText="1"/>
    </x:xf>
    <x:xf numFmtId="0" fontId="17" fillId="4" borderId="13" xfId="0" applyNumberFormat="1" applyFont="1" applyFill="1" applyBorder="1" applyAlignment="1">
      <x:alignment horizontal="center" wrapText="1"/>
    </x:xf>
    <x:xf numFmtId="0" fontId="17" fillId="4" borderId="14" xfId="0" applyNumberFormat="1" applyFont="1" applyFill="1" applyBorder="1" applyAlignment="1">
      <x:alignment horizontal="center" wrapText="1"/>
    </x:xf>
    <x:xf numFmtId="0" fontId="17" fillId="4" borderId="15" xfId="0" applyNumberFormat="1" applyFont="1" applyFill="1" applyBorder="1" applyAlignment="1">
      <x:alignment horizontal="center" wrapText="1"/>
    </x:xf>
    <x:xf numFmtId="0" fontId="17" fillId="4" borderId="13" xfId="0" applyNumberFormat="1" applyFont="1" applyFill="1" applyBorder="1" applyAlignment="1">
      <x:alignment horizontal="center" vertical="center" wrapText="1"/>
    </x:xf>
    <x:xf numFmtId="0" fontId="17" fillId="4" borderId="14" xfId="0" applyNumberFormat="1" applyFont="1" applyFill="1" applyBorder="1" applyAlignment="1">
      <x:alignment horizontal="center" vertical="center" wrapText="1"/>
    </x:xf>
    <x:xf numFmtId="0" fontId="17" fillId="4" borderId="15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18" fillId="0" borderId="0" xfId="0" applyNumberFormat="1" applyFont="1" applyFill="1" applyBorder="1"/>
    <x:xf numFmtId="0" fontId="18" fillId="0" borderId="0" xfId="0" applyNumberFormat="1" applyFont="1" applyFill="1" applyBorder="1"/>
    <x:xf numFmtId="202" fontId="18" fillId="0" borderId="0" xfId="0" applyNumberFormat="1" applyFont="1" applyFill="1" applyBorder="1"/>
    <x:xf numFmtId="204" fontId="18" fillId="0" borderId="16" xfId="0" applyNumberFormat="1" applyFont="1" applyFill="1" applyBorder="1"/>
    <x:xf numFmtId="0" fontId="18" fillId="0" borderId="16" xfId="0" applyNumberFormat="1" applyFont="1" applyFill="1" applyBorder="1"/>
    <x:xf numFmtId="202" fontId="18" fillId="0" borderId="16" xfId="0" applyNumberFormat="1" applyFont="1" applyFill="1" applyBorder="1"/>
    <x:xf numFmtId="204" fontId="18" fillId="0" borderId="17" xfId="0" applyNumberFormat="1" applyFont="1" applyFill="1" applyBorder="1"/>
    <x:xf numFmtId="0" fontId="18" fillId="0" borderId="17" xfId="0" applyNumberFormat="1" applyFont="1" applyFill="1" applyBorder="1"/>
    <x:xf numFmtId="202" fontId="18" fillId="0" borderId="17" xfId="0" applyNumberFormat="1" applyFont="1" applyFill="1" applyBorder="1"/>
    <x:xf numFmtId="204" fontId="18" fillId="0" borderId="18" xfId="0" applyNumberFormat="1" applyFont="1" applyFill="1" applyBorder="1"/>
    <x:xf numFmtId="0" fontId="18" fillId="0" borderId="18" xfId="0" applyNumberFormat="1" applyFont="1" applyFill="1" applyBorder="1"/>
    <x:xf numFmtId="202" fontId="18" fillId="0" borderId="18" xfId="0" applyNumberFormat="1" applyFont="1" applyFill="1" applyBorder="1"/>
    <x:xf numFmtId="202" fontId="18" fillId="10" borderId="16" xfId="0" applyNumberFormat="1" applyFont="1" applyFill="1" applyBorder="1"/>
    <x:xf numFmtId="202" fontId="18" fillId="10" borderId="17" xfId="0" applyNumberFormat="1" applyFont="1" applyFill="1" applyBorder="1"/>
    <x:xf numFmtId="202" fontId="18" fillId="10" borderId="18" xfId="0" applyNumberFormat="1" applyFont="1" applyFill="1" applyBorder="1"/>
    <x:xf numFmtId="0" fontId="0" fillId="0" borderId="10" xfId="0" applyNumberFormat="1" applyFont="1" applyFill="1" applyBorder="1"/>
    <x:xf numFmtId="202" fontId="0" fillId="0" borderId="10" xfId="0" applyNumberFormat="1" applyFont="1" applyFill="1" applyBorder="1"/>
    <x:xf numFmtId="0" fontId="0" fillId="0" borderId="19" xfId="0" applyNumberFormat="1" applyFont="1" applyFill="1" applyBorder="1"/>
    <x:xf numFmtId="202" fontId="0" fillId="0" borderId="19" xfId="0" applyNumberFormat="1" applyFont="1" applyFill="1" applyBorder="1"/>
    <x:xf numFmtId="0" fontId="0" fillId="0" borderId="5" xfId="0" applyNumberFormat="1" applyFont="1" applyFill="1" applyBorder="1"/>
    <x:xf numFmtId="202" fontId="0" fillId="0" borderId="5" xfId="0" applyNumberFormat="1" applyFont="1" applyFill="1" applyBorder="1"/>
    <x:xf numFmtId="202" fontId="0" fillId="3" borderId="10" xfId="0" applyNumberFormat="1" applyFont="1" applyFill="1" applyBorder="1"/>
    <x:xf numFmtId="202" fontId="0" fillId="3" borderId="19" xfId="0" applyNumberFormat="1" applyFont="1" applyFill="1" applyBorder="1"/>
    <x:xf numFmtId="202" fontId="0" fillId="3" borderId="5" xfId="0" applyNumberFormat="1" applyFont="1" applyFill="1" applyBorder="1"/>
    <x:xf numFmtId="202" fontId="16" fillId="3" borderId="10" xfId="0" applyNumberFormat="1" applyFont="1" applyFill="1" applyBorder="1"/>
    <x:xf numFmtId="202" fontId="16" fillId="3" borderId="19" xfId="0" applyNumberFormat="1" applyFont="1" applyFill="1" applyBorder="1"/>
    <x:xf numFmtId="202" fontId="16" fillId="3" borderId="5" xfId="0" applyNumberFormat="1" applyFont="1" applyFill="1" applyBorder="1"/>
    <x:xf numFmtId="202" fontId="0" fillId="8" borderId="10" xfId="0" applyNumberFormat="1" applyFont="1" applyFill="1" applyBorder="1"/>
    <x:xf numFmtId="202" fontId="0" fillId="8" borderId="19" xfId="0" applyNumberFormat="1" applyFont="1" applyFill="1" applyBorder="1"/>
    <x:xf numFmtId="202" fontId="0" fillId="8" borderId="5" xfId="0" applyNumberFormat="1" applyFont="1" applyFill="1" applyBorder="1"/>
    <x:xf numFmtId="202" fontId="16" fillId="8" borderId="10" xfId="0" applyNumberFormat="1" applyFont="1" applyFill="1" applyBorder="1"/>
    <x:xf numFmtId="202" fontId="16" fillId="8" borderId="19" xfId="0" applyNumberFormat="1" applyFont="1" applyFill="1" applyBorder="1"/>
    <x:xf numFmtId="202" fontId="16" fillId="8" borderId="5" xfId="0" applyNumberFormat="1" applyFont="1" applyFill="1" applyBorder="1"/>
    <x:xf numFmtId="205" fontId="0" fillId="0" borderId="0" xfId="0" applyNumberFormat="1" applyFont="1" applyFill="1" applyBorder="1"/>
    <x:xf numFmtId="205" fontId="0" fillId="0" borderId="10" xfId="0" applyNumberFormat="1" applyFont="1" applyFill="1" applyBorder="1"/>
    <x:xf numFmtId="205" fontId="0" fillId="0" borderId="19" xfId="0" applyNumberFormat="1" applyFont="1" applyFill="1" applyBorder="1"/>
    <x:xf numFmtId="205" fontId="0" fillId="0" borderId="5" xfId="0" applyNumberFormat="1" applyFont="1" applyFill="1" applyBorder="1"/>
    <x:xf numFmtId="203" fontId="0" fillId="0" borderId="0" xfId="0" applyNumberFormat="1" applyFont="1" applyFill="1" applyBorder="1"/>
    <x:xf numFmtId="0" fontId="19" fillId="4" borderId="13" xfId="0" applyNumberFormat="1" applyFont="1" applyFill="1" applyBorder="1" applyAlignment="1">
      <x:alignment horizontal="center" vertical="center" wrapText="1"/>
    </x:xf>
    <x:xf numFmtId="0" fontId="19" fillId="4" borderId="14" xfId="0" applyNumberFormat="1" applyFont="1" applyFill="1" applyBorder="1" applyAlignment="1">
      <x:alignment horizontal="center" vertical="center" wrapText="1"/>
    </x:xf>
    <x:xf numFmtId="0" fontId="19" fillId="4" borderId="15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203" fontId="20" fillId="0" borderId="0" xfId="0" applyNumberFormat="1" applyFont="1" applyFill="1" applyBorder="1"/>
    <x:xf numFmtId="202" fontId="20" fillId="0" borderId="0" xfId="0" applyNumberFormat="1" applyFont="1" applyFill="1" applyBorder="1"/>
    <x:xf numFmtId="202" fontId="0" fillId="8" borderId="0" xfId="0" applyNumberFormat="1" applyFont="1" applyFill="1" applyBorder="1"/>
    <x:xf numFmtId="203" fontId="0" fillId="8" borderId="0" xfId="0" applyNumberFormat="1" applyFont="1" applyFill="1" applyBorder="1"/>
    <x:xf numFmtId="205" fontId="0" fillId="8" borderId="0" xfId="0" applyNumberFormat="1" applyFont="1" applyFill="1" applyBorder="1"/>
    <x:xf numFmtId="202" fontId="3" fillId="8" borderId="0" xfId="0" applyNumberFormat="1" applyFont="1" applyFill="1" applyBorder="1"/>
    <x:xf numFmtId="203" fontId="3" fillId="8" borderId="0" xfId="0" applyNumberFormat="1" applyFont="1" applyFill="1" applyBorder="1"/>
    <x:xf numFmtId="205" fontId="3" fillId="8" borderId="0" xfId="0" applyNumberFormat="1" applyFont="1" applyFill="1" applyBorder="1"/>
    <x:xf numFmtId="0" fontId="21" fillId="0" borderId="0" xfId="0" applyNumberFormat="1" applyFont="1" applyFill="1" applyBorder="1"/>
    <x:xf numFmtId="0" fontId="22" fillId="4" borderId="0" xfId="0" applyNumberFormat="1" applyFont="1" applyFill="1" applyBorder="1" applyAlignment="1">
      <x:alignment vertical="center"/>
    </x:xf>
    <x:xf numFmtId="0" fontId="21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3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01713"/>
      </x:font>
      <x:fill>
        <x:patternFill patternType="solid">
          <x:bgColor rgb="FFD9EAD3"/>
        </x:patternFill>
      </x:fill>
    </x:dxf>
    <x:dxf>
      <x:font>
        <x:b/>
        <x:color rgb="FF101713"/>
      </x:font>
      <x:fill>
        <x:patternFill patternType="solid">
          <x:bgColor rgb="FFF4CCCC"/>
        </x:patternFill>
      </x:fill>
    </x:dxf>
    <x:dxf>
      <x:font>
        <x:b/>
        <x:color rgb="FF101713"/>
      </x:font>
      <x:fill>
        <x:patternFill patternType="solid">
          <x:bgColor rgb="FFD9EAD3"/>
        </x:patternFill>
      </x:fill>
    </x:dxf>
    <x:dxf>
      <x:font>
        <x:b/>
        <x:color rgb="FF101713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3479bfaeb4401" /><Relationship Type="http://schemas.openxmlformats.org/officeDocument/2006/relationships/theme" Target="/xl/theme/theme1.xml" Id="Rd5d5b3f32de44b5c" /><Relationship Type="http://schemas.openxmlformats.org/officeDocument/2006/relationships/sharedStrings" Target="/xl/sharedStrings.xml" Id="Rc326758794ac4870" /><Relationship Type="http://schemas.openxmlformats.org/officeDocument/2006/relationships/worksheet" Target="/xl/worksheets/sheet1.xml" Id="R257a9056d0d64988" /><Relationship Type="http://schemas.openxmlformats.org/officeDocument/2006/relationships/worksheet" Target="/xl/worksheets/sheet2.xml" Id="Rf16818e137934ea9" /><Relationship Type="http://schemas.openxmlformats.org/officeDocument/2006/relationships/worksheet" Target="/xl/worksheets/sheet3.xml" Id="Re5a9c1463b7f4175" /><Relationship Type="http://schemas.openxmlformats.org/officeDocument/2006/relationships/worksheet" Target="/xl/worksheets/sheet4.xml" Id="R382b69166aac451e" /><Relationship Type="http://schemas.openxmlformats.org/officeDocument/2006/relationships/worksheet" Target="/xl/worksheets/sheet5.xml" Id="R4c1990f010324268" /><Relationship Type="http://schemas.openxmlformats.org/officeDocument/2006/relationships/worksheet" Target="/xl/worksheets/sheet6.xml" Id="Rdf3ef1d558354d68" /><Relationship Type="http://schemas.openxmlformats.org/officeDocument/2006/relationships/worksheet" Target="/xl/worksheets/sheet7.xml" Id="R1e896d9664e14348" /><Relationship Type="http://schemas.openxmlformats.org/officeDocument/2006/relationships/worksheet" Target="/xl/worksheets/sheet8.xml" Id="R73e150f9230f4e39" /><Relationship Type="http://schemas.openxmlformats.org/officeDocument/2006/relationships/worksheet" Target="/xl/worksheets/sheet9.xml" Id="Rad9c354656a44d26" /><Relationship Type="http://schemas.openxmlformats.org/officeDocument/2006/relationships/worksheet" Target="/xl/worksheets/sheet10.xml" Id="R26caf3e848e843b2" /><Relationship Type="http://schemas.microsoft.com/office/2017/10/relationships/person" Target="/xl/persons/person.xml" Id="R1bc80fadef4147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1dd79aab734e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NOI and Levered Equity Cash Flow ($)</a:t>
            </a:r>
          </a:p>
        </c:rich>
      </c:tx>
    </c:title>
    <c:plotArea>
      <c:lineChart>
        <c:grouping val="standard"/>
        <c:ser>
          <c:idx val="0"/>
          <c:order val="0"/>
          <c:tx>
            <c:v>NOI</c:v>
          </c:tx>
          <c:marker>
            <c:symbol val="none"/>
          </c:marker>
          <c:cat>
            <c:strRef>
              <c:f>'Annual Cash Flow'!$N$5:$N$9</c:f>
              <c:strCache>
                <c:ptCount val="0"/>
              </c:strCache>
            </c:strRef>
          </c:cat>
          <c:val>
            <c:numRef>
              <c:f>'Annual Cash Flow'!$O$5:$O$9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Equity Cash Flow</c:v>
          </c:tx>
          <c:marker>
            <c:symbol val="none"/>
          </c:marker>
          <c:cat>
            <c:strRef>
              <c:f>'Annual Cash Flow'!$N$5:$N$9</c:f>
              <c:strCache>
                <c:ptCount val="0"/>
              </c:strCache>
            </c:strRef>
          </c:cat>
          <c:val>
            <c:numRef>
              <c:f>'Annual Cash Flow'!$P$5:$P$9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1dd79aab734e5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Gbenga George" id="{0A1301B0-75FF-4F8D-809C-5FFFD31B5DA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7-10T18:42:29.664" personId="{0A1301B0-75FF-4F8D-809C-5FFFD31B5DAF}" id="{96901C3A-3226-906F-C8AA-64A189625CDF}">
    <xltc:text>Property details may be enriched through RentCast after Mapbox address selection. Verify parcel/unit matching before underwriting.</xltc:text>
  </xltc:threadedComment>
  <xltc:threadedComment ref="B41" dT="2026-07-10T18:42:29.665" personId="{0A1301B0-75FF-4F8D-809C-5FFFD31B5DAF}" id="{8AA8E41E-23C2-3D2D-9C17-525A635E8B8F}">
    <xltc:text>Exit cap rate is an investment-committee assumption. Support with current comparable transactions and market evidence.</xltc:text>
  </xltc:threadedComment>
  <xltc:threadedComment ref="B47" dT="2026-07-10T18:42:29.666" personId="{0A1301B0-75FF-4F8D-809C-5FFFD31B5DAF}" id="{C0CAADB0-43B2-8B4D-A9A0-A75B0BA1AE27}">
    <xltc:text>Monte Carlo distributions are triangular and user-defined; they do not infer correlations or fat-tail events.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92bd506ffd614d4e" /><Relationship Type="http://schemas.openxmlformats.org/officeDocument/2006/relationships/vmlDrawing" Target="/xl/drawings/vmldrawing.vml" Id="R810c8f3a25b04c8c" /><Relationship Type="http://schemas.microsoft.com/office/2017/10/relationships/threadedComment" Target="/xl/threadedcomments/threadedcomment.xml" Id="Ra1d5882c4d5147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14607c5830749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6" hidden="0" customWidth="1"/>
    <x:col min="3" max="3" width="15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2" customHeight="1">
      <x:c r="A1" s="4" t="str">
        <x:v>DIAMOND ECHO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2" customHeight="1">
      <x:c r="A4" s="5" t="str">
        <x:v>Institutional Real Estate Deal Analysis Model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 ht="22" customHeight="1"/>
    <x:row r="6" ht="22" customHeight="1">
      <x:c r="A6" s="7" t="str">
        <x:v>Model version</x:v>
      </x:c>
      <x:c r="B6" s="8" t="str">
        <x:v>1.1</x:v>
      </x:c>
    </x:row>
    <x:row r="7" ht="22" customHeight="1">
      <x:c r="A7" s="7" t="str">
        <x:v>As-of date</x:v>
      </x:c>
      <x:c r="B7" s="9" t="n">
        <x:v>46213.778952002314</x:v>
      </x:c>
    </x:row>
    <x:row r="8" ht="22" customHeight="1">
      <x:c r="A8" s="7" t="str">
        <x:v>Currency</x:v>
      </x:c>
      <x:c r="B8" s="8" t="str">
        <x:v>USD</x:v>
      </x:c>
    </x:row>
    <x:row r="9" ht="22" customHeight="1">
      <x:c r="A9" s="7" t="str">
        <x:v>Property</x:v>
      </x:c>
      <x:c r="B9" s="8" t="str">
        <x:v>567 Design Way, Austin, TX 78701</x:v>
      </x:c>
    </x:row>
    <x:row r="10" ht="22" customHeight="1">
      <x:c r="A10" s="7" t="str">
        <x:v>Strategy</x:v>
      </x:c>
      <x:c r="B10" s="8" t="str">
        <x:v>Rental / Commercial</x:v>
      </x:c>
    </x:row>
    <x:row r="11" ht="22" customHeight="1">
      <x:c r="A11" s="7" t="str">
        <x:v>Prepared for</x:v>
      </x:c>
      <x:c r="B11" s="8" t="str">
        <x:v>Investment committee review</x:v>
      </x:c>
    </x:row>
    <x:row r="12" ht="22" customHeight="1">
      <x:c r="A12" s="7" t="str">
        <x:v>Formula convention</x:v>
      </x:c>
      <x:c r="B12" s="8" t="str">
        <x:v>Monthly levered cash flow</x:v>
      </x:c>
    </x:row>
    <x:row r="13" ht="22" customHeight="1">
      <x:c r="A13" s="7" t="str">
        <x:v>Model status</x:v>
      </x:c>
      <x:c r="B13" s="8" t="str">
        <x:f>'Checks'!G12</x:f>
        <x:v>Resolve all failed checks before reliance.</x:v>
      </x:c>
    </x:row>
    <x:row r="14" ht="22" customHeight="1"/>
    <x:row r="15" ht="22" customHeight="1"/>
    <x:row r="16" ht="22" customHeight="1">
      <x:c r="A16" s="12" t="str">
        <x:v>HOW TO USE THIS MODEL</x:v>
      </x:c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2" customHeight="1">
      <x:c r="A17" s="14" t="str">
        <x:v>1</x:v>
      </x:c>
      <x:c r="B17" s="16" t="str">
        <x:v>Update blue-font assumptions on the Assumptions tab. Do not overwrite black formulas or green internal links.</x:v>
      </x:c>
      <x:c r="C17" s="16"/>
      <x:c r="D17" s="16"/>
      <x:c r="E17" s="16"/>
      <x:c r="F17" s="16"/>
      <x:c r="G17" s="16"/>
      <x:c r="H17" s="16"/>
      <x:c r="I17" s="16"/>
      <x:c r="J17" s="16"/>
    </x:row>
    <x:row r="18" ht="22" customHeight="1">
      <x:c r="A18" s="14" t="str">
        <x:v>2</x:v>
      </x:c>
      <x:c r="B18" s="16" t="str">
        <x:v>Review base-case returns, coverage, and valuation on Executive Summary; then inspect monthly and annual cash flows.</x:v>
      </x:c>
      <x:c r="C18" s="16"/>
      <x:c r="D18" s="16"/>
      <x:c r="E18" s="16"/>
      <x:c r="F18" s="16"/>
      <x:c r="G18" s="16"/>
      <x:c r="H18" s="16"/>
      <x:c r="I18" s="16"/>
      <x:c r="J18" s="16"/>
    </x:row>
    <x:row r="19" ht="22" customHeight="1">
      <x:c r="A19" s="14" t="str">
        <x:v>3</x:v>
      </x:c>
      <x:c r="B19" s="16" t="str">
        <x:v>Use Sensitivities and Monte Carlo to assess downside, dispersion, and probability—not to manufacture precision.</x:v>
      </x:c>
      <x:c r="C19" s="16"/>
      <x:c r="D19" s="16"/>
      <x:c r="E19" s="16"/>
      <x:c r="F19" s="16"/>
      <x:c r="G19" s="16"/>
      <x:c r="H19" s="16"/>
      <x:c r="I19" s="16"/>
      <x:c r="J19" s="16"/>
    </x:row>
    <x:row r="20" ht="22" customHeight="1">
      <x:c r="A20" s="14" t="str">
        <x:v>4</x:v>
      </x:c>
      <x:c r="B20" s="16" t="str">
        <x:v>Resolve all failed checks and verify address, taxes, rent, expenses, financing, and exit evidence before relying on outputs.</x:v>
      </x:c>
      <x:c r="C20" s="16"/>
      <x:c r="D20" s="16"/>
      <x:c r="E20" s="16"/>
      <x:c r="F20" s="16"/>
      <x:c r="G20" s="16"/>
      <x:c r="H20" s="16"/>
      <x:c r="I20" s="16"/>
      <x:c r="J20" s="16"/>
    </x:row>
    <x:row r="21" ht="22" customHeight="1">
      <x:c r="A21" s="14" t="str">
        <x:v>5</x:v>
      </x:c>
      <x:c r="B21" s="16" t="str">
        <x:v>This model is illustrative and is not an appraisal, credit decision, tax opinion, or investment recommendation.</x:v>
      </x:c>
      <x:c r="C21" s="16"/>
      <x:c r="D21" s="16"/>
      <x:c r="E21" s="16"/>
      <x:c r="F21" s="16"/>
      <x:c r="G21" s="16"/>
      <x:c r="H21" s="16"/>
      <x:c r="I21" s="16"/>
      <x:c r="J21" s="16"/>
    </x:row>
    <x:row r="22" ht="22" customHeight="1"/>
    <x:row r="23" ht="22" customHeight="1"/>
    <x:row r="24" ht="22" customHeight="1">
      <x:c r="A24" s="12" t="str">
        <x:v>MODEL COLOR CONVENTION</x:v>
      </x:c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2" customHeight="1">
      <x:c r="A25" s="17" t="str">
        <x:v>Blue font</x:v>
      </x:c>
      <x:c r="B25" t="str">
        <x:v>Editable assumption</x:v>
      </x:c>
      <x:c r="C25" s="18" t="str">
        <x:v>Green font</x:v>
      </x:c>
      <x:c r="D25" t="str">
        <x:v>Internal worksheet link</x:v>
      </x:c>
    </x:row>
    <x:row r="26" ht="22" customHeight="1">
      <x:c r="A26" s="19" t="str">
        <x:v>Black font</x:v>
      </x:c>
      <x:c r="B26" t="str">
        <x:v>Formula / calculation</x:v>
      </x:c>
      <x:c r="C26" s="20" t="str">
        <x:v>Red font</x:v>
      </x:c>
      <x:c r="D26" t="str">
        <x:v>External workbook link</x:v>
      </x:c>
    </x:row>
    <x:row r="27" ht="22" customHeight="1">
      <x:c r="A27" s="21" t="str">
        <x:v>Yellow fill</x:v>
      </x:c>
      <x:c r="B27" t="str">
        <x:v>Input requiring verification</x:v>
      </x:c>
      <x:c r="C27" s="22" t="str">
        <x:v>Green fill</x:v>
      </x:c>
      <x:c r="D27" t="str">
        <x:v>Check passed</x:v>
      </x:c>
    </x:row>
    <x:row r="28" ht="22" customHeight="1">
      <x:c r="A28" s="23" t="str">
        <x:v>Red fill</x:v>
      </x:c>
      <x:c r="B28" t="str">
        <x:v>Check failed</x:v>
      </x:c>
      <x:c r="C28" s="24" t="str">
        <x:v>Gold accent</x:v>
      </x:c>
      <x:c r="D28" t="str">
        <x:v>Key investment-committee output</x:v>
      </x:c>
    </x:row>
    <x:row r="29" ht="22" customHeight="1"/>
    <x:row r="30" ht="22" customHeight="1"/>
  </x:sheetData>
  <x:mergeCells>
    <x:mergeCell ref="A1:J3"/>
    <x:mergeCell ref="A4:J4"/>
    <x:mergeCell ref="A16:J16"/>
    <x:mergeCell ref="B17:J17"/>
    <x:mergeCell ref="B18:J18"/>
    <x:mergeCell ref="B19:J19"/>
    <x:mergeCell ref="B20:J20"/>
    <x:mergeCell ref="B21:J21"/>
    <x:mergeCell ref="A24:J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26" t="str">
        <x:v>Executive Summary</x:v>
      </x:c>
    </x:row>
    <x:row r="2">
      <x:c r="A2" s="27" t="str">
        <x:v>Investment-committee view: base-case economics, credit metrics, valuation, and distribution risk.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4">
      <x:c r="A4" s="12" t="str">
        <x:v>PROPERTY &amp; BASIS</x:v>
      </x:c>
      <x:c r="B4" s="12"/>
      <x:c r="C4" s="12"/>
      <x:c r="D4" s="12"/>
      <x:c r="E4" s="12"/>
      <x:c r="F4" s="12" t="str">
        <x:v>MONTE CARLO DISTRIBUTION</x:v>
      </x:c>
      <x:c r="G4" s="12"/>
      <x:c r="H4" s="12"/>
      <x:c r="I4" s="12"/>
      <x:c r="J4" s="12"/>
    </x:row>
    <x:row r="5">
      <x:c r="A5" s="140" t="str">
        <x:v>Address</x:v>
      </x:c>
      <x:c r="B5" t="str">
        <x:f>'Assumptions'!$B$5</x:f>
        <x:v>567 Design Way, Austin, TX 78701</x:v>
      </x:c>
      <x:c r="F5" s="142" t="str">
        <x:v>Metric</x:v>
      </x:c>
      <x:c r="G5" s="72" t="str">
        <x:v>Value</x:v>
      </x:c>
    </x:row>
    <x:row r="6">
      <x:c r="A6" s="140" t="str">
        <x:v>Asset / Market</x:v>
      </x:c>
      <x:c r="B6" t="str">
        <x:f>'Assumptions'!$B$6&amp;" / "&amp;'Assumptions'!$B$7</x:f>
        <x:v>Multifamily / Austin, TX</x:v>
      </x:c>
      <x:c r="F6" s="140" t="str">
        <x:v>P10 annualized return</x:v>
      </x:c>
      <x:c r="G6" s="127" t="n">
        <x:f>'Monte Carlo'!$B$4</x:f>
        <x:v>0.16132300361856</x:v>
      </x:c>
    </x:row>
    <x:row r="7">
      <x:c r="A7" s="140" t="str">
        <x:v>Purchase price</x:v>
      </x:c>
      <x:c r="B7" s="88" t="n">
        <x:f>'Assumptions'!$B$10</x:f>
        <x:v>3000000</x:v>
      </x:c>
      <x:c r="F7" s="140" t="str">
        <x:v>P50 annualized return</x:v>
      </x:c>
      <x:c r="G7" s="127" t="n">
        <x:f>'Monte Carlo'!$D$4</x:f>
        <x:v>0.20153850641678</x:v>
      </x:c>
    </x:row>
    <x:row r="8">
      <x:c r="A8" s="140" t="str">
        <x:v>Total basis</x:v>
      </x:c>
      <x:c r="B8" s="88" t="n">
        <x:f>SUM('Assumptions'!$B$10:$B$13)</x:f>
        <x:v>3225000</x:v>
      </x:c>
      <x:c r="F8" s="140" t="str">
        <x:v>P90 annualized return</x:v>
      </x:c>
      <x:c r="G8" s="127" t="n">
        <x:f>'Monte Carlo'!$F$4</x:f>
        <x:v>0.23937668792106</x:v>
      </x:c>
    </x:row>
    <x:row r="9">
      <x:c r="A9" s="140" t="str">
        <x:v>Loan amount</x:v>
      </x:c>
      <x:c r="B9" s="88" t="n">
        <x:f>'Assumptions'!$B$10*'Assumptions'!$B$33</x:f>
        <x:v>1950000</x:v>
      </x:c>
      <x:c r="F9" s="140" t="str">
        <x:v>Probability return &gt; 0</x:v>
      </x:c>
      <x:c r="G9" s="127" t="n">
        <x:f>'Monte Carlo'!$H$4</x:f>
        <x:v>1</x:v>
      </x:c>
    </x:row>
    <x:row r="10">
      <x:c r="A10" s="140" t="str">
        <x:v>Initial equity</x:v>
      </x:c>
      <x:c r="B10" s="88" t="n">
        <x:f>-'Monthly Cash Flow'!$S$5</x:f>
        <x:v>1294500</x:v>
      </x:c>
      <x:c r="F10" s="140" t="str">
        <x:v>P10 NPV</x:v>
      </x:c>
      <x:c r="G10" s="88" t="n">
        <x:f>'Monte Carlo'!$B$5</x:f>
        <x:v>396053.22854776174</x:v>
      </x:c>
    </x:row>
    <x:row r="11">
      <x:c r="A11" s="140"/>
      <x:c r="F11" s="140" t="str">
        <x:v>P50 NPV</x:v>
      </x:c>
      <x:c r="G11" s="88" t="n">
        <x:f>'Monte Carlo'!$D$5</x:f>
        <x:v>718953.2127793782</x:v>
      </x:c>
    </x:row>
    <x:row r="12">
      <x:c r="A12" s="141" t="str">
        <x:v>BASE-CASE RETURNS &amp; COVERAGE</x:v>
      </x:c>
      <x:c r="B12" s="12"/>
      <x:c r="C12" s="12"/>
      <x:c r="D12" s="12"/>
      <x:c r="E12" s="12"/>
      <x:c r="F12" s="140" t="str">
        <x:v>P90 NPV</x:v>
      </x:c>
      <x:c r="G12" s="88" t="n">
        <x:f>'Monte Carlo'!$F$5</x:f>
        <x:v>1071142.462494415</x:v>
      </x:c>
    </x:row>
    <x:row r="13">
      <x:c r="A13" s="140" t="str">
        <x:v>Year-one NOI</x:v>
      </x:c>
      <x:c r="B13" s="137" t="n">
        <x:f>'Annual Cash Flow'!$H$5</x:f>
        <x:v>215107.2</x:v>
      </x:c>
      <x:c r="F13" s="140"/>
    </x:row>
    <x:row r="14">
      <x:c r="A14" s="140" t="str">
        <x:v>Going-in cap rate</x:v>
      </x:c>
      <x:c r="B14" s="138" t="n">
        <x:f>B13/'Assumptions'!$B$10</x:f>
        <x:v>0.0717024</x:v>
      </x:c>
      <x:c r="F14" s="141" t="str">
        <x:v>DECISION FLAGS</x:v>
      </x:c>
      <x:c r="G14" s="12"/>
      <x:c r="H14" s="12"/>
      <x:c r="I14" s="12"/>
      <x:c r="J14" s="12"/>
    </x:row>
    <x:row r="15">
      <x:c r="A15" s="140" t="str">
        <x:v>Cash-on-cash return</x:v>
      </x:c>
      <x:c r="B15" s="138" t="n">
        <x:f>('Annual Cash Flow'!$H$5+'Annual Cash Flow'!$I$5+'Annual Cash Flow'!$J$5)/B10</x:f>
        <x:v>0.050134738918670915</x:v>
      </x:c>
      <x:c r="F15" s="140" t="str">
        <x:v>Credit coverage</x:v>
      </x:c>
      <x:c r="G15" t="str">
        <x:f>IF(B16&gt;=1.35,"STRONG",IF(B16&gt;=1.20,"ACCEPTABLE","WEAK"))</x:f>
        <x:v>STRONG</x:v>
      </x:c>
    </x:row>
    <x:row r="16">
      <x:c r="A16" s="140" t="str">
        <x:v>Year-one DSCR</x:v>
      </x:c>
      <x:c r="B16" s="139" t="n">
        <x:f>'Debt Schedule'!$G$5</x:f>
        <x:v>1.951833156271425</x:v>
      </x:c>
      <x:c r="F16" s="140" t="str">
        <x:v>Leverage</x:v>
      </x:c>
      <x:c r="G16" t="str">
        <x:f>IF('Assumptions'!$B$33&lt;=0.65,"CONSERVATIVE",IF('Assumptions'!$B$33&lt;=0.75,"MODERATE","AGGRESSIVE"))</x:f>
        <x:v>CONSERVATIVE</x:v>
      </x:c>
    </x:row>
    <x:row r="17">
      <x:c r="A17" s="140" t="str">
        <x:v>Debt yield</x:v>
      </x:c>
      <x:c r="B17" s="139" t="n">
        <x:f>B13/B9</x:f>
        <x:v>0.11031138461538462</x:v>
      </x:c>
      <x:c r="F17" s="140" t="str">
        <x:v>Downside return</x:v>
      </x:c>
      <x:c r="G17" t="str">
        <x:f>IF(G6&gt;0,"POSITIVE P10","NEGATIVE P10")</x:f>
        <x:v>POSITIVE P10</x:v>
      </x:c>
    </x:row>
    <x:row r="18">
      <x:c r="A18" s="140" t="str">
        <x:v>Levered IRR</x:v>
      </x:c>
      <x:c r="B18" s="138" t="n">
        <x:f>(1+IRR('Monthly Cash Flow'!$S$5:$S$65))^12-1</x:f>
        <x:v>0.12487809268096739</x:v>
      </x:c>
      <x:c r="F18" s="140" t="str">
        <x:v>Model checks</x:v>
      </x:c>
      <x:c r="G18" t="str">
        <x:f>'Checks'!$G$12</x:f>
        <x:v>Resolve all failed checks before reliance.</x:v>
      </x:c>
    </x:row>
    <x:row r="19">
      <x:c r="A19" s="140" t="str">
        <x:v>Equity multiple</x:v>
      </x:c>
      <x:c r="B19" s="139" t="n">
        <x:f>SUMIF('Monthly Cash Flow'!$S$5:$S$65,"&gt;0",'Monthly Cash Flow'!$S$5:$S$65)/ABS(SUMIF('Monthly Cash Flow'!$S$5:$S$65,"&lt;0",'Monthly Cash Flow'!$S$5:$S$65))</x:f>
        <x:v>1.6977152377158187</x:v>
      </x:c>
      <x:c r="F19" s="140" t="str">
        <x:v>Property data</x:v>
      </x:c>
      <x:c r="G19" t="str">
        <x:v>VERIFY</x:v>
      </x:c>
    </x:row>
    <x:row r="20">
      <x:c r="A20" s="140" t="str">
        <x:v>NPV</x:v>
      </x:c>
      <x:c r="B20" s="137" t="n">
        <x:f>NPV((1+'Assumptions'!$B$43)^(1/12)-1,'Monthly Cash Flow'!$S$6:$S$65)+'Monthly Cash Flow'!$S$5</x:f>
        <x:v>134843.86428568442</x:v>
      </x:c>
      <x:c r="F20" s="140" t="str">
        <x:v>Recommendation</x:v>
      </x:c>
      <x:c r="G20" t="str">
        <x:f>IF(AND(B16&gt;=1.2,B18&gt;=0.12,G6&gt;0,G18="OK"),"ADVANCE TO DILIGENCE","REVIEW / REPRICE")</x:f>
        <x:v>REVIEW / REPRICE</x:v>
      </x:c>
    </x:row>
    <x:row r="21">
      <x:c r="A21" s="140" t="str">
        <x:v>Net exit equity</x:v>
      </x:c>
      <x:c r="B21" s="137" t="n">
        <x:f>'Monthly Cash Flow'!$Q$65+'Monthly Cash Flow'!$R$65</x:f>
        <x:v>1775671.4816530265</x:v>
      </x:c>
    </x:row>
    <x:row r="22">
      <x:c r="A22" s="140" t="str">
        <x:v>Break-even occupancy</x:v>
      </x:c>
      <x:c r="B22" s="138" t="n">
        <x:f>(ABS('Annual Cash Flow'!$F$5)+ABS('Annual Cash Flow'!$G$5)+ABS('Annual Cash Flow'!$I$5))/('Assumptions'!$B$17+'Assumptions'!$B$18)</x:f>
        <x:v>0.6624883081211124</x:v>
      </x:c>
    </x:row>
  </x:sheetData>
  <x:mergeCells>
    <x:mergeCell ref="A1:J1"/>
    <x:mergeCell ref="A2:J2"/>
    <x:mergeCell ref="A4:E4"/>
    <x:mergeCell ref="A12:E12"/>
    <x:mergeCell ref="F4:J4"/>
    <x:mergeCell ref="F14:J14"/>
  </x:mergeCells>
  <x:conditionalFormatting sqref="G15:G20">
    <x:cfRule type="containsText" dxfId="0" priority="1" operator="containsText" text="STRONG"/>
    <x:cfRule type="containsText" dxfId="1" priority="2" operator="containsText" text="WEA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</x:cols>
  <x:sheetData>
    <x:row r="1" ht="20" customHeight="1">
      <x:c r="A1" s="26" t="str">
        <x:v>Assumptions</x:v>
      </x:c>
    </x:row>
    <x:row r="2" ht="20" customHeight="1">
      <x:c r="A2" s="27" t="str">
        <x:v>Blue values are editable. All rates are decimal percentages and all amounts are nominal USD.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3" ht="20" customHeight="1"/>
    <x:row r="4" ht="20" customHeight="1">
      <x:c r="A4" s="12" t="str">
        <x:v>PROPERTY &amp; ACQUISITION</x:v>
      </x:c>
      <x:c r="B4" s="12"/>
      <x:c r="C4" s="12"/>
      <x:c r="D4" s="12"/>
      <x:c r="E4" s="12"/>
      <x:c r="F4" s="12"/>
    </x:row>
    <x:row r="5" ht="20" customHeight="1">
      <x:c r="A5" s="28" t="str">
        <x:v>Property address</x:v>
      </x:c>
      <x:c r="B5" s="35" t="str">
        <x:v>567 Design Way, Austin, TX 78701</x:v>
      </x:c>
    </x:row>
    <x:row r="6" ht="20" customHeight="1">
      <x:c r="A6" s="28" t="str">
        <x:v>Asset type</x:v>
      </x:c>
      <x:c r="B6" s="36" t="str">
        <x:v>Multifamily</x:v>
      </x:c>
    </x:row>
    <x:row r="7" ht="20" customHeight="1">
      <x:c r="A7" s="28" t="str">
        <x:v>Market</x:v>
      </x:c>
      <x:c r="B7" s="36" t="str">
        <x:v>Austin, TX</x:v>
      </x:c>
    </x:row>
    <x:row r="8" ht="20" customHeight="1">
      <x:c r="A8" s="28" t="str">
        <x:v>Units</x:v>
      </x:c>
      <x:c r="B8" s="36" t="n">
        <x:v>12</x:v>
      </x:c>
    </x:row>
    <x:row r="9" ht="20" customHeight="1">
      <x:c r="A9" s="28" t="str">
        <x:v>Rentable square feet</x:v>
      </x:c>
      <x:c r="B9" s="36" t="n">
        <x:v>18000</x:v>
      </x:c>
    </x:row>
    <x:row r="10" ht="20" customHeight="1">
      <x:c r="A10" s="28" t="str">
        <x:v>Purchase price</x:v>
      </x:c>
      <x:c r="B10" s="57" t="n">
        <x:v>3000000</x:v>
      </x:c>
    </x:row>
    <x:row r="11" ht="20" customHeight="1">
      <x:c r="A11" s="28" t="str">
        <x:v>Closing costs</x:v>
      </x:c>
      <x:c r="B11" s="57" t="n">
        <x:v>75000</x:v>
      </x:c>
    </x:row>
    <x:row r="12" ht="20" customHeight="1">
      <x:c r="A12" s="28" t="str">
        <x:v>Due diligence costs</x:v>
      </x:c>
      <x:c r="B12" s="57" t="n">
        <x:v>25000</x:v>
      </x:c>
    </x:row>
    <x:row r="13" ht="20" customHeight="1">
      <x:c r="A13" s="28" t="str">
        <x:v>Initial capital work</x:v>
      </x:c>
      <x:c r="B13" s="57" t="n">
        <x:v>125000</x:v>
      </x:c>
    </x:row>
    <x:row r="14" ht="20" customHeight="1">
      <x:c r="A14" s="28" t="str">
        <x:v>Hold period (months)</x:v>
      </x:c>
      <x:c r="B14" s="37" t="n">
        <x:v>60</x:v>
      </x:c>
    </x:row>
    <x:row r="15" ht="20" customHeight="1">
      <x:c r="A15" s="28"/>
    </x:row>
    <x:row r="16" ht="20" customHeight="1">
      <x:c r="A16" s="29" t="str">
        <x:v>YEAR-ONE OPERATIONS</x:v>
      </x:c>
      <x:c r="B16" s="12"/>
      <x:c r="C16" s="12"/>
      <x:c r="D16" s="12"/>
      <x:c r="E16" s="12"/>
      <x:c r="F16" s="12"/>
    </x:row>
    <x:row r="17" ht="20" customHeight="1">
      <x:c r="A17" s="28" t="str">
        <x:v>Gross scheduled rent</x:v>
      </x:c>
      <x:c r="B17" s="58" t="n">
        <x:v>360000</x:v>
      </x:c>
    </x:row>
    <x:row r="18" ht="20" customHeight="1">
      <x:c r="A18" s="28" t="str">
        <x:v>Other income</x:v>
      </x:c>
      <x:c r="B18" s="57" t="n">
        <x:v>18000</x:v>
      </x:c>
    </x:row>
    <x:row r="19" ht="20" customHeight="1">
      <x:c r="A19" s="28" t="str">
        <x:v>Vacancy rate</x:v>
      </x:c>
      <x:c r="B19" s="59" t="n">
        <x:v>0.05</x:v>
      </x:c>
    </x:row>
    <x:row r="20" ht="20" customHeight="1">
      <x:c r="A20" s="28" t="str">
        <x:v>Credit loss</x:v>
      </x:c>
      <x:c r="B20" s="59" t="n">
        <x:v>0.01</x:v>
      </x:c>
    </x:row>
    <x:row r="21" ht="20" customHeight="1">
      <x:c r="A21" s="28" t="str">
        <x:v>Property taxes</x:v>
      </x:c>
      <x:c r="B21" s="57" t="n">
        <x:v>54000</x:v>
      </x:c>
    </x:row>
    <x:row r="22" ht="20" customHeight="1">
      <x:c r="A22" s="28" t="str">
        <x:v>Insurance</x:v>
      </x:c>
      <x:c r="B22" s="57" t="n">
        <x:v>24000</x:v>
      </x:c>
    </x:row>
    <x:row r="23" ht="20" customHeight="1">
      <x:c r="A23" s="28" t="str">
        <x:v>Repairs &amp; maintenance</x:v>
      </x:c>
      <x:c r="B23" s="57" t="n">
        <x:v>18000</x:v>
      </x:c>
    </x:row>
    <x:row r="24" ht="20" customHeight="1">
      <x:c r="A24" s="28" t="str">
        <x:v>Utilities</x:v>
      </x:c>
      <x:c r="B24" s="57" t="n">
        <x:v>12000</x:v>
      </x:c>
    </x:row>
    <x:row r="25" ht="20" customHeight="1">
      <x:c r="A25" s="28" t="str">
        <x:v>Payroll &amp; administration</x:v>
      </x:c>
      <x:c r="B25" s="57" t="n">
        <x:v>18000</x:v>
      </x:c>
    </x:row>
    <x:row r="26" ht="20" customHeight="1">
      <x:c r="A26" s="28" t="str">
        <x:v>Management fee</x:v>
      </x:c>
      <x:c r="B26" s="59" t="n">
        <x:v>0.04</x:v>
      </x:c>
    </x:row>
    <x:row r="27" ht="20" customHeight="1">
      <x:c r="A27" s="28" t="str">
        <x:v>Replacement reserves</x:v>
      </x:c>
      <x:c r="B27" s="57" t="n">
        <x:v>30000</x:v>
      </x:c>
    </x:row>
    <x:row r="28" ht="20" customHeight="1">
      <x:c r="A28" s="28" t="str">
        <x:v>Annual below-NOI capital / TI / LC</x:v>
      </x:c>
      <x:c r="B28" s="57" t="n">
        <x:v>10000</x:v>
      </x:c>
    </x:row>
    <x:row r="29" ht="20" customHeight="1">
      <x:c r="A29" s="28" t="str">
        <x:v>Annual income growth</x:v>
      </x:c>
      <x:c r="B29" s="59" t="n">
        <x:v>0.03</x:v>
      </x:c>
    </x:row>
    <x:row r="30" ht="20" customHeight="1">
      <x:c r="A30" s="28" t="str">
        <x:v>Annual expense growth</x:v>
      </x:c>
      <x:c r="B30" s="60" t="n">
        <x:v>0.03</x:v>
      </x:c>
    </x:row>
    <x:row r="31" ht="20" customHeight="1">
      <x:c r="A31" s="28"/>
    </x:row>
    <x:row r="32" ht="20" customHeight="1">
      <x:c r="A32" s="29" t="str">
        <x:v>DEBT &amp; CAPITAL STRUCTURE</x:v>
      </x:c>
      <x:c r="B32" s="12"/>
      <x:c r="C32" s="12"/>
      <x:c r="D32" s="12"/>
      <x:c r="E32" s="12"/>
      <x:c r="F32" s="12"/>
    </x:row>
    <x:row r="33" ht="20" customHeight="1">
      <x:c r="A33" s="28" t="str">
        <x:v>Loan-to-value</x:v>
      </x:c>
      <x:c r="B33" s="61" t="n">
        <x:v>0.65</x:v>
      </x:c>
    </x:row>
    <x:row r="34" ht="20" customHeight="1">
      <x:c r="A34" s="28" t="str">
        <x:v>Annual interest rate</x:v>
      </x:c>
      <x:c r="B34" s="59" t="n">
        <x:v>0.0675</x:v>
      </x:c>
    </x:row>
    <x:row r="35" ht="20" customHeight="1">
      <x:c r="A35" s="28" t="str">
        <x:v>Amortization (years)</x:v>
      </x:c>
      <x:c r="B35" s="36" t="n">
        <x:v>30</x:v>
      </x:c>
    </x:row>
    <x:row r="36" ht="20" customHeight="1">
      <x:c r="A36" s="28" t="str">
        <x:v>Interest-only period (months)</x:v>
      </x:c>
      <x:c r="B36" s="36" t="n">
        <x:v>0</x:v>
      </x:c>
    </x:row>
    <x:row r="37" ht="20" customHeight="1">
      <x:c r="A37" s="28" t="str">
        <x:v>Loan term (months)</x:v>
      </x:c>
      <x:c r="B37" s="36" t="n">
        <x:v>120</x:v>
      </x:c>
    </x:row>
    <x:row r="38" ht="20" customHeight="1">
      <x:c r="A38" s="28" t="str">
        <x:v>Origination fee</x:v>
      </x:c>
      <x:c r="B38" s="60" t="n">
        <x:v>0.01</x:v>
      </x:c>
    </x:row>
    <x:row r="39" ht="20" customHeight="1">
      <x:c r="A39" s="28"/>
    </x:row>
    <x:row r="40" ht="20" customHeight="1">
      <x:c r="A40" s="29" t="str">
        <x:v>EXIT &amp; DISCOUNTING</x:v>
      </x:c>
      <x:c r="B40" s="12"/>
      <x:c r="C40" s="12"/>
      <x:c r="D40" s="12"/>
      <x:c r="E40" s="12"/>
      <x:c r="F40" s="12"/>
    </x:row>
    <x:row r="41" ht="20" customHeight="1">
      <x:c r="A41" s="28" t="str">
        <x:v>Exit capitalization rate</x:v>
      </x:c>
      <x:c r="B41" s="61" t="n">
        <x:v>0.065</x:v>
      </x:c>
    </x:row>
    <x:row r="42" ht="20" customHeight="1">
      <x:c r="A42" s="28" t="str">
        <x:v>Selling costs</x:v>
      </x:c>
      <x:c r="B42" s="59" t="n">
        <x:v>0.06</x:v>
      </x:c>
    </x:row>
    <x:row r="43" ht="20" customHeight="1">
      <x:c r="A43" s="28" t="str">
        <x:v>Annual discount rate</x:v>
      </x:c>
      <x:c r="B43" s="60" t="n">
        <x:v>0.1</x:v>
      </x:c>
    </x:row>
    <x:row r="44" ht="20" customHeight="1">
      <x:c r="A44" s="28"/>
    </x:row>
    <x:row r="45" ht="20" customHeight="1">
      <x:c r="A45" s="29" t="str">
        <x:v>MONTE CARLO DISTRIBUTIONS — TRIANGULAR</x:v>
      </x:c>
      <x:c r="B45" s="12"/>
      <x:c r="C45" s="12"/>
      <x:c r="D45" s="12"/>
      <x:c r="E45" s="12"/>
      <x:c r="F45" s="12"/>
    </x:row>
    <x:row r="46" ht="20" customHeight="1">
      <x:c r="A46" s="73" t="str">
        <x:v>Driver</x:v>
      </x:c>
      <x:c r="B46" s="74" t="str">
        <x:v>Minimum</x:v>
      </x:c>
      <x:c r="C46" s="74" t="str">
        <x:v>Mode</x:v>
      </x:c>
      <x:c r="D46" s="74" t="str">
        <x:v>Maximum</x:v>
      </x:c>
    </x:row>
    <x:row r="47" ht="20" customHeight="1">
      <x:c r="A47" s="28" t="str">
        <x:v>Rent change</x:v>
      </x:c>
      <x:c r="B47" s="62" t="n">
        <x:v>-0.1</x:v>
      </x:c>
      <x:c r="C47" s="63" t="n">
        <x:v>0.02</x:v>
      </x:c>
      <x:c r="D47" s="64" t="n">
        <x:v>0.1</x:v>
      </x:c>
    </x:row>
    <x:row r="48" ht="20" customHeight="1">
      <x:c r="A48" s="28" t="str">
        <x:v>Vacancy rate</x:v>
      </x:c>
      <x:c r="B48" s="65" t="n">
        <x:v>0.03</x:v>
      </x:c>
      <x:c r="C48" s="66" t="n">
        <x:v>0.06</x:v>
      </x:c>
      <x:c r="D48" s="67" t="n">
        <x:v>0.14</x:v>
      </x:c>
    </x:row>
    <x:row r="49" ht="20" customHeight="1">
      <x:c r="A49" s="28" t="str">
        <x:v>Operating expense change</x:v>
      </x:c>
      <x:c r="B49" s="65" t="n">
        <x:v>-0.03</x:v>
      </x:c>
      <x:c r="C49" s="66" t="n">
        <x:v>0.03</x:v>
      </x:c>
      <x:c r="D49" s="67" t="n">
        <x:v>0.15</x:v>
      </x:c>
    </x:row>
    <x:row r="50" ht="20" customHeight="1">
      <x:c r="A50" s="28" t="str">
        <x:v>Exit cap rate</x:v>
      </x:c>
      <x:c r="B50" s="65" t="n">
        <x:v>0.0575</x:v>
      </x:c>
      <x:c r="C50" s="66" t="n">
        <x:v>0.0675</x:v>
      </x:c>
      <x:c r="D50" s="67" t="n">
        <x:v>0.08</x:v>
      </x:c>
    </x:row>
    <x:row r="51" ht="20" customHeight="1">
      <x:c r="A51" s="28" t="str">
        <x:v>Interest rate</x:v>
      </x:c>
      <x:c r="B51" s="68" t="n">
        <x:v>0.0575</x:v>
      </x:c>
      <x:c r="C51" s="69" t="n">
        <x:v>0.0675</x:v>
      </x:c>
      <x:c r="D51" s="70" t="n">
        <x:v>0.085</x:v>
      </x:c>
    </x:row>
    <x:row r="52" ht="20" customHeight="1">
      <x:c r="A52" s="28"/>
    </x:row>
    <x:row r="53" ht="20" customHeight="1">
      <x:c r="A53" s="28" t="str">
        <x:v>Monte Carlo iterations</x:v>
      </x:c>
      <x:c r="B53" s="56" t="n">
        <x:v>1000</x:v>
      </x:c>
    </x:row>
    <x:row r="54" ht="20" customHeight="1"/>
    <x:row r="55" ht="20" customHeight="1"/>
  </x:sheetData>
  <x:mergeCells>
    <x:mergeCell ref="A1:F1"/>
    <x:mergeCell ref="A2:J2"/>
    <x:mergeCell ref="A4:F4"/>
    <x:mergeCell ref="A16:F16"/>
    <x:mergeCell ref="A32:F32"/>
    <x:mergeCell ref="A40:F40"/>
    <x:mergeCell ref="A45:F45"/>
  </x:mergeCells>
  <x:pageMargins left="0.7" right="0.7" top="0.75" bottom="0.75" header="0.3" footer="0.3"/>
  <x:legacyDrawing xmlns:r="http://schemas.openxmlformats.org/officeDocument/2006/relationships" r:id="R810c8f3a25b04c8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34" customHeight="1">
      <x:c r="A1" s="26" t="str">
        <x:v>Monthly Levered Cash Flow</x:v>
      </x:c>
    </x:row>
    <x:row r="2">
      <x:c r="A2" s="27" t="str">
        <x:v>60-month base-case schedule; formulas link only to the Assumptions sheet and preceding periods.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4">
      <x:c r="A4" s="85" t="str">
        <x:v>Month</x:v>
      </x:c>
      <x:c r="B4" s="86" t="str">
        <x:v>Year</x:v>
      </x:c>
      <x:c r="C4" s="86" t="str">
        <x:v>Period</x:v>
      </x:c>
      <x:c r="D4" s="86" t="str">
        <x:v>Beginning Debt</x:v>
      </x:c>
      <x:c r="E4" s="86" t="str">
        <x:v>Interest</x:v>
      </x:c>
      <x:c r="F4" s="86" t="str">
        <x:v>Principal</x:v>
      </x:c>
      <x:c r="G4" s="86" t="str">
        <x:v>Debt Service</x:v>
      </x:c>
      <x:c r="H4" s="86" t="str">
        <x:v>Gross Rent</x:v>
      </x:c>
      <x:c r="I4" s="86" t="str">
        <x:v>Other Income</x:v>
      </x:c>
      <x:c r="J4" s="86" t="str">
        <x:v>Vacancy / Credit Loss</x:v>
      </x:c>
      <x:c r="K4" s="86" t="str">
        <x:v>Effective Gross Income</x:v>
      </x:c>
      <x:c r="L4" s="86" t="str">
        <x:v>Operating Expenses</x:v>
      </x:c>
      <x:c r="M4" s="86" t="str">
        <x:v>Management Fee</x:v>
      </x:c>
      <x:c r="N4" s="86" t="str">
        <x:v>NOI</x:v>
      </x:c>
      <x:c r="O4" s="86" t="str">
        <x:v>Reserves</x:v>
      </x:c>
      <x:c r="P4" s="86" t="str">
        <x:v>Below-NOI Capital</x:v>
      </x:c>
      <x:c r="Q4" s="86" t="str">
        <x:v>Net Sale Proceeds</x:v>
      </x:c>
      <x:c r="R4" s="86" t="str">
        <x:v>Loan Payoff</x:v>
      </x:c>
      <x:c r="S4" s="86" t="str">
        <x:v>Net Cash Flow</x:v>
      </x:c>
      <x:c r="T4" s="87" t="str">
        <x:v>Ending Debt</x:v>
      </x:c>
    </x:row>
    <x:row r="5">
      <x:c r="A5" s="93" t="n">
        <x:v>0</x:v>
      </x:c>
      <x:c r="B5" s="93" t="n">
        <x:v>0</x:v>
      </x:c>
      <x:c r="C5" s="94" t="str">
        <x:v>Acquisition</x:v>
      </x:c>
      <x:c r="D5" s="95" t="n">
        <x:v>0</x:v>
      </x:c>
      <x:c r="E5" s="95" t="n">
        <x:v>0</x:v>
      </x:c>
      <x:c r="F5" s="95" t="n">
        <x:v>0</x:v>
      </x:c>
      <x:c r="G5" s="95" t="n">
        <x:v>0</x:v>
      </x:c>
      <x:c r="H5" s="95" t="n">
        <x:v>0</x:v>
      </x:c>
      <x:c r="I5" s="95" t="n">
        <x:v>0</x:v>
      </x:c>
      <x:c r="J5" s="95" t="n">
        <x:v>0</x:v>
      </x:c>
      <x:c r="K5" s="95" t="n">
        <x:v>0</x:v>
      </x:c>
      <x:c r="L5" s="95" t="n">
        <x:v>0</x:v>
      </x:c>
      <x:c r="M5" s="95" t="n">
        <x:v>0</x:v>
      </x:c>
      <x:c r="N5" s="95" t="n">
        <x:v>0</x:v>
      </x:c>
      <x:c r="O5" s="95" t="n">
        <x:v>0</x:v>
      </x:c>
      <x:c r="P5" s="95" t="n">
        <x:v>0</x:v>
      </x:c>
      <x:c r="Q5" s="95" t="n">
        <x:v>0</x:v>
      </x:c>
      <x:c r="R5" s="95" t="n">
        <x:v>0</x:v>
      </x:c>
      <x:c r="S5" s="102" t="n">
        <x:f>-('Assumptions'!$B$10+'Assumptions'!$B$11+'Assumptions'!$B$12+'Assumptions'!$B$13+('Assumptions'!$B$10*'Assumptions'!$B$33*'Assumptions'!$B$38)-('Assumptions'!$B$10*'Assumptions'!$B$33))</x:f>
        <x:v>-1294500</x:v>
      </x:c>
      <x:c r="T5" s="95" t="n">
        <x:f>'Assumptions'!$B$10*'Assumptions'!$B$33</x:f>
        <x:v>1950000</x:v>
      </x:c>
    </x:row>
    <x:row r="6">
      <x:c r="A6" s="96" t="n">
        <x:f>1</x:f>
        <x:v>1</x:v>
      </x:c>
      <x:c r="B6" s="96" t="n">
        <x:f>ROUNDUP(A6/12,0)</x:f>
        <x:v>1</x:v>
      </x:c>
      <x:c r="C6" s="97" t="str">
        <x:f>"M"&amp;TEXT(A6,"00")</x:f>
        <x:v>M01</x:v>
      </x:c>
      <x:c r="D6" s="98" t="n">
        <x:f>T5</x:f>
        <x:v>1950000</x:v>
      </x:c>
      <x:c r="E6" s="98" t="n">
        <x:f>-D6*'Assumptions'!$B$34/12</x:f>
        <x:v>-10968.75</x:v>
      </x:c>
      <x:c r="F6" s="98" t="n">
        <x:f>IF(A6&lt;='Assumptions'!$B$36,0,-PMT('Assumptions'!$B$34/12,'Assumptions'!$B$35*12,'Assumptions'!$B$10*'Assumptions'!$B$33)+E6)</x:f>
        <x:v>1678.9128830801983</x:v>
      </x:c>
      <x:c r="G6" s="98" t="n">
        <x:f>E6+F6</x:f>
        <x:v>-9289.837116919802</x:v>
      </x:c>
      <x:c r="H6" s="98" t="n">
        <x:f>'Assumptions'!$B$17*(1+'Assumptions'!$B$29)^(B6-1)/12</x:f>
        <x:v>30000</x:v>
      </x:c>
      <x:c r="I6" s="98" t="n">
        <x:f>'Assumptions'!$B$18*(1+'Assumptions'!$B$29)^(B6-1)/12</x:f>
        <x:v>1500</x:v>
      </x:c>
      <x:c r="J6" s="98" t="n">
        <x:f>-(H6+I6)*('Assumptions'!$B$19+'Assumptions'!$B$20)</x:f>
        <x:v>-1890.0000000000002</x:v>
      </x:c>
      <x:c r="K6" s="98" t="n">
        <x:f>SUM(H6:J6)</x:f>
        <x:v>29610</x:v>
      </x:c>
      <x:c r="L6" s="98" t="n">
        <x:f>-SUM('Assumptions'!$B$21:$B$25)*(1+'Assumptions'!$B$30)^(B6-1)/12</x:f>
        <x:v>-10500</x:v>
      </x:c>
      <x:c r="M6" s="98" t="n">
        <x:f>-K6*'Assumptions'!$B$26</x:f>
        <x:v>-1184.4</x:v>
      </x:c>
      <x:c r="N6" s="98" t="n">
        <x:f>SUM(K6:M6)</x:f>
        <x:v>17925.6</x:v>
      </x:c>
      <x:c r="O6" s="98" t="n">
        <x:f>-'Assumptions'!$B$27/12</x:f>
        <x:v>-2500</x:v>
      </x:c>
      <x:c r="P6" s="98" t="n">
        <x:f>-'Assumptions'!$B$28/12</x:f>
        <x:v>-833.3333333333334</x:v>
      </x:c>
      <x:c r="Q6" s="98" t="n">
        <x:f>0</x:f>
        <x:v>0</x:v>
      </x:c>
      <x:c r="R6" s="98" t="n">
        <x:f>0</x:f>
        <x:v>0</x:v>
      </x:c>
      <x:c r="S6" s="103" t="n">
        <x:f>SUM(N6:R6)+G6</x:f>
        <x:v>5302.429549746863</x:v>
      </x:c>
      <x:c r="T6" s="98" t="n">
        <x:f>MAX(0,D6-F6)</x:f>
        <x:v>1948321.0871169197</x:v>
      </x:c>
    </x:row>
    <x:row r="7">
      <x:c r="A7" s="96" t="n">
        <x:f>2</x:f>
        <x:v>2</x:v>
      </x:c>
      <x:c r="B7" s="96" t="n">
        <x:f>ROUNDUP(A7/12,0)</x:f>
        <x:v>1</x:v>
      </x:c>
      <x:c r="C7" s="97" t="str">
        <x:f>"M"&amp;TEXT(A7,"00")</x:f>
        <x:v>M02</x:v>
      </x:c>
      <x:c r="D7" s="98" t="n">
        <x:f>T6</x:f>
        <x:v>1948321.0871169197</x:v>
      </x:c>
      <x:c r="E7" s="98" t="n">
        <x:f>-D7*'Assumptions'!$B$34/12</x:f>
        <x:v>-10959.306115032674</x:v>
      </x:c>
      <x:c r="F7" s="98" t="n">
        <x:f>IF(A7&lt;='Assumptions'!$B$36,0,-PMT('Assumptions'!$B$34/12,'Assumptions'!$B$35*12,'Assumptions'!$B$10*'Assumptions'!$B$33)+E7)</x:f>
        <x:v>1688.3567680475244</x:v>
      </x:c>
      <x:c r="G7" s="98" t="n">
        <x:f>E7+F7</x:f>
        <x:v>-9270.94934698515</x:v>
      </x:c>
      <x:c r="H7" s="98" t="n">
        <x:f>'Assumptions'!$B$17*(1+'Assumptions'!$B$29)^(B7-1)/12</x:f>
        <x:v>30000</x:v>
      </x:c>
      <x:c r="I7" s="98" t="n">
        <x:f>'Assumptions'!$B$18*(1+'Assumptions'!$B$29)^(B7-1)/12</x:f>
        <x:v>1500</x:v>
      </x:c>
      <x:c r="J7" s="98" t="n">
        <x:f>-(H7+I7)*('Assumptions'!$B$19+'Assumptions'!$B$20)</x:f>
        <x:v>-1890.0000000000002</x:v>
      </x:c>
      <x:c r="K7" s="98" t="n">
        <x:f>SUM(H7:J7)</x:f>
        <x:v>29610</x:v>
      </x:c>
      <x:c r="L7" s="98" t="n">
        <x:f>-SUM('Assumptions'!$B$21:$B$25)*(1+'Assumptions'!$B$30)^(B7-1)/12</x:f>
        <x:v>-10500</x:v>
      </x:c>
      <x:c r="M7" s="98" t="n">
        <x:f>-K7*'Assumptions'!$B$26</x:f>
        <x:v>-1184.4</x:v>
      </x:c>
      <x:c r="N7" s="98" t="n">
        <x:f>SUM(K7:M7)</x:f>
        <x:v>17925.6</x:v>
      </x:c>
      <x:c r="O7" s="98" t="n">
        <x:f>-'Assumptions'!$B$27/12</x:f>
        <x:v>-2500</x:v>
      </x:c>
      <x:c r="P7" s="98" t="n">
        <x:f>-'Assumptions'!$B$28/12</x:f>
        <x:v>-833.3333333333334</x:v>
      </x:c>
      <x:c r="Q7" s="98" t="n">
        <x:f>0</x:f>
        <x:v>0</x:v>
      </x:c>
      <x:c r="R7" s="98" t="n">
        <x:f>0</x:f>
        <x:v>0</x:v>
      </x:c>
      <x:c r="S7" s="103" t="n">
        <x:f>SUM(N7:R7)+G7</x:f>
        <x:v>5321.317319681515</x:v>
      </x:c>
      <x:c r="T7" s="98" t="n">
        <x:f>MAX(0,D7-F7)</x:f>
        <x:v>1946632.7303488723</x:v>
      </x:c>
    </x:row>
    <x:row r="8">
      <x:c r="A8" s="96" t="n">
        <x:f>3</x:f>
        <x:v>3</x:v>
      </x:c>
      <x:c r="B8" s="96" t="n">
        <x:f>ROUNDUP(A8/12,0)</x:f>
        <x:v>1</x:v>
      </x:c>
      <x:c r="C8" s="97" t="str">
        <x:f>"M"&amp;TEXT(A8,"00")</x:f>
        <x:v>M03</x:v>
      </x:c>
      <x:c r="D8" s="98" t="n">
        <x:f>T7</x:f>
        <x:v>1946632.7303488723</x:v>
      </x:c>
      <x:c r="E8" s="98" t="n">
        <x:f>-D8*'Assumptions'!$B$34/12</x:f>
        <x:v>-10949.809108212408</x:v>
      </x:c>
      <x:c r="F8" s="98" t="n">
        <x:f>IF(A8&lt;='Assumptions'!$B$36,0,-PMT('Assumptions'!$B$34/12,'Assumptions'!$B$35*12,'Assumptions'!$B$10*'Assumptions'!$B$33)+E8)</x:f>
        <x:v>1697.85377486779</x:v>
      </x:c>
      <x:c r="G8" s="98" t="n">
        <x:f>E8+F8</x:f>
        <x:v>-9251.955333344618</x:v>
      </x:c>
      <x:c r="H8" s="98" t="n">
        <x:f>'Assumptions'!$B$17*(1+'Assumptions'!$B$29)^(B8-1)/12</x:f>
        <x:v>30000</x:v>
      </x:c>
      <x:c r="I8" s="98" t="n">
        <x:f>'Assumptions'!$B$18*(1+'Assumptions'!$B$29)^(B8-1)/12</x:f>
        <x:v>1500</x:v>
      </x:c>
      <x:c r="J8" s="98" t="n">
        <x:f>-(H8+I8)*('Assumptions'!$B$19+'Assumptions'!$B$20)</x:f>
        <x:v>-1890.0000000000002</x:v>
      </x:c>
      <x:c r="K8" s="98" t="n">
        <x:f>SUM(H8:J8)</x:f>
        <x:v>29610</x:v>
      </x:c>
      <x:c r="L8" s="98" t="n">
        <x:f>-SUM('Assumptions'!$B$21:$B$25)*(1+'Assumptions'!$B$30)^(B8-1)/12</x:f>
        <x:v>-10500</x:v>
      </x:c>
      <x:c r="M8" s="98" t="n">
        <x:f>-K8*'Assumptions'!$B$26</x:f>
        <x:v>-1184.4</x:v>
      </x:c>
      <x:c r="N8" s="98" t="n">
        <x:f>SUM(K8:M8)</x:f>
        <x:v>17925.6</x:v>
      </x:c>
      <x:c r="O8" s="98" t="n">
        <x:f>-'Assumptions'!$B$27/12</x:f>
        <x:v>-2500</x:v>
      </x:c>
      <x:c r="P8" s="98" t="n">
        <x:f>-'Assumptions'!$B$28/12</x:f>
        <x:v>-833.3333333333334</x:v>
      </x:c>
      <x:c r="Q8" s="98" t="n">
        <x:f>0</x:f>
        <x:v>0</x:v>
      </x:c>
      <x:c r="R8" s="98" t="n">
        <x:f>0</x:f>
        <x:v>0</x:v>
      </x:c>
      <x:c r="S8" s="103" t="n">
        <x:f>SUM(N8:R8)+G8</x:f>
        <x:v>5340.311333322046</x:v>
      </x:c>
      <x:c r="T8" s="98" t="n">
        <x:f>MAX(0,D8-F8)</x:f>
        <x:v>1944934.8765740045</x:v>
      </x:c>
    </x:row>
    <x:row r="9">
      <x:c r="A9" s="96" t="n">
        <x:f>4</x:f>
        <x:v>4</x:v>
      </x:c>
      <x:c r="B9" s="96" t="n">
        <x:f>ROUNDUP(A9/12,0)</x:f>
        <x:v>1</x:v>
      </x:c>
      <x:c r="C9" s="97" t="str">
        <x:f>"M"&amp;TEXT(A9,"00")</x:f>
        <x:v>M04</x:v>
      </x:c>
      <x:c r="D9" s="98" t="n">
        <x:f>T8</x:f>
        <x:v>1944934.8765740045</x:v>
      </x:c>
      <x:c r="E9" s="98" t="n">
        <x:f>-D9*'Assumptions'!$B$34/12</x:f>
        <x:v>-10940.258680728775</x:v>
      </x:c>
      <x:c r="F9" s="98" t="n">
        <x:f>IF(A9&lt;='Assumptions'!$B$36,0,-PMT('Assumptions'!$B$34/12,'Assumptions'!$B$35*12,'Assumptions'!$B$10*'Assumptions'!$B$33)+E9)</x:f>
        <x:v>1707.404202351423</x:v>
      </x:c>
      <x:c r="G9" s="98" t="n">
        <x:f>E9+F9</x:f>
        <x:v>-9232.854478377352</x:v>
      </x:c>
      <x:c r="H9" s="98" t="n">
        <x:f>'Assumptions'!$B$17*(1+'Assumptions'!$B$29)^(B9-1)/12</x:f>
        <x:v>30000</x:v>
      </x:c>
      <x:c r="I9" s="98" t="n">
        <x:f>'Assumptions'!$B$18*(1+'Assumptions'!$B$29)^(B9-1)/12</x:f>
        <x:v>1500</x:v>
      </x:c>
      <x:c r="J9" s="98" t="n">
        <x:f>-(H9+I9)*('Assumptions'!$B$19+'Assumptions'!$B$20)</x:f>
        <x:v>-1890.0000000000002</x:v>
      </x:c>
      <x:c r="K9" s="98" t="n">
        <x:f>SUM(H9:J9)</x:f>
        <x:v>29610</x:v>
      </x:c>
      <x:c r="L9" s="98" t="n">
        <x:f>-SUM('Assumptions'!$B$21:$B$25)*(1+'Assumptions'!$B$30)^(B9-1)/12</x:f>
        <x:v>-10500</x:v>
      </x:c>
      <x:c r="M9" s="98" t="n">
        <x:f>-K9*'Assumptions'!$B$26</x:f>
        <x:v>-1184.4</x:v>
      </x:c>
      <x:c r="N9" s="98" t="n">
        <x:f>SUM(K9:M9)</x:f>
        <x:v>17925.6</x:v>
      </x:c>
      <x:c r="O9" s="98" t="n">
        <x:f>-'Assumptions'!$B$27/12</x:f>
        <x:v>-2500</x:v>
      </x:c>
      <x:c r="P9" s="98" t="n">
        <x:f>-'Assumptions'!$B$28/12</x:f>
        <x:v>-833.3333333333334</x:v>
      </x:c>
      <x:c r="Q9" s="98" t="n">
        <x:f>0</x:f>
        <x:v>0</x:v>
      </x:c>
      <x:c r="R9" s="98" t="n">
        <x:f>0</x:f>
        <x:v>0</x:v>
      </x:c>
      <x:c r="S9" s="103" t="n">
        <x:f>SUM(N9:R9)+G9</x:f>
        <x:v>5359.412188289312</x:v>
      </x:c>
      <x:c r="T9" s="98" t="n">
        <x:f>MAX(0,D9-F9)</x:f>
        <x:v>1943227.4723716532</x:v>
      </x:c>
    </x:row>
    <x:row r="10">
      <x:c r="A10" s="96" t="n">
        <x:f>5</x:f>
        <x:v>5</x:v>
      </x:c>
      <x:c r="B10" s="96" t="n">
        <x:f>ROUNDUP(A10/12,0)</x:f>
        <x:v>1</x:v>
      </x:c>
      <x:c r="C10" s="97" t="str">
        <x:f>"M"&amp;TEXT(A10,"00")</x:f>
        <x:v>M05</x:v>
      </x:c>
      <x:c r="D10" s="98" t="n">
        <x:f>T9</x:f>
        <x:v>1943227.4723716532</x:v>
      </x:c>
      <x:c r="E10" s="98" t="n">
        <x:f>-D10*'Assumptions'!$B$34/12</x:f>
        <x:v>-10930.65453209055</x:v>
      </x:c>
      <x:c r="F10" s="98" t="n">
        <x:f>IF(A10&lt;='Assumptions'!$B$36,0,-PMT('Assumptions'!$B$34/12,'Assumptions'!$B$35*12,'Assumptions'!$B$10*'Assumptions'!$B$33)+E10)</x:f>
        <x:v>1717.0083509896485</x:v>
      </x:c>
      <x:c r="G10" s="98" t="n">
        <x:f>E10+F10</x:f>
        <x:v>-9213.646181100901</x:v>
      </x:c>
      <x:c r="H10" s="98" t="n">
        <x:f>'Assumptions'!$B$17*(1+'Assumptions'!$B$29)^(B10-1)/12</x:f>
        <x:v>30000</x:v>
      </x:c>
      <x:c r="I10" s="98" t="n">
        <x:f>'Assumptions'!$B$18*(1+'Assumptions'!$B$29)^(B10-1)/12</x:f>
        <x:v>1500</x:v>
      </x:c>
      <x:c r="J10" s="98" t="n">
        <x:f>-(H10+I10)*('Assumptions'!$B$19+'Assumptions'!$B$20)</x:f>
        <x:v>-1890.0000000000002</x:v>
      </x:c>
      <x:c r="K10" s="98" t="n">
        <x:f>SUM(H10:J10)</x:f>
        <x:v>29610</x:v>
      </x:c>
      <x:c r="L10" s="98" t="n">
        <x:f>-SUM('Assumptions'!$B$21:$B$25)*(1+'Assumptions'!$B$30)^(B10-1)/12</x:f>
        <x:v>-10500</x:v>
      </x:c>
      <x:c r="M10" s="98" t="n">
        <x:f>-K10*'Assumptions'!$B$26</x:f>
        <x:v>-1184.4</x:v>
      </x:c>
      <x:c r="N10" s="98" t="n">
        <x:f>SUM(K10:M10)</x:f>
        <x:v>17925.6</x:v>
      </x:c>
      <x:c r="O10" s="98" t="n">
        <x:f>-'Assumptions'!$B$27/12</x:f>
        <x:v>-2500</x:v>
      </x:c>
      <x:c r="P10" s="98" t="n">
        <x:f>-'Assumptions'!$B$28/12</x:f>
        <x:v>-833.3333333333334</x:v>
      </x:c>
      <x:c r="Q10" s="98" t="n">
        <x:f>0</x:f>
        <x:v>0</x:v>
      </x:c>
      <x:c r="R10" s="98" t="n">
        <x:f>0</x:f>
        <x:v>0</x:v>
      </x:c>
      <x:c r="S10" s="103" t="n">
        <x:f>SUM(N10:R10)+G10</x:f>
        <x:v>5378.620485565763</x:v>
      </x:c>
      <x:c r="T10" s="98" t="n">
        <x:f>MAX(0,D10-F10)</x:f>
        <x:v>1941510.4640206636</x:v>
      </x:c>
    </x:row>
    <x:row r="11">
      <x:c r="A11" s="96" t="n">
        <x:f>6</x:f>
        <x:v>6</x:v>
      </x:c>
      <x:c r="B11" s="96" t="n">
        <x:f>ROUNDUP(A11/12,0)</x:f>
        <x:v>1</x:v>
      </x:c>
      <x:c r="C11" s="97" t="str">
        <x:f>"M"&amp;TEXT(A11,"00")</x:f>
        <x:v>M06</x:v>
      </x:c>
      <x:c r="D11" s="98" t="n">
        <x:f>T10</x:f>
        <x:v>1941510.4640206636</x:v>
      </x:c>
      <x:c r="E11" s="98" t="n">
        <x:f>-D11*'Assumptions'!$B$34/12</x:f>
        <x:v>-10920.996360116233</x:v>
      </x:c>
      <x:c r="F11" s="98" t="n">
        <x:f>IF(A11&lt;='Assumptions'!$B$36,0,-PMT('Assumptions'!$B$34/12,'Assumptions'!$B$35*12,'Assumptions'!$B$10*'Assumptions'!$B$33)+E11)</x:f>
        <x:v>1726.6665229639657</x:v>
      </x:c>
      <x:c r="G11" s="98" t="n">
        <x:f>E11+F11</x:f>
        <x:v>-9194.329837152267</x:v>
      </x:c>
      <x:c r="H11" s="98" t="n">
        <x:f>'Assumptions'!$B$17*(1+'Assumptions'!$B$29)^(B11-1)/12</x:f>
        <x:v>30000</x:v>
      </x:c>
      <x:c r="I11" s="98" t="n">
        <x:f>'Assumptions'!$B$18*(1+'Assumptions'!$B$29)^(B11-1)/12</x:f>
        <x:v>1500</x:v>
      </x:c>
      <x:c r="J11" s="98" t="n">
        <x:f>-(H11+I11)*('Assumptions'!$B$19+'Assumptions'!$B$20)</x:f>
        <x:v>-1890.0000000000002</x:v>
      </x:c>
      <x:c r="K11" s="98" t="n">
        <x:f>SUM(H11:J11)</x:f>
        <x:v>29610</x:v>
      </x:c>
      <x:c r="L11" s="98" t="n">
        <x:f>-SUM('Assumptions'!$B$21:$B$25)*(1+'Assumptions'!$B$30)^(B11-1)/12</x:f>
        <x:v>-10500</x:v>
      </x:c>
      <x:c r="M11" s="98" t="n">
        <x:f>-K11*'Assumptions'!$B$26</x:f>
        <x:v>-1184.4</x:v>
      </x:c>
      <x:c r="N11" s="98" t="n">
        <x:f>SUM(K11:M11)</x:f>
        <x:v>17925.6</x:v>
      </x:c>
      <x:c r="O11" s="98" t="n">
        <x:f>-'Assumptions'!$B$27/12</x:f>
        <x:v>-2500</x:v>
      </x:c>
      <x:c r="P11" s="98" t="n">
        <x:f>-'Assumptions'!$B$28/12</x:f>
        <x:v>-833.3333333333334</x:v>
      </x:c>
      <x:c r="Q11" s="98" t="n">
        <x:f>0</x:f>
        <x:v>0</x:v>
      </x:c>
      <x:c r="R11" s="98" t="n">
        <x:f>0</x:f>
        <x:v>0</x:v>
      </x:c>
      <x:c r="S11" s="103" t="n">
        <x:f>SUM(N11:R11)+G11</x:f>
        <x:v>5397.936829514398</x:v>
      </x:c>
      <x:c r="T11" s="98" t="n">
        <x:f>MAX(0,D11-F11)</x:f>
        <x:v>1939783.7974976997</x:v>
      </x:c>
    </x:row>
    <x:row r="12">
      <x:c r="A12" s="96" t="n">
        <x:f>7</x:f>
        <x:v>7</x:v>
      </x:c>
      <x:c r="B12" s="96" t="n">
        <x:f>ROUNDUP(A12/12,0)</x:f>
        <x:v>1</x:v>
      </x:c>
      <x:c r="C12" s="97" t="str">
        <x:f>"M"&amp;TEXT(A12,"00")</x:f>
        <x:v>M07</x:v>
      </x:c>
      <x:c r="D12" s="98" t="n">
        <x:f>T11</x:f>
        <x:v>1939783.7974976997</x:v>
      </x:c>
      <x:c r="E12" s="98" t="n">
        <x:f>-D12*'Assumptions'!$B$34/12</x:f>
        <x:v>-10911.283860924561</x:v>
      </x:c>
      <x:c r="F12" s="98" t="n">
        <x:f>IF(A12&lt;='Assumptions'!$B$36,0,-PMT('Assumptions'!$B$34/12,'Assumptions'!$B$35*12,'Assumptions'!$B$10*'Assumptions'!$B$33)+E12)</x:f>
        <x:v>1736.3790221556374</x:v>
      </x:c>
      <x:c r="G12" s="98" t="n">
        <x:f>E12+F12</x:f>
        <x:v>-9174.904838768924</x:v>
      </x:c>
      <x:c r="H12" s="98" t="n">
        <x:f>'Assumptions'!$B$17*(1+'Assumptions'!$B$29)^(B12-1)/12</x:f>
        <x:v>30000</x:v>
      </x:c>
      <x:c r="I12" s="98" t="n">
        <x:f>'Assumptions'!$B$18*(1+'Assumptions'!$B$29)^(B12-1)/12</x:f>
        <x:v>1500</x:v>
      </x:c>
      <x:c r="J12" s="98" t="n">
        <x:f>-(H12+I12)*('Assumptions'!$B$19+'Assumptions'!$B$20)</x:f>
        <x:v>-1890.0000000000002</x:v>
      </x:c>
      <x:c r="K12" s="98" t="n">
        <x:f>SUM(H12:J12)</x:f>
        <x:v>29610</x:v>
      </x:c>
      <x:c r="L12" s="98" t="n">
        <x:f>-SUM('Assumptions'!$B$21:$B$25)*(1+'Assumptions'!$B$30)^(B12-1)/12</x:f>
        <x:v>-10500</x:v>
      </x:c>
      <x:c r="M12" s="98" t="n">
        <x:f>-K12*'Assumptions'!$B$26</x:f>
        <x:v>-1184.4</x:v>
      </x:c>
      <x:c r="N12" s="98" t="n">
        <x:f>SUM(K12:M12)</x:f>
        <x:v>17925.6</x:v>
      </x:c>
      <x:c r="O12" s="98" t="n">
        <x:f>-'Assumptions'!$B$27/12</x:f>
        <x:v>-2500</x:v>
      </x:c>
      <x:c r="P12" s="98" t="n">
        <x:f>-'Assumptions'!$B$28/12</x:f>
        <x:v>-833.3333333333334</x:v>
      </x:c>
      <x:c r="Q12" s="98" t="n">
        <x:f>0</x:f>
        <x:v>0</x:v>
      </x:c>
      <x:c r="R12" s="98" t="n">
        <x:f>0</x:f>
        <x:v>0</x:v>
      </x:c>
      <x:c r="S12" s="103" t="n">
        <x:f>SUM(N12:R12)+G12</x:f>
        <x:v>5417.361827897741</x:v>
      </x:c>
      <x:c r="T12" s="98" t="n">
        <x:f>MAX(0,D12-F12)</x:f>
        <x:v>1938047.418475544</x:v>
      </x:c>
    </x:row>
    <x:row r="13">
      <x:c r="A13" s="96" t="n">
        <x:f>8</x:f>
        <x:v>8</x:v>
      </x:c>
      <x:c r="B13" s="96" t="n">
        <x:f>ROUNDUP(A13/12,0)</x:f>
        <x:v>1</x:v>
      </x:c>
      <x:c r="C13" s="97" t="str">
        <x:f>"M"&amp;TEXT(A13,"00")</x:f>
        <x:v>M08</x:v>
      </x:c>
      <x:c r="D13" s="98" t="n">
        <x:f>T12</x:f>
        <x:v>1938047.418475544</x:v>
      </x:c>
      <x:c r="E13" s="98" t="n">
        <x:f>-D13*'Assumptions'!$B$34/12</x:f>
        <x:v>-10901.516728924937</x:v>
      </x:c>
      <x:c r="F13" s="98" t="n">
        <x:f>IF(A13&lt;='Assumptions'!$B$36,0,-PMT('Assumptions'!$B$34/12,'Assumptions'!$B$35*12,'Assumptions'!$B$10*'Assumptions'!$B$33)+E13)</x:f>
        <x:v>1746.1461541552617</x:v>
      </x:c>
      <x:c r="G13" s="98" t="n">
        <x:f>E13+F13</x:f>
        <x:v>-9155.370574769675</x:v>
      </x:c>
      <x:c r="H13" s="98" t="n">
        <x:f>'Assumptions'!$B$17*(1+'Assumptions'!$B$29)^(B13-1)/12</x:f>
        <x:v>30000</x:v>
      </x:c>
      <x:c r="I13" s="98" t="n">
        <x:f>'Assumptions'!$B$18*(1+'Assumptions'!$B$29)^(B13-1)/12</x:f>
        <x:v>1500</x:v>
      </x:c>
      <x:c r="J13" s="98" t="n">
        <x:f>-(H13+I13)*('Assumptions'!$B$19+'Assumptions'!$B$20)</x:f>
        <x:v>-1890.0000000000002</x:v>
      </x:c>
      <x:c r="K13" s="98" t="n">
        <x:f>SUM(H13:J13)</x:f>
        <x:v>29610</x:v>
      </x:c>
      <x:c r="L13" s="98" t="n">
        <x:f>-SUM('Assumptions'!$B$21:$B$25)*(1+'Assumptions'!$B$30)^(B13-1)/12</x:f>
        <x:v>-10500</x:v>
      </x:c>
      <x:c r="M13" s="98" t="n">
        <x:f>-K13*'Assumptions'!$B$26</x:f>
        <x:v>-1184.4</x:v>
      </x:c>
      <x:c r="N13" s="98" t="n">
        <x:f>SUM(K13:M13)</x:f>
        <x:v>17925.6</x:v>
      </x:c>
      <x:c r="O13" s="98" t="n">
        <x:f>-'Assumptions'!$B$27/12</x:f>
        <x:v>-2500</x:v>
      </x:c>
      <x:c r="P13" s="98" t="n">
        <x:f>-'Assumptions'!$B$28/12</x:f>
        <x:v>-833.3333333333334</x:v>
      </x:c>
      <x:c r="Q13" s="98" t="n">
        <x:f>0</x:f>
        <x:v>0</x:v>
      </x:c>
      <x:c r="R13" s="98" t="n">
        <x:f>0</x:f>
        <x:v>0</x:v>
      </x:c>
      <x:c r="S13" s="103" t="n">
        <x:f>SUM(N13:R13)+G13</x:f>
        <x:v>5436.89609189699</x:v>
      </x:c>
      <x:c r="T13" s="98" t="n">
        <x:f>MAX(0,D13-F13)</x:f>
        <x:v>1936301.2723213888</x:v>
      </x:c>
    </x:row>
    <x:row r="14">
      <x:c r="A14" s="96" t="n">
        <x:f>9</x:f>
        <x:v>9</x:v>
      </x:c>
      <x:c r="B14" s="96" t="n">
        <x:f>ROUNDUP(A14/12,0)</x:f>
        <x:v>1</x:v>
      </x:c>
      <x:c r="C14" s="97" t="str">
        <x:f>"M"&amp;TEXT(A14,"00")</x:f>
        <x:v>M09</x:v>
      </x:c>
      <x:c r="D14" s="98" t="n">
        <x:f>T13</x:f>
        <x:v>1936301.2723213888</x:v>
      </x:c>
      <x:c r="E14" s="98" t="n">
        <x:f>-D14*'Assumptions'!$B$34/12</x:f>
        <x:v>-10891.694656807813</x:v>
      </x:c>
      <x:c r="F14" s="98" t="n">
        <x:f>IF(A14&lt;='Assumptions'!$B$36,0,-PMT('Assumptions'!$B$34/12,'Assumptions'!$B$35*12,'Assumptions'!$B$10*'Assumptions'!$B$33)+E14)</x:f>
        <x:v>1755.9682262723854</x:v>
      </x:c>
      <x:c r="G14" s="98" t="n">
        <x:f>E14+F14</x:f>
        <x:v>-9135.726430535427</x:v>
      </x:c>
      <x:c r="H14" s="98" t="n">
        <x:f>'Assumptions'!$B$17*(1+'Assumptions'!$B$29)^(B14-1)/12</x:f>
        <x:v>30000</x:v>
      </x:c>
      <x:c r="I14" s="98" t="n">
        <x:f>'Assumptions'!$B$18*(1+'Assumptions'!$B$29)^(B14-1)/12</x:f>
        <x:v>1500</x:v>
      </x:c>
      <x:c r="J14" s="98" t="n">
        <x:f>-(H14+I14)*('Assumptions'!$B$19+'Assumptions'!$B$20)</x:f>
        <x:v>-1890.0000000000002</x:v>
      </x:c>
      <x:c r="K14" s="98" t="n">
        <x:f>SUM(H14:J14)</x:f>
        <x:v>29610</x:v>
      </x:c>
      <x:c r="L14" s="98" t="n">
        <x:f>-SUM('Assumptions'!$B$21:$B$25)*(1+'Assumptions'!$B$30)^(B14-1)/12</x:f>
        <x:v>-10500</x:v>
      </x:c>
      <x:c r="M14" s="98" t="n">
        <x:f>-K14*'Assumptions'!$B$26</x:f>
        <x:v>-1184.4</x:v>
      </x:c>
      <x:c r="N14" s="98" t="n">
        <x:f>SUM(K14:M14)</x:f>
        <x:v>17925.6</x:v>
      </x:c>
      <x:c r="O14" s="98" t="n">
        <x:f>-'Assumptions'!$B$27/12</x:f>
        <x:v>-2500</x:v>
      </x:c>
      <x:c r="P14" s="98" t="n">
        <x:f>-'Assumptions'!$B$28/12</x:f>
        <x:v>-833.3333333333334</x:v>
      </x:c>
      <x:c r="Q14" s="98" t="n">
        <x:f>0</x:f>
        <x:v>0</x:v>
      </x:c>
      <x:c r="R14" s="98" t="n">
        <x:f>0</x:f>
        <x:v>0</x:v>
      </x:c>
      <x:c r="S14" s="103" t="n">
        <x:f>SUM(N14:R14)+G14</x:f>
        <x:v>5456.540236131237</x:v>
      </x:c>
      <x:c r="T14" s="98" t="n">
        <x:f>MAX(0,D14-F14)</x:f>
        <x:v>1934545.3040951164</x:v>
      </x:c>
    </x:row>
    <x:row r="15">
      <x:c r="A15" s="96" t="n">
        <x:f>10</x:f>
        <x:v>10</x:v>
      </x:c>
      <x:c r="B15" s="96" t="n">
        <x:f>ROUNDUP(A15/12,0)</x:f>
        <x:v>1</x:v>
      </x:c>
      <x:c r="C15" s="97" t="str">
        <x:f>"M"&amp;TEXT(A15,"00")</x:f>
        <x:v>M10</x:v>
      </x:c>
      <x:c r="D15" s="98" t="n">
        <x:f>T14</x:f>
        <x:v>1934545.3040951164</x:v>
      </x:c>
      <x:c r="E15" s="98" t="n">
        <x:f>-D15*'Assumptions'!$B$34/12</x:f>
        <x:v>-10881.817335535032</x:v>
      </x:c>
      <x:c r="F15" s="98" t="n">
        <x:f>IF(A15&lt;='Assumptions'!$B$36,0,-PMT('Assumptions'!$B$34/12,'Assumptions'!$B$35*12,'Assumptions'!$B$10*'Assumptions'!$B$33)+E15)</x:f>
        <x:v>1765.8455475451665</x:v>
      </x:c>
      <x:c r="G15" s="98" t="n">
        <x:f>E15+F15</x:f>
        <x:v>-9115.971787989865</x:v>
      </x:c>
      <x:c r="H15" s="98" t="n">
        <x:f>'Assumptions'!$B$17*(1+'Assumptions'!$B$29)^(B15-1)/12</x:f>
        <x:v>30000</x:v>
      </x:c>
      <x:c r="I15" s="98" t="n">
        <x:f>'Assumptions'!$B$18*(1+'Assumptions'!$B$29)^(B15-1)/12</x:f>
        <x:v>1500</x:v>
      </x:c>
      <x:c r="J15" s="98" t="n">
        <x:f>-(H15+I15)*('Assumptions'!$B$19+'Assumptions'!$B$20)</x:f>
        <x:v>-1890.0000000000002</x:v>
      </x:c>
      <x:c r="K15" s="98" t="n">
        <x:f>SUM(H15:J15)</x:f>
        <x:v>29610</x:v>
      </x:c>
      <x:c r="L15" s="98" t="n">
        <x:f>-SUM('Assumptions'!$B$21:$B$25)*(1+'Assumptions'!$B$30)^(B15-1)/12</x:f>
        <x:v>-10500</x:v>
      </x:c>
      <x:c r="M15" s="98" t="n">
        <x:f>-K15*'Assumptions'!$B$26</x:f>
        <x:v>-1184.4</x:v>
      </x:c>
      <x:c r="N15" s="98" t="n">
        <x:f>SUM(K15:M15)</x:f>
        <x:v>17925.6</x:v>
      </x:c>
      <x:c r="O15" s="98" t="n">
        <x:f>-'Assumptions'!$B$27/12</x:f>
        <x:v>-2500</x:v>
      </x:c>
      <x:c r="P15" s="98" t="n">
        <x:f>-'Assumptions'!$B$28/12</x:f>
        <x:v>-833.3333333333334</x:v>
      </x:c>
      <x:c r="Q15" s="98" t="n">
        <x:f>0</x:f>
        <x:v>0</x:v>
      </x:c>
      <x:c r="R15" s="98" t="n">
        <x:f>0</x:f>
        <x:v>0</x:v>
      </x:c>
      <x:c r="S15" s="103" t="n">
        <x:f>SUM(N15:R15)+G15</x:f>
        <x:v>5476.294878676799</x:v>
      </x:c>
      <x:c r="T15" s="98" t="n">
        <x:f>MAX(0,D15-F15)</x:f>
        <x:v>1932779.4585475712</x:v>
      </x:c>
    </x:row>
    <x:row r="16">
      <x:c r="A16" s="96" t="n">
        <x:f>11</x:f>
        <x:v>11</x:v>
      </x:c>
      <x:c r="B16" s="96" t="n">
        <x:f>ROUNDUP(A16/12,0)</x:f>
        <x:v>1</x:v>
      </x:c>
      <x:c r="C16" s="97" t="str">
        <x:f>"M"&amp;TEXT(A16,"00")</x:f>
        <x:v>M11</x:v>
      </x:c>
      <x:c r="D16" s="98" t="n">
        <x:f>T15</x:f>
        <x:v>1932779.4585475712</x:v>
      </x:c>
      <x:c r="E16" s="98" t="n">
        <x:f>-D16*'Assumptions'!$B$34/12</x:f>
        <x:v>-10871.88445433009</x:v>
      </x:c>
      <x:c r="F16" s="98" t="n">
        <x:f>IF(A16&lt;='Assumptions'!$B$36,0,-PMT('Assumptions'!$B$34/12,'Assumptions'!$B$35*12,'Assumptions'!$B$10*'Assumptions'!$B$33)+E16)</x:f>
        <x:v>1775.778428750109</x:v>
      </x:c>
      <x:c r="G16" s="98" t="n">
        <x:f>E16+F16</x:f>
        <x:v>-9096.10602557998</x:v>
      </x:c>
      <x:c r="H16" s="98" t="n">
        <x:f>'Assumptions'!$B$17*(1+'Assumptions'!$B$29)^(B16-1)/12</x:f>
        <x:v>30000</x:v>
      </x:c>
      <x:c r="I16" s="98" t="n">
        <x:f>'Assumptions'!$B$18*(1+'Assumptions'!$B$29)^(B16-1)/12</x:f>
        <x:v>1500</x:v>
      </x:c>
      <x:c r="J16" s="98" t="n">
        <x:f>-(H16+I16)*('Assumptions'!$B$19+'Assumptions'!$B$20)</x:f>
        <x:v>-1890.0000000000002</x:v>
      </x:c>
      <x:c r="K16" s="98" t="n">
        <x:f>SUM(H16:J16)</x:f>
        <x:v>29610</x:v>
      </x:c>
      <x:c r="L16" s="98" t="n">
        <x:f>-SUM('Assumptions'!$B$21:$B$25)*(1+'Assumptions'!$B$30)^(B16-1)/12</x:f>
        <x:v>-10500</x:v>
      </x:c>
      <x:c r="M16" s="98" t="n">
        <x:f>-K16*'Assumptions'!$B$26</x:f>
        <x:v>-1184.4</x:v>
      </x:c>
      <x:c r="N16" s="98" t="n">
        <x:f>SUM(K16:M16)</x:f>
        <x:v>17925.6</x:v>
      </x:c>
      <x:c r="O16" s="98" t="n">
        <x:f>-'Assumptions'!$B$27/12</x:f>
        <x:v>-2500</x:v>
      </x:c>
      <x:c r="P16" s="98" t="n">
        <x:f>-'Assumptions'!$B$28/12</x:f>
        <x:v>-833.3333333333334</x:v>
      </x:c>
      <x:c r="Q16" s="98" t="n">
        <x:f>0</x:f>
        <x:v>0</x:v>
      </x:c>
      <x:c r="R16" s="98" t="n">
        <x:f>0</x:f>
        <x:v>0</x:v>
      </x:c>
      <x:c r="S16" s="103" t="n">
        <x:f>SUM(N16:R16)+G16</x:f>
        <x:v>5496.160641086684</x:v>
      </x:c>
      <x:c r="T16" s="98" t="n">
        <x:f>MAX(0,D16-F16)</x:f>
        <x:v>1931003.680118821</x:v>
      </x:c>
    </x:row>
    <x:row r="17">
      <x:c r="A17" s="96" t="n">
        <x:f>12</x:f>
        <x:v>12</x:v>
      </x:c>
      <x:c r="B17" s="96" t="n">
        <x:f>ROUNDUP(A17/12,0)</x:f>
        <x:v>1</x:v>
      </x:c>
      <x:c r="C17" s="97" t="str">
        <x:f>"M"&amp;TEXT(A17,"00")</x:f>
        <x:v>M12</x:v>
      </x:c>
      <x:c r="D17" s="98" t="n">
        <x:f>T16</x:f>
        <x:v>1931003.680118821</x:v>
      </x:c>
      <x:c r="E17" s="98" t="n">
        <x:f>-D17*'Assumptions'!$B$34/12</x:f>
        <x:v>-10861.895700668369</x:v>
      </x:c>
      <x:c r="F17" s="98" t="n">
        <x:f>IF(A17&lt;='Assumptions'!$B$36,0,-PMT('Assumptions'!$B$34/12,'Assumptions'!$B$35*12,'Assumptions'!$B$10*'Assumptions'!$B$33)+E17)</x:f>
        <x:v>1785.7671824118297</x:v>
      </x:c>
      <x:c r="G17" s="98" t="n">
        <x:f>E17+F17</x:f>
        <x:v>-9076.128518256539</x:v>
      </x:c>
      <x:c r="H17" s="98" t="n">
        <x:f>'Assumptions'!$B$17*(1+'Assumptions'!$B$29)^(B17-1)/12</x:f>
        <x:v>30000</x:v>
      </x:c>
      <x:c r="I17" s="98" t="n">
        <x:f>'Assumptions'!$B$18*(1+'Assumptions'!$B$29)^(B17-1)/12</x:f>
        <x:v>1500</x:v>
      </x:c>
      <x:c r="J17" s="98" t="n">
        <x:f>-(H17+I17)*('Assumptions'!$B$19+'Assumptions'!$B$20)</x:f>
        <x:v>-1890.0000000000002</x:v>
      </x:c>
      <x:c r="K17" s="98" t="n">
        <x:f>SUM(H17:J17)</x:f>
        <x:v>29610</x:v>
      </x:c>
      <x:c r="L17" s="98" t="n">
        <x:f>-SUM('Assumptions'!$B$21:$B$25)*(1+'Assumptions'!$B$30)^(B17-1)/12</x:f>
        <x:v>-10500</x:v>
      </x:c>
      <x:c r="M17" s="98" t="n">
        <x:f>-K17*'Assumptions'!$B$26</x:f>
        <x:v>-1184.4</x:v>
      </x:c>
      <x:c r="N17" s="98" t="n">
        <x:f>SUM(K17:M17)</x:f>
        <x:v>17925.6</x:v>
      </x:c>
      <x:c r="O17" s="98" t="n">
        <x:f>-'Assumptions'!$B$27/12</x:f>
        <x:v>-2500</x:v>
      </x:c>
      <x:c r="P17" s="98" t="n">
        <x:f>-'Assumptions'!$B$28/12</x:f>
        <x:v>-833.3333333333334</x:v>
      </x:c>
      <x:c r="Q17" s="98" t="n">
        <x:f>0</x:f>
        <x:v>0</x:v>
      </x:c>
      <x:c r="R17" s="98" t="n">
        <x:f>0</x:f>
        <x:v>0</x:v>
      </x:c>
      <x:c r="S17" s="103" t="n">
        <x:f>SUM(N17:R17)+G17</x:f>
        <x:v>5516.138148410126</x:v>
      </x:c>
      <x:c r="T17" s="98" t="n">
        <x:f>MAX(0,D17-F17)</x:f>
        <x:v>1929217.9129364092</x:v>
      </x:c>
    </x:row>
    <x:row r="18">
      <x:c r="A18" s="96" t="n">
        <x:f>13</x:f>
        <x:v>13</x:v>
      </x:c>
      <x:c r="B18" s="96" t="n">
        <x:f>ROUNDUP(A18/12,0)</x:f>
        <x:v>2</x:v>
      </x:c>
      <x:c r="C18" s="97" t="str">
        <x:f>"M"&amp;TEXT(A18,"00")</x:f>
        <x:v>M13</x:v>
      </x:c>
      <x:c r="D18" s="98" t="n">
        <x:f>T17</x:f>
        <x:v>1929217.9129364092</x:v>
      </x:c>
      <x:c r="E18" s="98" t="n">
        <x:f>-D18*'Assumptions'!$B$34/12</x:f>
        <x:v>-10851.850760267303</x:v>
      </x:c>
      <x:c r="F18" s="98" t="n">
        <x:f>IF(A18&lt;='Assumptions'!$B$36,0,-PMT('Assumptions'!$B$34/12,'Assumptions'!$B$35*12,'Assumptions'!$B$10*'Assumptions'!$B$33)+E18)</x:f>
        <x:v>1795.8121228128948</x:v>
      </x:c>
      <x:c r="G18" s="98" t="n">
        <x:f>E18+F18</x:f>
        <x:v>-9056.038637454409</x:v>
      </x:c>
      <x:c r="H18" s="98" t="n">
        <x:f>'Assumptions'!$B$17*(1+'Assumptions'!$B$29)^(B18-1)/12</x:f>
        <x:v>30900</x:v>
      </x:c>
      <x:c r="I18" s="98" t="n">
        <x:f>'Assumptions'!$B$18*(1+'Assumptions'!$B$29)^(B18-1)/12</x:f>
        <x:v>1545</x:v>
      </x:c>
      <x:c r="J18" s="98" t="n">
        <x:f>-(H18+I18)*('Assumptions'!$B$19+'Assumptions'!$B$20)</x:f>
        <x:v>-1946.7</x:v>
      </x:c>
      <x:c r="K18" s="98" t="n">
        <x:f>SUM(H18:J18)</x:f>
        <x:v>30498.3</x:v>
      </x:c>
      <x:c r="L18" s="98" t="n">
        <x:f>-SUM('Assumptions'!$B$21:$B$25)*(1+'Assumptions'!$B$30)^(B18-1)/12</x:f>
        <x:v>-10815</x:v>
      </x:c>
      <x:c r="M18" s="98" t="n">
        <x:f>-K18*'Assumptions'!$B$26</x:f>
        <x:v>-1219.932</x:v>
      </x:c>
      <x:c r="N18" s="98" t="n">
        <x:f>SUM(K18:M18)</x:f>
        <x:v>18463.368</x:v>
      </x:c>
      <x:c r="O18" s="98" t="n">
        <x:f>-'Assumptions'!$B$27/12</x:f>
        <x:v>-2500</x:v>
      </x:c>
      <x:c r="P18" s="98" t="n">
        <x:f>-'Assumptions'!$B$28/12</x:f>
        <x:v>-833.3333333333334</x:v>
      </x:c>
      <x:c r="Q18" s="98" t="n">
        <x:f>0</x:f>
        <x:v>0</x:v>
      </x:c>
      <x:c r="R18" s="98" t="n">
        <x:f>0</x:f>
        <x:v>0</x:v>
      </x:c>
      <x:c r="S18" s="103" t="n">
        <x:f>SUM(N18:R18)+G18</x:f>
        <x:v>6073.996029212256</x:v>
      </x:c>
      <x:c r="T18" s="98" t="n">
        <x:f>MAX(0,D18-F18)</x:f>
        <x:v>1927422.1008135963</x:v>
      </x:c>
    </x:row>
    <x:row r="19">
      <x:c r="A19" s="96" t="n">
        <x:f>14</x:f>
        <x:v>14</x:v>
      </x:c>
      <x:c r="B19" s="96" t="n">
        <x:f>ROUNDUP(A19/12,0)</x:f>
        <x:v>2</x:v>
      </x:c>
      <x:c r="C19" s="97" t="str">
        <x:f>"M"&amp;TEXT(A19,"00")</x:f>
        <x:v>M14</x:v>
      </x:c>
      <x:c r="D19" s="98" t="n">
        <x:f>T18</x:f>
        <x:v>1927422.1008135963</x:v>
      </x:c>
      <x:c r="E19" s="98" t="n">
        <x:f>-D19*'Assumptions'!$B$34/12</x:f>
        <x:v>-10841.74931707648</x:v>
      </x:c>
      <x:c r="F19" s="98" t="n">
        <x:f>IF(A19&lt;='Assumptions'!$B$36,0,-PMT('Assumptions'!$B$34/12,'Assumptions'!$B$35*12,'Assumptions'!$B$10*'Assumptions'!$B$33)+E19)</x:f>
        <x:v>1805.913566003719</x:v>
      </x:c>
      <x:c r="G19" s="98" t="n">
        <x:f>E19+F19</x:f>
        <x:v>-9035.83575107276</x:v>
      </x:c>
      <x:c r="H19" s="98" t="n">
        <x:f>'Assumptions'!$B$17*(1+'Assumptions'!$B$29)^(B19-1)/12</x:f>
        <x:v>30900</x:v>
      </x:c>
      <x:c r="I19" s="98" t="n">
        <x:f>'Assumptions'!$B$18*(1+'Assumptions'!$B$29)^(B19-1)/12</x:f>
        <x:v>1545</x:v>
      </x:c>
      <x:c r="J19" s="98" t="n">
        <x:f>-(H19+I19)*('Assumptions'!$B$19+'Assumptions'!$B$20)</x:f>
        <x:v>-1946.7</x:v>
      </x:c>
      <x:c r="K19" s="98" t="n">
        <x:f>SUM(H19:J19)</x:f>
        <x:v>30498.3</x:v>
      </x:c>
      <x:c r="L19" s="98" t="n">
        <x:f>-SUM('Assumptions'!$B$21:$B$25)*(1+'Assumptions'!$B$30)^(B19-1)/12</x:f>
        <x:v>-10815</x:v>
      </x:c>
      <x:c r="M19" s="98" t="n">
        <x:f>-K19*'Assumptions'!$B$26</x:f>
        <x:v>-1219.932</x:v>
      </x:c>
      <x:c r="N19" s="98" t="n">
        <x:f>SUM(K19:M19)</x:f>
        <x:v>18463.368</x:v>
      </x:c>
      <x:c r="O19" s="98" t="n">
        <x:f>-'Assumptions'!$B$27/12</x:f>
        <x:v>-2500</x:v>
      </x:c>
      <x:c r="P19" s="98" t="n">
        <x:f>-'Assumptions'!$B$28/12</x:f>
        <x:v>-833.3333333333334</x:v>
      </x:c>
      <x:c r="Q19" s="98" t="n">
        <x:f>0</x:f>
        <x:v>0</x:v>
      </x:c>
      <x:c r="R19" s="98" t="n">
        <x:f>0</x:f>
        <x:v>0</x:v>
      </x:c>
      <x:c r="S19" s="103" t="n">
        <x:f>SUM(N19:R19)+G19</x:f>
        <x:v>6094.1989155939045</x:v>
      </x:c>
      <x:c r="T19" s="98" t="n">
        <x:f>MAX(0,D19-F19)</x:f>
        <x:v>1925616.1872475925</x:v>
      </x:c>
    </x:row>
    <x:row r="20">
      <x:c r="A20" s="96" t="n">
        <x:f>15</x:f>
        <x:v>15</x:v>
      </x:c>
      <x:c r="B20" s="96" t="n">
        <x:f>ROUNDUP(A20/12,0)</x:f>
        <x:v>2</x:v>
      </x:c>
      <x:c r="C20" s="97" t="str">
        <x:f>"M"&amp;TEXT(A20,"00")</x:f>
        <x:v>M15</x:v>
      </x:c>
      <x:c r="D20" s="98" t="n">
        <x:f>T19</x:f>
        <x:v>1925616.1872475925</x:v>
      </x:c>
      <x:c r="E20" s="98" t="n">
        <x:f>-D20*'Assumptions'!$B$34/12</x:f>
        <x:v>-10831.591053267708</x:v>
      </x:c>
      <x:c r="F20" s="98" t="n">
        <x:f>IF(A20&lt;='Assumptions'!$B$36,0,-PMT('Assumptions'!$B$34/12,'Assumptions'!$B$35*12,'Assumptions'!$B$10*'Assumptions'!$B$33)+E20)</x:f>
        <x:v>1816.0718298124903</x:v>
      </x:c>
      <x:c r="G20" s="98" t="n">
        <x:f>E20+F20</x:f>
        <x:v>-9015.519223455218</x:v>
      </x:c>
      <x:c r="H20" s="98" t="n">
        <x:f>'Assumptions'!$B$17*(1+'Assumptions'!$B$29)^(B20-1)/12</x:f>
        <x:v>30900</x:v>
      </x:c>
      <x:c r="I20" s="98" t="n">
        <x:f>'Assumptions'!$B$18*(1+'Assumptions'!$B$29)^(B20-1)/12</x:f>
        <x:v>1545</x:v>
      </x:c>
      <x:c r="J20" s="98" t="n">
        <x:f>-(H20+I20)*('Assumptions'!$B$19+'Assumptions'!$B$20)</x:f>
        <x:v>-1946.7</x:v>
      </x:c>
      <x:c r="K20" s="98" t="n">
        <x:f>SUM(H20:J20)</x:f>
        <x:v>30498.3</x:v>
      </x:c>
      <x:c r="L20" s="98" t="n">
        <x:f>-SUM('Assumptions'!$B$21:$B$25)*(1+'Assumptions'!$B$30)^(B20-1)/12</x:f>
        <x:v>-10815</x:v>
      </x:c>
      <x:c r="M20" s="98" t="n">
        <x:f>-K20*'Assumptions'!$B$26</x:f>
        <x:v>-1219.932</x:v>
      </x:c>
      <x:c r="N20" s="98" t="n">
        <x:f>SUM(K20:M20)</x:f>
        <x:v>18463.368</x:v>
      </x:c>
      <x:c r="O20" s="98" t="n">
        <x:f>-'Assumptions'!$B$27/12</x:f>
        <x:v>-2500</x:v>
      </x:c>
      <x:c r="P20" s="98" t="n">
        <x:f>-'Assumptions'!$B$28/12</x:f>
        <x:v>-833.3333333333334</x:v>
      </x:c>
      <x:c r="Q20" s="98" t="n">
        <x:f>0</x:f>
        <x:v>0</x:v>
      </x:c>
      <x:c r="R20" s="98" t="n">
        <x:f>0</x:f>
        <x:v>0</x:v>
      </x:c>
      <x:c r="S20" s="103" t="n">
        <x:f>SUM(N20:R20)+G20</x:f>
        <x:v>6114.515443211447</x:v>
      </x:c>
      <x:c r="T20" s="98" t="n">
        <x:f>MAX(0,D20-F20)</x:f>
        <x:v>1923800.11541778</x:v>
      </x:c>
    </x:row>
    <x:row r="21">
      <x:c r="A21" s="96" t="n">
        <x:f>16</x:f>
        <x:v>16</x:v>
      </x:c>
      <x:c r="B21" s="96" t="n">
        <x:f>ROUNDUP(A21/12,0)</x:f>
        <x:v>2</x:v>
      </x:c>
      <x:c r="C21" s="97" t="str">
        <x:f>"M"&amp;TEXT(A21,"00")</x:f>
        <x:v>M16</x:v>
      </x:c>
      <x:c r="D21" s="98" t="n">
        <x:f>T20</x:f>
        <x:v>1923800.11541778</x:v>
      </x:c>
      <x:c r="E21" s="98" t="n">
        <x:f>-D21*'Assumptions'!$B$34/12</x:f>
        <x:v>-10821.375649225012</x:v>
      </x:c>
      <x:c r="F21" s="98" t="n">
        <x:f>IF(A21&lt;='Assumptions'!$B$36,0,-PMT('Assumptions'!$B$34/12,'Assumptions'!$B$35*12,'Assumptions'!$B$10*'Assumptions'!$B$33)+E21)</x:f>
        <x:v>1826.287233855186</x:v>
      </x:c>
      <x:c r="G21" s="98" t="n">
        <x:f>E21+F21</x:f>
        <x:v>-8995.088415369826</x:v>
      </x:c>
      <x:c r="H21" s="98" t="n">
        <x:f>'Assumptions'!$B$17*(1+'Assumptions'!$B$29)^(B21-1)/12</x:f>
        <x:v>30900</x:v>
      </x:c>
      <x:c r="I21" s="98" t="n">
        <x:f>'Assumptions'!$B$18*(1+'Assumptions'!$B$29)^(B21-1)/12</x:f>
        <x:v>1545</x:v>
      </x:c>
      <x:c r="J21" s="98" t="n">
        <x:f>-(H21+I21)*('Assumptions'!$B$19+'Assumptions'!$B$20)</x:f>
        <x:v>-1946.7</x:v>
      </x:c>
      <x:c r="K21" s="98" t="n">
        <x:f>SUM(H21:J21)</x:f>
        <x:v>30498.3</x:v>
      </x:c>
      <x:c r="L21" s="98" t="n">
        <x:f>-SUM('Assumptions'!$B$21:$B$25)*(1+'Assumptions'!$B$30)^(B21-1)/12</x:f>
        <x:v>-10815</x:v>
      </x:c>
      <x:c r="M21" s="98" t="n">
        <x:f>-K21*'Assumptions'!$B$26</x:f>
        <x:v>-1219.932</x:v>
      </x:c>
      <x:c r="N21" s="98" t="n">
        <x:f>SUM(K21:M21)</x:f>
        <x:v>18463.368</x:v>
      </x:c>
      <x:c r="O21" s="98" t="n">
        <x:f>-'Assumptions'!$B$27/12</x:f>
        <x:v>-2500</x:v>
      </x:c>
      <x:c r="P21" s="98" t="n">
        <x:f>-'Assumptions'!$B$28/12</x:f>
        <x:v>-833.3333333333334</x:v>
      </x:c>
      <x:c r="Q21" s="98" t="n">
        <x:f>0</x:f>
        <x:v>0</x:v>
      </x:c>
      <x:c r="R21" s="98" t="n">
        <x:f>0</x:f>
        <x:v>0</x:v>
      </x:c>
      <x:c r="S21" s="103" t="n">
        <x:f>SUM(N21:R21)+G21</x:f>
        <x:v>6134.946251296838</x:v>
      </x:c>
      <x:c r="T21" s="98" t="n">
        <x:f>MAX(0,D21-F21)</x:f>
        <x:v>1921973.8281839248</x:v>
      </x:c>
    </x:row>
    <x:row r="22">
      <x:c r="A22" s="96" t="n">
        <x:f>17</x:f>
        <x:v>17</x:v>
      </x:c>
      <x:c r="B22" s="96" t="n">
        <x:f>ROUNDUP(A22/12,0)</x:f>
        <x:v>2</x:v>
      </x:c>
      <x:c r="C22" s="97" t="str">
        <x:f>"M"&amp;TEXT(A22,"00")</x:f>
        <x:v>M17</x:v>
      </x:c>
      <x:c r="D22" s="98" t="n">
        <x:f>T21</x:f>
        <x:v>1921973.8281839248</x:v>
      </x:c>
      <x:c r="E22" s="98" t="n">
        <x:f>-D22*'Assumptions'!$B$34/12</x:f>
        <x:v>-10811.102783534578</x:v>
      </x:c>
      <x:c r="F22" s="98" t="n">
        <x:f>IF(A22&lt;='Assumptions'!$B$36,0,-PMT('Assumptions'!$B$34/12,'Assumptions'!$B$35*12,'Assumptions'!$B$10*'Assumptions'!$B$33)+E22)</x:f>
        <x:v>1836.5600995456207</x:v>
      </x:c>
      <x:c r="G22" s="98" t="n">
        <x:f>E22+F22</x:f>
        <x:v>-8974.542683988957</x:v>
      </x:c>
      <x:c r="H22" s="98" t="n">
        <x:f>'Assumptions'!$B$17*(1+'Assumptions'!$B$29)^(B22-1)/12</x:f>
        <x:v>30900</x:v>
      </x:c>
      <x:c r="I22" s="98" t="n">
        <x:f>'Assumptions'!$B$18*(1+'Assumptions'!$B$29)^(B22-1)/12</x:f>
        <x:v>1545</x:v>
      </x:c>
      <x:c r="J22" s="98" t="n">
        <x:f>-(H22+I22)*('Assumptions'!$B$19+'Assumptions'!$B$20)</x:f>
        <x:v>-1946.7</x:v>
      </x:c>
      <x:c r="K22" s="98" t="n">
        <x:f>SUM(H22:J22)</x:f>
        <x:v>30498.3</x:v>
      </x:c>
      <x:c r="L22" s="98" t="n">
        <x:f>-SUM('Assumptions'!$B$21:$B$25)*(1+'Assumptions'!$B$30)^(B22-1)/12</x:f>
        <x:v>-10815</x:v>
      </x:c>
      <x:c r="M22" s="98" t="n">
        <x:f>-K22*'Assumptions'!$B$26</x:f>
        <x:v>-1219.932</x:v>
      </x:c>
      <x:c r="N22" s="98" t="n">
        <x:f>SUM(K22:M22)</x:f>
        <x:v>18463.368</x:v>
      </x:c>
      <x:c r="O22" s="98" t="n">
        <x:f>-'Assumptions'!$B$27/12</x:f>
        <x:v>-2500</x:v>
      </x:c>
      <x:c r="P22" s="98" t="n">
        <x:f>-'Assumptions'!$B$28/12</x:f>
        <x:v>-833.3333333333334</x:v>
      </x:c>
      <x:c r="Q22" s="98" t="n">
        <x:f>0</x:f>
        <x:v>0</x:v>
      </x:c>
      <x:c r="R22" s="98" t="n">
        <x:f>0</x:f>
        <x:v>0</x:v>
      </x:c>
      <x:c r="S22" s="103" t="n">
        <x:f>SUM(N22:R22)+G22</x:f>
        <x:v>6155.491982677708</x:v>
      </x:c>
      <x:c r="T22" s="98" t="n">
        <x:f>MAX(0,D22-F22)</x:f>
        <x:v>1920137.2680843791</x:v>
      </x:c>
    </x:row>
    <x:row r="23">
      <x:c r="A23" s="96" t="n">
        <x:f>18</x:f>
        <x:v>18</x:v>
      </x:c>
      <x:c r="B23" s="96" t="n">
        <x:f>ROUNDUP(A23/12,0)</x:f>
        <x:v>2</x:v>
      </x:c>
      <x:c r="C23" s="97" t="str">
        <x:f>"M"&amp;TEXT(A23,"00")</x:f>
        <x:v>M18</x:v>
      </x:c>
      <x:c r="D23" s="98" t="n">
        <x:f>T22</x:f>
        <x:v>1920137.2680843791</x:v>
      </x:c>
      <x:c r="E23" s="98" t="n">
        <x:f>-D23*'Assumptions'!$B$34/12</x:f>
        <x:v>-10800.772132974633</x:v>
      </x:c>
      <x:c r="F23" s="98" t="n">
        <x:f>IF(A23&lt;='Assumptions'!$B$36,0,-PMT('Assumptions'!$B$34/12,'Assumptions'!$B$35*12,'Assumptions'!$B$10*'Assumptions'!$B$33)+E23)</x:f>
        <x:v>1846.8907501055655</x:v>
      </x:c>
      <x:c r="G23" s="98" t="n">
        <x:f>E23+F23</x:f>
        <x:v>-8953.881382869067</x:v>
      </x:c>
      <x:c r="H23" s="98" t="n">
        <x:f>'Assumptions'!$B$17*(1+'Assumptions'!$B$29)^(B23-1)/12</x:f>
        <x:v>30900</x:v>
      </x:c>
      <x:c r="I23" s="98" t="n">
        <x:f>'Assumptions'!$B$18*(1+'Assumptions'!$B$29)^(B23-1)/12</x:f>
        <x:v>1545</x:v>
      </x:c>
      <x:c r="J23" s="98" t="n">
        <x:f>-(H23+I23)*('Assumptions'!$B$19+'Assumptions'!$B$20)</x:f>
        <x:v>-1946.7</x:v>
      </x:c>
      <x:c r="K23" s="98" t="n">
        <x:f>SUM(H23:J23)</x:f>
        <x:v>30498.3</x:v>
      </x:c>
      <x:c r="L23" s="98" t="n">
        <x:f>-SUM('Assumptions'!$B$21:$B$25)*(1+'Assumptions'!$B$30)^(B23-1)/12</x:f>
        <x:v>-10815</x:v>
      </x:c>
      <x:c r="M23" s="98" t="n">
        <x:f>-K23*'Assumptions'!$B$26</x:f>
        <x:v>-1219.932</x:v>
      </x:c>
      <x:c r="N23" s="98" t="n">
        <x:f>SUM(K23:M23)</x:f>
        <x:v>18463.368</x:v>
      </x:c>
      <x:c r="O23" s="98" t="n">
        <x:f>-'Assumptions'!$B$27/12</x:f>
        <x:v>-2500</x:v>
      </x:c>
      <x:c r="P23" s="98" t="n">
        <x:f>-'Assumptions'!$B$28/12</x:f>
        <x:v>-833.3333333333334</x:v>
      </x:c>
      <x:c r="Q23" s="98" t="n">
        <x:f>0</x:f>
        <x:v>0</x:v>
      </x:c>
      <x:c r="R23" s="98" t="n">
        <x:f>0</x:f>
        <x:v>0</x:v>
      </x:c>
      <x:c r="S23" s="103" t="n">
        <x:f>SUM(N23:R23)+G23</x:f>
        <x:v>6176.153283797597</x:v>
      </x:c>
      <x:c r="T23" s="98" t="n">
        <x:f>MAX(0,D23-F23)</x:f>
        <x:v>1918290.3773342737</x:v>
      </x:c>
    </x:row>
    <x:row r="24">
      <x:c r="A24" s="96" t="n">
        <x:f>19</x:f>
        <x:v>19</x:v>
      </x:c>
      <x:c r="B24" s="96" t="n">
        <x:f>ROUNDUP(A24/12,0)</x:f>
        <x:v>2</x:v>
      </x:c>
      <x:c r="C24" s="97" t="str">
        <x:f>"M"&amp;TEXT(A24,"00")</x:f>
        <x:v>M19</x:v>
      </x:c>
      <x:c r="D24" s="98" t="n">
        <x:f>T23</x:f>
        <x:v>1918290.3773342737</x:v>
      </x:c>
      <x:c r="E24" s="98" t="n">
        <x:f>-D24*'Assumptions'!$B$34/12</x:f>
        <x:v>-10790.38337250529</x:v>
      </x:c>
      <x:c r="F24" s="98" t="n">
        <x:f>IF(A24&lt;='Assumptions'!$B$36,0,-PMT('Assumptions'!$B$34/12,'Assumptions'!$B$35*12,'Assumptions'!$B$10*'Assumptions'!$B$33)+E24)</x:f>
        <x:v>1857.2795105749083</x:v>
      </x:c>
      <x:c r="G24" s="98" t="n">
        <x:f>E24+F24</x:f>
        <x:v>-8933.103861930382</x:v>
      </x:c>
      <x:c r="H24" s="98" t="n">
        <x:f>'Assumptions'!$B$17*(1+'Assumptions'!$B$29)^(B24-1)/12</x:f>
        <x:v>30900</x:v>
      </x:c>
      <x:c r="I24" s="98" t="n">
        <x:f>'Assumptions'!$B$18*(1+'Assumptions'!$B$29)^(B24-1)/12</x:f>
        <x:v>1545</x:v>
      </x:c>
      <x:c r="J24" s="98" t="n">
        <x:f>-(H24+I24)*('Assumptions'!$B$19+'Assumptions'!$B$20)</x:f>
        <x:v>-1946.7</x:v>
      </x:c>
      <x:c r="K24" s="98" t="n">
        <x:f>SUM(H24:J24)</x:f>
        <x:v>30498.3</x:v>
      </x:c>
      <x:c r="L24" s="98" t="n">
        <x:f>-SUM('Assumptions'!$B$21:$B$25)*(1+'Assumptions'!$B$30)^(B24-1)/12</x:f>
        <x:v>-10815</x:v>
      </x:c>
      <x:c r="M24" s="98" t="n">
        <x:f>-K24*'Assumptions'!$B$26</x:f>
        <x:v>-1219.932</x:v>
      </x:c>
      <x:c r="N24" s="98" t="n">
        <x:f>SUM(K24:M24)</x:f>
        <x:v>18463.368</x:v>
      </x:c>
      <x:c r="O24" s="98" t="n">
        <x:f>-'Assumptions'!$B$27/12</x:f>
        <x:v>-2500</x:v>
      </x:c>
      <x:c r="P24" s="98" t="n">
        <x:f>-'Assumptions'!$B$28/12</x:f>
        <x:v>-833.3333333333334</x:v>
      </x:c>
      <x:c r="Q24" s="98" t="n">
        <x:f>0</x:f>
        <x:v>0</x:v>
      </x:c>
      <x:c r="R24" s="98" t="n">
        <x:f>0</x:f>
        <x:v>0</x:v>
      </x:c>
      <x:c r="S24" s="103" t="n">
        <x:f>SUM(N24:R24)+G24</x:f>
        <x:v>6196.930804736283</x:v>
      </x:c>
      <x:c r="T24" s="98" t="n">
        <x:f>MAX(0,D24-F24)</x:f>
        <x:v>1916433.0978236988</x:v>
      </x:c>
    </x:row>
    <x:row r="25">
      <x:c r="A25" s="96" t="n">
        <x:f>20</x:f>
        <x:v>20</x:v>
      </x:c>
      <x:c r="B25" s="96" t="n">
        <x:f>ROUNDUP(A25/12,0)</x:f>
        <x:v>2</x:v>
      </x:c>
      <x:c r="C25" s="97" t="str">
        <x:f>"M"&amp;TEXT(A25,"00")</x:f>
        <x:v>M20</x:v>
      </x:c>
      <x:c r="D25" s="98" t="n">
        <x:f>T24</x:f>
        <x:v>1916433.0978236988</x:v>
      </x:c>
      <x:c r="E25" s="98" t="n">
        <x:f>-D25*'Assumptions'!$B$34/12</x:f>
        <x:v>-10779.936175258306</x:v>
      </x:c>
      <x:c r="F25" s="98" t="n">
        <x:f>IF(A25&lt;='Assumptions'!$B$36,0,-PMT('Assumptions'!$B$34/12,'Assumptions'!$B$35*12,'Assumptions'!$B$10*'Assumptions'!$B$33)+E25)</x:f>
        <x:v>1867.726707821892</x:v>
      </x:c>
      <x:c r="G25" s="98" t="n">
        <x:f>E25+F25</x:f>
        <x:v>-8912.209467436414</x:v>
      </x:c>
      <x:c r="H25" s="98" t="n">
        <x:f>'Assumptions'!$B$17*(1+'Assumptions'!$B$29)^(B25-1)/12</x:f>
        <x:v>30900</x:v>
      </x:c>
      <x:c r="I25" s="98" t="n">
        <x:f>'Assumptions'!$B$18*(1+'Assumptions'!$B$29)^(B25-1)/12</x:f>
        <x:v>1545</x:v>
      </x:c>
      <x:c r="J25" s="98" t="n">
        <x:f>-(H25+I25)*('Assumptions'!$B$19+'Assumptions'!$B$20)</x:f>
        <x:v>-1946.7</x:v>
      </x:c>
      <x:c r="K25" s="98" t="n">
        <x:f>SUM(H25:J25)</x:f>
        <x:v>30498.3</x:v>
      </x:c>
      <x:c r="L25" s="98" t="n">
        <x:f>-SUM('Assumptions'!$B$21:$B$25)*(1+'Assumptions'!$B$30)^(B25-1)/12</x:f>
        <x:v>-10815</x:v>
      </x:c>
      <x:c r="M25" s="98" t="n">
        <x:f>-K25*'Assumptions'!$B$26</x:f>
        <x:v>-1219.932</x:v>
      </x:c>
      <x:c r="N25" s="98" t="n">
        <x:f>SUM(K25:M25)</x:f>
        <x:v>18463.368</x:v>
      </x:c>
      <x:c r="O25" s="98" t="n">
        <x:f>-'Assumptions'!$B$27/12</x:f>
        <x:v>-2500</x:v>
      </x:c>
      <x:c r="P25" s="98" t="n">
        <x:f>-'Assumptions'!$B$28/12</x:f>
        <x:v>-833.3333333333334</x:v>
      </x:c>
      <x:c r="Q25" s="98" t="n">
        <x:f>0</x:f>
        <x:v>0</x:v>
      </x:c>
      <x:c r="R25" s="98" t="n">
        <x:f>0</x:f>
        <x:v>0</x:v>
      </x:c>
      <x:c r="S25" s="103" t="n">
        <x:f>SUM(N25:R25)+G25</x:f>
        <x:v>6217.82519923025</x:v>
      </x:c>
      <x:c r="T25" s="98" t="n">
        <x:f>MAX(0,D25-F25)</x:f>
        <x:v>1914565.3711158768</x:v>
      </x:c>
    </x:row>
    <x:row r="26">
      <x:c r="A26" s="96" t="n">
        <x:f>21</x:f>
        <x:v>21</x:v>
      </x:c>
      <x:c r="B26" s="96" t="n">
        <x:f>ROUNDUP(A26/12,0)</x:f>
        <x:v>2</x:v>
      </x:c>
      <x:c r="C26" s="97" t="str">
        <x:f>"M"&amp;TEXT(A26,"00")</x:f>
        <x:v>M21</x:v>
      </x:c>
      <x:c r="D26" s="98" t="n">
        <x:f>T25</x:f>
        <x:v>1914565.3711158768</x:v>
      </x:c>
      <x:c r="E26" s="98" t="n">
        <x:f>-D26*'Assumptions'!$B$34/12</x:f>
        <x:v>-10769.430212526808</x:v>
      </x:c>
      <x:c r="F26" s="98" t="n">
        <x:f>IF(A26&lt;='Assumptions'!$B$36,0,-PMT('Assumptions'!$B$34/12,'Assumptions'!$B$35*12,'Assumptions'!$B$10*'Assumptions'!$B$33)+E26)</x:f>
        <x:v>1878.2326705533906</x:v>
      </x:c>
      <x:c r="G26" s="98" t="n">
        <x:f>E26+F26</x:f>
        <x:v>-8891.197541973417</x:v>
      </x:c>
      <x:c r="H26" s="98" t="n">
        <x:f>'Assumptions'!$B$17*(1+'Assumptions'!$B$29)^(B26-1)/12</x:f>
        <x:v>30900</x:v>
      </x:c>
      <x:c r="I26" s="98" t="n">
        <x:f>'Assumptions'!$B$18*(1+'Assumptions'!$B$29)^(B26-1)/12</x:f>
        <x:v>1545</x:v>
      </x:c>
      <x:c r="J26" s="98" t="n">
        <x:f>-(H26+I26)*('Assumptions'!$B$19+'Assumptions'!$B$20)</x:f>
        <x:v>-1946.7</x:v>
      </x:c>
      <x:c r="K26" s="98" t="n">
        <x:f>SUM(H26:J26)</x:f>
        <x:v>30498.3</x:v>
      </x:c>
      <x:c r="L26" s="98" t="n">
        <x:f>-SUM('Assumptions'!$B$21:$B$25)*(1+'Assumptions'!$B$30)^(B26-1)/12</x:f>
        <x:v>-10815</x:v>
      </x:c>
      <x:c r="M26" s="98" t="n">
        <x:f>-K26*'Assumptions'!$B$26</x:f>
        <x:v>-1219.932</x:v>
      </x:c>
      <x:c r="N26" s="98" t="n">
        <x:f>SUM(K26:M26)</x:f>
        <x:v>18463.368</x:v>
      </x:c>
      <x:c r="O26" s="98" t="n">
        <x:f>-'Assumptions'!$B$27/12</x:f>
        <x:v>-2500</x:v>
      </x:c>
      <x:c r="P26" s="98" t="n">
        <x:f>-'Assumptions'!$B$28/12</x:f>
        <x:v>-833.3333333333334</x:v>
      </x:c>
      <x:c r="Q26" s="98" t="n">
        <x:f>0</x:f>
        <x:v>0</x:v>
      </x:c>
      <x:c r="R26" s="98" t="n">
        <x:f>0</x:f>
        <x:v>0</x:v>
      </x:c>
      <x:c r="S26" s="103" t="n">
        <x:f>SUM(N26:R26)+G26</x:f>
        <x:v>6238.8371246932475</x:v>
      </x:c>
      <x:c r="T26" s="98" t="n">
        <x:f>MAX(0,D26-F26)</x:f>
        <x:v>1912687.1384453233</x:v>
      </x:c>
    </x:row>
    <x:row r="27">
      <x:c r="A27" s="96" t="n">
        <x:f>22</x:f>
        <x:v>22</x:v>
      </x:c>
      <x:c r="B27" s="96" t="n">
        <x:f>ROUNDUP(A27/12,0)</x:f>
        <x:v>2</x:v>
      </x:c>
      <x:c r="C27" s="97" t="str">
        <x:f>"M"&amp;TEXT(A27,"00")</x:f>
        <x:v>M22</x:v>
      </x:c>
      <x:c r="D27" s="98" t="n">
        <x:f>T26</x:f>
        <x:v>1912687.1384453233</x:v>
      </x:c>
      <x:c r="E27" s="98" t="n">
        <x:f>-D27*'Assumptions'!$B$34/12</x:f>
        <x:v>-10758.865153754945</x:v>
      </x:c>
      <x:c r="F27" s="98" t="n">
        <x:f>IF(A27&lt;='Assumptions'!$B$36,0,-PMT('Assumptions'!$B$34/12,'Assumptions'!$B$35*12,'Assumptions'!$B$10*'Assumptions'!$B$33)+E27)</x:f>
        <x:v>1888.7977293252534</x:v>
      </x:c>
      <x:c r="G27" s="98" t="n">
        <x:f>E27+F27</x:f>
        <x:v>-8870.067424429692</x:v>
      </x:c>
      <x:c r="H27" s="98" t="n">
        <x:f>'Assumptions'!$B$17*(1+'Assumptions'!$B$29)^(B27-1)/12</x:f>
        <x:v>30900</x:v>
      </x:c>
      <x:c r="I27" s="98" t="n">
        <x:f>'Assumptions'!$B$18*(1+'Assumptions'!$B$29)^(B27-1)/12</x:f>
        <x:v>1545</x:v>
      </x:c>
      <x:c r="J27" s="98" t="n">
        <x:f>-(H27+I27)*('Assumptions'!$B$19+'Assumptions'!$B$20)</x:f>
        <x:v>-1946.7</x:v>
      </x:c>
      <x:c r="K27" s="98" t="n">
        <x:f>SUM(H27:J27)</x:f>
        <x:v>30498.3</x:v>
      </x:c>
      <x:c r="L27" s="98" t="n">
        <x:f>-SUM('Assumptions'!$B$21:$B$25)*(1+'Assumptions'!$B$30)^(B27-1)/12</x:f>
        <x:v>-10815</x:v>
      </x:c>
      <x:c r="M27" s="98" t="n">
        <x:f>-K27*'Assumptions'!$B$26</x:f>
        <x:v>-1219.932</x:v>
      </x:c>
      <x:c r="N27" s="98" t="n">
        <x:f>SUM(K27:M27)</x:f>
        <x:v>18463.368</x:v>
      </x:c>
      <x:c r="O27" s="98" t="n">
        <x:f>-'Assumptions'!$B$27/12</x:f>
        <x:v>-2500</x:v>
      </x:c>
      <x:c r="P27" s="98" t="n">
        <x:f>-'Assumptions'!$B$28/12</x:f>
        <x:v>-833.3333333333334</x:v>
      </x:c>
      <x:c r="Q27" s="98" t="n">
        <x:f>0</x:f>
        <x:v>0</x:v>
      </x:c>
      <x:c r="R27" s="98" t="n">
        <x:f>0</x:f>
        <x:v>0</x:v>
      </x:c>
      <x:c r="S27" s="103" t="n">
        <x:f>SUM(N27:R27)+G27</x:f>
        <x:v>6259.967242236973</x:v>
      </x:c>
      <x:c r="T27" s="98" t="n">
        <x:f>MAX(0,D27-F27)</x:f>
        <x:v>1910798.340715998</x:v>
      </x:c>
    </x:row>
    <x:row r="28">
      <x:c r="A28" s="96" t="n">
        <x:f>23</x:f>
        <x:v>23</x:v>
      </x:c>
      <x:c r="B28" s="96" t="n">
        <x:f>ROUNDUP(A28/12,0)</x:f>
        <x:v>2</x:v>
      </x:c>
      <x:c r="C28" s="97" t="str">
        <x:f>"M"&amp;TEXT(A28,"00")</x:f>
        <x:v>M23</x:v>
      </x:c>
      <x:c r="D28" s="98" t="n">
        <x:f>T27</x:f>
        <x:v>1910798.340715998</x:v>
      </x:c>
      <x:c r="E28" s="98" t="n">
        <x:f>-D28*'Assumptions'!$B$34/12</x:f>
        <x:v>-10748.24066652749</x:v>
      </x:c>
      <x:c r="F28" s="98" t="n">
        <x:f>IF(A28&lt;='Assumptions'!$B$36,0,-PMT('Assumptions'!$B$34/12,'Assumptions'!$B$35*12,'Assumptions'!$B$10*'Assumptions'!$B$33)+E28)</x:f>
        <x:v>1899.422216552708</x:v>
      </x:c>
      <x:c r="G28" s="98" t="n">
        <x:f>E28+F28</x:f>
        <x:v>-8848.818449974782</x:v>
      </x:c>
      <x:c r="H28" s="98" t="n">
        <x:f>'Assumptions'!$B$17*(1+'Assumptions'!$B$29)^(B28-1)/12</x:f>
        <x:v>30900</x:v>
      </x:c>
      <x:c r="I28" s="98" t="n">
        <x:f>'Assumptions'!$B$18*(1+'Assumptions'!$B$29)^(B28-1)/12</x:f>
        <x:v>1545</x:v>
      </x:c>
      <x:c r="J28" s="98" t="n">
        <x:f>-(H28+I28)*('Assumptions'!$B$19+'Assumptions'!$B$20)</x:f>
        <x:v>-1946.7</x:v>
      </x:c>
      <x:c r="K28" s="98" t="n">
        <x:f>SUM(H28:J28)</x:f>
        <x:v>30498.3</x:v>
      </x:c>
      <x:c r="L28" s="98" t="n">
        <x:f>-SUM('Assumptions'!$B$21:$B$25)*(1+'Assumptions'!$B$30)^(B28-1)/12</x:f>
        <x:v>-10815</x:v>
      </x:c>
      <x:c r="M28" s="98" t="n">
        <x:f>-K28*'Assumptions'!$B$26</x:f>
        <x:v>-1219.932</x:v>
      </x:c>
      <x:c r="N28" s="98" t="n">
        <x:f>SUM(K28:M28)</x:f>
        <x:v>18463.368</x:v>
      </x:c>
      <x:c r="O28" s="98" t="n">
        <x:f>-'Assumptions'!$B$27/12</x:f>
        <x:v>-2500</x:v>
      </x:c>
      <x:c r="P28" s="98" t="n">
        <x:f>-'Assumptions'!$B$28/12</x:f>
        <x:v>-833.3333333333334</x:v>
      </x:c>
      <x:c r="Q28" s="98" t="n">
        <x:f>0</x:f>
        <x:v>0</x:v>
      </x:c>
      <x:c r="R28" s="98" t="n">
        <x:f>0</x:f>
        <x:v>0</x:v>
      </x:c>
      <x:c r="S28" s="103" t="n">
        <x:f>SUM(N28:R28)+G28</x:f>
        <x:v>6281.216216691882</x:v>
      </x:c>
      <x:c r="T28" s="98" t="n">
        <x:f>MAX(0,D28-F28)</x:f>
        <x:v>1908898.9184994453</x:v>
      </x:c>
    </x:row>
    <x:row r="29">
      <x:c r="A29" s="96" t="n">
        <x:f>24</x:f>
        <x:v>24</x:v>
      </x:c>
      <x:c r="B29" s="96" t="n">
        <x:f>ROUNDUP(A29/12,0)</x:f>
        <x:v>2</x:v>
      </x:c>
      <x:c r="C29" s="97" t="str">
        <x:f>"M"&amp;TEXT(A29,"00")</x:f>
        <x:v>M24</x:v>
      </x:c>
      <x:c r="D29" s="98" t="n">
        <x:f>T28</x:f>
        <x:v>1908898.9184994453</x:v>
      </x:c>
      <x:c r="E29" s="98" t="n">
        <x:f>-D29*'Assumptions'!$B$34/12</x:f>
        <x:v>-10737.55641655938</x:v>
      </x:c>
      <x:c r="F29" s="98" t="n">
        <x:f>IF(A29&lt;='Assumptions'!$B$36,0,-PMT('Assumptions'!$B$34/12,'Assumptions'!$B$35*12,'Assumptions'!$B$10*'Assumptions'!$B$33)+E29)</x:f>
        <x:v>1910.1064665208178</x:v>
      </x:c>
      <x:c r="G29" s="98" t="n">
        <x:f>E29+F29</x:f>
        <x:v>-8827.449950038563</x:v>
      </x:c>
      <x:c r="H29" s="98" t="n">
        <x:f>'Assumptions'!$B$17*(1+'Assumptions'!$B$29)^(B29-1)/12</x:f>
        <x:v>30900</x:v>
      </x:c>
      <x:c r="I29" s="98" t="n">
        <x:f>'Assumptions'!$B$18*(1+'Assumptions'!$B$29)^(B29-1)/12</x:f>
        <x:v>1545</x:v>
      </x:c>
      <x:c r="J29" s="98" t="n">
        <x:f>-(H29+I29)*('Assumptions'!$B$19+'Assumptions'!$B$20)</x:f>
        <x:v>-1946.7</x:v>
      </x:c>
      <x:c r="K29" s="98" t="n">
        <x:f>SUM(H29:J29)</x:f>
        <x:v>30498.3</x:v>
      </x:c>
      <x:c r="L29" s="98" t="n">
        <x:f>-SUM('Assumptions'!$B$21:$B$25)*(1+'Assumptions'!$B$30)^(B29-1)/12</x:f>
        <x:v>-10815</x:v>
      </x:c>
      <x:c r="M29" s="98" t="n">
        <x:f>-K29*'Assumptions'!$B$26</x:f>
        <x:v>-1219.932</x:v>
      </x:c>
      <x:c r="N29" s="98" t="n">
        <x:f>SUM(K29:M29)</x:f>
        <x:v>18463.368</x:v>
      </x:c>
      <x:c r="O29" s="98" t="n">
        <x:f>-'Assumptions'!$B$27/12</x:f>
        <x:v>-2500</x:v>
      </x:c>
      <x:c r="P29" s="98" t="n">
        <x:f>-'Assumptions'!$B$28/12</x:f>
        <x:v>-833.3333333333334</x:v>
      </x:c>
      <x:c r="Q29" s="98" t="n">
        <x:f>0</x:f>
        <x:v>0</x:v>
      </x:c>
      <x:c r="R29" s="98" t="n">
        <x:f>0</x:f>
        <x:v>0</x:v>
      </x:c>
      <x:c r="S29" s="103" t="n">
        <x:f>SUM(N29:R29)+G29</x:f>
        <x:v>6302.584716628102</x:v>
      </x:c>
      <x:c r="T29" s="98" t="n">
        <x:f>MAX(0,D29-F29)</x:f>
        <x:v>1906988.8120329245</x:v>
      </x:c>
    </x:row>
    <x:row r="30">
      <x:c r="A30" s="96" t="n">
        <x:f>25</x:f>
        <x:v>25</x:v>
      </x:c>
      <x:c r="B30" s="96" t="n">
        <x:f>ROUNDUP(A30/12,0)</x:f>
        <x:v>3</x:v>
      </x:c>
      <x:c r="C30" s="97" t="str">
        <x:f>"M"&amp;TEXT(A30,"00")</x:f>
        <x:v>M25</x:v>
      </x:c>
      <x:c r="D30" s="98" t="n">
        <x:f>T29</x:f>
        <x:v>1906988.8120329245</x:v>
      </x:c>
      <x:c r="E30" s="98" t="n">
        <x:f>-D30*'Assumptions'!$B$34/12</x:f>
        <x:v>-10726.812067685201</x:v>
      </x:c>
      <x:c r="F30" s="98" t="n">
        <x:f>IF(A30&lt;='Assumptions'!$B$36,0,-PMT('Assumptions'!$B$34/12,'Assumptions'!$B$35*12,'Assumptions'!$B$10*'Assumptions'!$B$33)+E30)</x:f>
        <x:v>1920.850815394997</x:v>
      </x:c>
      <x:c r="G30" s="98" t="n">
        <x:f>E30+F30</x:f>
        <x:v>-8805.961252290204</x:v>
      </x:c>
      <x:c r="H30" s="98" t="n">
        <x:f>'Assumptions'!$B$17*(1+'Assumptions'!$B$29)^(B30-1)/12</x:f>
        <x:v>31827</x:v>
      </x:c>
      <x:c r="I30" s="98" t="n">
        <x:f>'Assumptions'!$B$18*(1+'Assumptions'!$B$29)^(B30-1)/12</x:f>
        <x:v>1591.3500000000001</x:v>
      </x:c>
      <x:c r="J30" s="98" t="n">
        <x:f>-(H30+I30)*('Assumptions'!$B$19+'Assumptions'!$B$20)</x:f>
        <x:v>-2005.101</x:v>
      </x:c>
      <x:c r="K30" s="98" t="n">
        <x:f>SUM(H30:J30)</x:f>
        <x:v>31413.249</x:v>
      </x:c>
      <x:c r="L30" s="98" t="n">
        <x:f>-SUM('Assumptions'!$B$21:$B$25)*(1+'Assumptions'!$B$30)^(B30-1)/12</x:f>
        <x:v>-11139.449999999999</x:v>
      </x:c>
      <x:c r="M30" s="98" t="n">
        <x:f>-K30*'Assumptions'!$B$26</x:f>
        <x:v>-1256.52996</x:v>
      </x:c>
      <x:c r="N30" s="98" t="n">
        <x:f>SUM(K30:M30)</x:f>
        <x:v>19017.26904</x:v>
      </x:c>
      <x:c r="O30" s="98" t="n">
        <x:f>-'Assumptions'!$B$27/12</x:f>
        <x:v>-2500</x:v>
      </x:c>
      <x:c r="P30" s="98" t="n">
        <x:f>-'Assumptions'!$B$28/12</x:f>
        <x:v>-833.3333333333334</x:v>
      </x:c>
      <x:c r="Q30" s="98" t="n">
        <x:f>0</x:f>
        <x:v>0</x:v>
      </x:c>
      <x:c r="R30" s="98" t="n">
        <x:f>0</x:f>
        <x:v>0</x:v>
      </x:c>
      <x:c r="S30" s="103" t="n">
        <x:f>SUM(N30:R30)+G30</x:f>
        <x:v>6877.974454376461</x:v>
      </x:c>
      <x:c r="T30" s="98" t="n">
        <x:f>MAX(0,D30-F30)</x:f>
        <x:v>1905067.9612175296</x:v>
      </x:c>
    </x:row>
    <x:row r="31">
      <x:c r="A31" s="96" t="n">
        <x:f>26</x:f>
        <x:v>26</x:v>
      </x:c>
      <x:c r="B31" s="96" t="n">
        <x:f>ROUNDUP(A31/12,0)</x:f>
        <x:v>3</x:v>
      </x:c>
      <x:c r="C31" s="97" t="str">
        <x:f>"M"&amp;TEXT(A31,"00")</x:f>
        <x:v>M26</x:v>
      </x:c>
      <x:c r="D31" s="98" t="n">
        <x:f>T30</x:f>
        <x:v>1905067.9612175296</x:v>
      </x:c>
      <x:c r="E31" s="98" t="n">
        <x:f>-D31*'Assumptions'!$B$34/12</x:f>
        <x:v>-10716.007281848604</x:v>
      </x:c>
      <x:c r="F31" s="98" t="n">
        <x:f>IF(A31&lt;='Assumptions'!$B$36,0,-PMT('Assumptions'!$B$34/12,'Assumptions'!$B$35*12,'Assumptions'!$B$10*'Assumptions'!$B$33)+E31)</x:f>
        <x:v>1931.6556012315941</x:v>
      </x:c>
      <x:c r="G31" s="98" t="n">
        <x:f>E31+F31</x:f>
        <x:v>-8784.35168061701</x:v>
      </x:c>
      <x:c r="H31" s="98" t="n">
        <x:f>'Assumptions'!$B$17*(1+'Assumptions'!$B$29)^(B31-1)/12</x:f>
        <x:v>31827</x:v>
      </x:c>
      <x:c r="I31" s="98" t="n">
        <x:f>'Assumptions'!$B$18*(1+'Assumptions'!$B$29)^(B31-1)/12</x:f>
        <x:v>1591.3500000000001</x:v>
      </x:c>
      <x:c r="J31" s="98" t="n">
        <x:f>-(H31+I31)*('Assumptions'!$B$19+'Assumptions'!$B$20)</x:f>
        <x:v>-2005.101</x:v>
      </x:c>
      <x:c r="K31" s="98" t="n">
        <x:f>SUM(H31:J31)</x:f>
        <x:v>31413.249</x:v>
      </x:c>
      <x:c r="L31" s="98" t="n">
        <x:f>-SUM('Assumptions'!$B$21:$B$25)*(1+'Assumptions'!$B$30)^(B31-1)/12</x:f>
        <x:v>-11139.449999999999</x:v>
      </x:c>
      <x:c r="M31" s="98" t="n">
        <x:f>-K31*'Assumptions'!$B$26</x:f>
        <x:v>-1256.52996</x:v>
      </x:c>
      <x:c r="N31" s="98" t="n">
        <x:f>SUM(K31:M31)</x:f>
        <x:v>19017.26904</x:v>
      </x:c>
      <x:c r="O31" s="98" t="n">
        <x:f>-'Assumptions'!$B$27/12</x:f>
        <x:v>-2500</x:v>
      </x:c>
      <x:c r="P31" s="98" t="n">
        <x:f>-'Assumptions'!$B$28/12</x:f>
        <x:v>-833.3333333333334</x:v>
      </x:c>
      <x:c r="Q31" s="98" t="n">
        <x:f>0</x:f>
        <x:v>0</x:v>
      </x:c>
      <x:c r="R31" s="98" t="n">
        <x:f>0</x:f>
        <x:v>0</x:v>
      </x:c>
      <x:c r="S31" s="103" t="n">
        <x:f>SUM(N31:R31)+G31</x:f>
        <x:v>6899.584026049655</x:v>
      </x:c>
      <x:c r="T31" s="98" t="n">
        <x:f>MAX(0,D31-F31)</x:f>
        <x:v>1903136.305616298</x:v>
      </x:c>
    </x:row>
    <x:row r="32">
      <x:c r="A32" s="96" t="n">
        <x:f>27</x:f>
        <x:v>27</x:v>
      </x:c>
      <x:c r="B32" s="96" t="n">
        <x:f>ROUNDUP(A32/12,0)</x:f>
        <x:v>3</x:v>
      </x:c>
      <x:c r="C32" s="97" t="str">
        <x:f>"M"&amp;TEXT(A32,"00")</x:f>
        <x:v>M27</x:v>
      </x:c>
      <x:c r="D32" s="98" t="n">
        <x:f>T31</x:f>
        <x:v>1903136.305616298</x:v>
      </x:c>
      <x:c r="E32" s="98" t="n">
        <x:f>-D32*'Assumptions'!$B$34/12</x:f>
        <x:v>-10705.141719091676</x:v>
      </x:c>
      <x:c r="F32" s="98" t="n">
        <x:f>IF(A32&lt;='Assumptions'!$B$36,0,-PMT('Assumptions'!$B$34/12,'Assumptions'!$B$35*12,'Assumptions'!$B$10*'Assumptions'!$B$33)+E32)</x:f>
        <x:v>1942.521163988522</x:v>
      </x:c>
      <x:c r="G32" s="98" t="n">
        <x:f>E32+F32</x:f>
        <x:v>-8762.620555103154</x:v>
      </x:c>
      <x:c r="H32" s="98" t="n">
        <x:f>'Assumptions'!$B$17*(1+'Assumptions'!$B$29)^(B32-1)/12</x:f>
        <x:v>31827</x:v>
      </x:c>
      <x:c r="I32" s="98" t="n">
        <x:f>'Assumptions'!$B$18*(1+'Assumptions'!$B$29)^(B32-1)/12</x:f>
        <x:v>1591.3500000000001</x:v>
      </x:c>
      <x:c r="J32" s="98" t="n">
        <x:f>-(H32+I32)*('Assumptions'!$B$19+'Assumptions'!$B$20)</x:f>
        <x:v>-2005.101</x:v>
      </x:c>
      <x:c r="K32" s="98" t="n">
        <x:f>SUM(H32:J32)</x:f>
        <x:v>31413.249</x:v>
      </x:c>
      <x:c r="L32" s="98" t="n">
        <x:f>-SUM('Assumptions'!$B$21:$B$25)*(1+'Assumptions'!$B$30)^(B32-1)/12</x:f>
        <x:v>-11139.449999999999</x:v>
      </x:c>
      <x:c r="M32" s="98" t="n">
        <x:f>-K32*'Assumptions'!$B$26</x:f>
        <x:v>-1256.52996</x:v>
      </x:c>
      <x:c r="N32" s="98" t="n">
        <x:f>SUM(K32:M32)</x:f>
        <x:v>19017.26904</x:v>
      </x:c>
      <x:c r="O32" s="98" t="n">
        <x:f>-'Assumptions'!$B$27/12</x:f>
        <x:v>-2500</x:v>
      </x:c>
      <x:c r="P32" s="98" t="n">
        <x:f>-'Assumptions'!$B$28/12</x:f>
        <x:v>-833.3333333333334</x:v>
      </x:c>
      <x:c r="Q32" s="98" t="n">
        <x:f>0</x:f>
        <x:v>0</x:v>
      </x:c>
      <x:c r="R32" s="98" t="n">
        <x:f>0</x:f>
        <x:v>0</x:v>
      </x:c>
      <x:c r="S32" s="103" t="n">
        <x:f>SUM(N32:R32)+G32</x:f>
        <x:v>6921.315151563511</x:v>
      </x:c>
      <x:c r="T32" s="98" t="n">
        <x:f>MAX(0,D32-F32)</x:f>
        <x:v>1901193.7844523094</x:v>
      </x:c>
    </x:row>
    <x:row r="33">
      <x:c r="A33" s="96" t="n">
        <x:f>28</x:f>
        <x:v>28</x:v>
      </x:c>
      <x:c r="B33" s="96" t="n">
        <x:f>ROUNDUP(A33/12,0)</x:f>
        <x:v>3</x:v>
      </x:c>
      <x:c r="C33" s="97" t="str">
        <x:f>"M"&amp;TEXT(A33,"00")</x:f>
        <x:v>M28</x:v>
      </x:c>
      <x:c r="D33" s="98" t="n">
        <x:f>T32</x:f>
        <x:v>1901193.7844523094</x:v>
      </x:c>
      <x:c r="E33" s="98" t="n">
        <x:f>-D33*'Assumptions'!$B$34/12</x:f>
        <x:v>-10694.215037544242</x:v>
      </x:c>
      <x:c r="F33" s="98" t="n">
        <x:f>IF(A33&lt;='Assumptions'!$B$36,0,-PMT('Assumptions'!$B$34/12,'Assumptions'!$B$35*12,'Assumptions'!$B$10*'Assumptions'!$B$33)+E33)</x:f>
        <x:v>1953.4478455359567</x:v>
      </x:c>
      <x:c r="G33" s="98" t="n">
        <x:f>E33+F33</x:f>
        <x:v>-8740.767192008285</x:v>
      </x:c>
      <x:c r="H33" s="98" t="n">
        <x:f>'Assumptions'!$B$17*(1+'Assumptions'!$B$29)^(B33-1)/12</x:f>
        <x:v>31827</x:v>
      </x:c>
      <x:c r="I33" s="98" t="n">
        <x:f>'Assumptions'!$B$18*(1+'Assumptions'!$B$29)^(B33-1)/12</x:f>
        <x:v>1591.3500000000001</x:v>
      </x:c>
      <x:c r="J33" s="98" t="n">
        <x:f>-(H33+I33)*('Assumptions'!$B$19+'Assumptions'!$B$20)</x:f>
        <x:v>-2005.101</x:v>
      </x:c>
      <x:c r="K33" s="98" t="n">
        <x:f>SUM(H33:J33)</x:f>
        <x:v>31413.249</x:v>
      </x:c>
      <x:c r="L33" s="98" t="n">
        <x:f>-SUM('Assumptions'!$B$21:$B$25)*(1+'Assumptions'!$B$30)^(B33-1)/12</x:f>
        <x:v>-11139.449999999999</x:v>
      </x:c>
      <x:c r="M33" s="98" t="n">
        <x:f>-K33*'Assumptions'!$B$26</x:f>
        <x:v>-1256.52996</x:v>
      </x:c>
      <x:c r="N33" s="98" t="n">
        <x:f>SUM(K33:M33)</x:f>
        <x:v>19017.26904</x:v>
      </x:c>
      <x:c r="O33" s="98" t="n">
        <x:f>-'Assumptions'!$B$27/12</x:f>
        <x:v>-2500</x:v>
      </x:c>
      <x:c r="P33" s="98" t="n">
        <x:f>-'Assumptions'!$B$28/12</x:f>
        <x:v>-833.3333333333334</x:v>
      </x:c>
      <x:c r="Q33" s="98" t="n">
        <x:f>0</x:f>
        <x:v>0</x:v>
      </x:c>
      <x:c r="R33" s="98" t="n">
        <x:f>0</x:f>
        <x:v>0</x:v>
      </x:c>
      <x:c r="S33" s="103" t="n">
        <x:f>SUM(N33:R33)+G33</x:f>
        <x:v>6943.16851465838</x:v>
      </x:c>
      <x:c r="T33" s="98" t="n">
        <x:f>MAX(0,D33-F33)</x:f>
        <x:v>1899240.3366067733</x:v>
      </x:c>
    </x:row>
    <x:row r="34">
      <x:c r="A34" s="96" t="n">
        <x:f>29</x:f>
        <x:v>29</x:v>
      </x:c>
      <x:c r="B34" s="96" t="n">
        <x:f>ROUNDUP(A34/12,0)</x:f>
        <x:v>3</x:v>
      </x:c>
      <x:c r="C34" s="97" t="str">
        <x:f>"M"&amp;TEXT(A34,"00")</x:f>
        <x:v>M29</x:v>
      </x:c>
      <x:c r="D34" s="98" t="n">
        <x:f>T33</x:f>
        <x:v>1899240.3366067733</x:v>
      </x:c>
      <x:c r="E34" s="98" t="n">
        <x:f>-D34*'Assumptions'!$B$34/12</x:f>
        <x:v>-10683.2268934131</x:v>
      </x:c>
      <x:c r="F34" s="98" t="n">
        <x:f>IF(A34&lt;='Assumptions'!$B$36,0,-PMT('Assumptions'!$B$34/12,'Assumptions'!$B$35*12,'Assumptions'!$B$10*'Assumptions'!$B$33)+E34)</x:f>
        <x:v>1964.4359896670976</x:v>
      </x:c>
      <x:c r="G34" s="98" t="n">
        <x:f>E34+F34</x:f>
        <x:v>-8718.790903746003</x:v>
      </x:c>
      <x:c r="H34" s="98" t="n">
        <x:f>'Assumptions'!$B$17*(1+'Assumptions'!$B$29)^(B34-1)/12</x:f>
        <x:v>31827</x:v>
      </x:c>
      <x:c r="I34" s="98" t="n">
        <x:f>'Assumptions'!$B$18*(1+'Assumptions'!$B$29)^(B34-1)/12</x:f>
        <x:v>1591.3500000000001</x:v>
      </x:c>
      <x:c r="J34" s="98" t="n">
        <x:f>-(H34+I34)*('Assumptions'!$B$19+'Assumptions'!$B$20)</x:f>
        <x:v>-2005.101</x:v>
      </x:c>
      <x:c r="K34" s="98" t="n">
        <x:f>SUM(H34:J34)</x:f>
        <x:v>31413.249</x:v>
      </x:c>
      <x:c r="L34" s="98" t="n">
        <x:f>-SUM('Assumptions'!$B$21:$B$25)*(1+'Assumptions'!$B$30)^(B34-1)/12</x:f>
        <x:v>-11139.449999999999</x:v>
      </x:c>
      <x:c r="M34" s="98" t="n">
        <x:f>-K34*'Assumptions'!$B$26</x:f>
        <x:v>-1256.52996</x:v>
      </x:c>
      <x:c r="N34" s="98" t="n">
        <x:f>SUM(K34:M34)</x:f>
        <x:v>19017.26904</x:v>
      </x:c>
      <x:c r="O34" s="98" t="n">
        <x:f>-'Assumptions'!$B$27/12</x:f>
        <x:v>-2500</x:v>
      </x:c>
      <x:c r="P34" s="98" t="n">
        <x:f>-'Assumptions'!$B$28/12</x:f>
        <x:v>-833.3333333333334</x:v>
      </x:c>
      <x:c r="Q34" s="98" t="n">
        <x:f>0</x:f>
        <x:v>0</x:v>
      </x:c>
      <x:c r="R34" s="98" t="n">
        <x:f>0</x:f>
        <x:v>0</x:v>
      </x:c>
      <x:c r="S34" s="103" t="n">
        <x:f>SUM(N34:R34)+G34</x:f>
        <x:v>6965.144802920662</x:v>
      </x:c>
      <x:c r="T34" s="98" t="n">
        <x:f>MAX(0,D34-F34)</x:f>
        <x:v>1897275.9006171061</x:v>
      </x:c>
    </x:row>
    <x:row r="35">
      <x:c r="A35" s="96" t="n">
        <x:f>30</x:f>
        <x:v>30</x:v>
      </x:c>
      <x:c r="B35" s="96" t="n">
        <x:f>ROUNDUP(A35/12,0)</x:f>
        <x:v>3</x:v>
      </x:c>
      <x:c r="C35" s="97" t="str">
        <x:f>"M"&amp;TEXT(A35,"00")</x:f>
        <x:v>M30</x:v>
      </x:c>
      <x:c r="D35" s="98" t="n">
        <x:f>T34</x:f>
        <x:v>1897275.9006171061</x:v>
      </x:c>
      <x:c r="E35" s="98" t="n">
        <x:f>-D35*'Assumptions'!$B$34/12</x:f>
        <x:v>-10672.176940971223</x:v>
      </x:c>
      <x:c r="F35" s="98" t="n">
        <x:f>IF(A35&lt;='Assumptions'!$B$36,0,-PMT('Assumptions'!$B$34/12,'Assumptions'!$B$35*12,'Assumptions'!$B$10*'Assumptions'!$B$33)+E35)</x:f>
        <x:v>1975.485942108975</x:v>
      </x:c>
      <x:c r="G35" s="98" t="n">
        <x:f>E35+F35</x:f>
        <x:v>-8696.690998862248</x:v>
      </x:c>
      <x:c r="H35" s="98" t="n">
        <x:f>'Assumptions'!$B$17*(1+'Assumptions'!$B$29)^(B35-1)/12</x:f>
        <x:v>31827</x:v>
      </x:c>
      <x:c r="I35" s="98" t="n">
        <x:f>'Assumptions'!$B$18*(1+'Assumptions'!$B$29)^(B35-1)/12</x:f>
        <x:v>1591.3500000000001</x:v>
      </x:c>
      <x:c r="J35" s="98" t="n">
        <x:f>-(H35+I35)*('Assumptions'!$B$19+'Assumptions'!$B$20)</x:f>
        <x:v>-2005.101</x:v>
      </x:c>
      <x:c r="K35" s="98" t="n">
        <x:f>SUM(H35:J35)</x:f>
        <x:v>31413.249</x:v>
      </x:c>
      <x:c r="L35" s="98" t="n">
        <x:f>-SUM('Assumptions'!$B$21:$B$25)*(1+'Assumptions'!$B$30)^(B35-1)/12</x:f>
        <x:v>-11139.449999999999</x:v>
      </x:c>
      <x:c r="M35" s="98" t="n">
        <x:f>-K35*'Assumptions'!$B$26</x:f>
        <x:v>-1256.52996</x:v>
      </x:c>
      <x:c r="N35" s="98" t="n">
        <x:f>SUM(K35:M35)</x:f>
        <x:v>19017.26904</x:v>
      </x:c>
      <x:c r="O35" s="98" t="n">
        <x:f>-'Assumptions'!$B$27/12</x:f>
        <x:v>-2500</x:v>
      </x:c>
      <x:c r="P35" s="98" t="n">
        <x:f>-'Assumptions'!$B$28/12</x:f>
        <x:v>-833.3333333333334</x:v>
      </x:c>
      <x:c r="Q35" s="98" t="n">
        <x:f>0</x:f>
        <x:v>0</x:v>
      </x:c>
      <x:c r="R35" s="98" t="n">
        <x:f>0</x:f>
        <x:v>0</x:v>
      </x:c>
      <x:c r="S35" s="103" t="n">
        <x:f>SUM(N35:R35)+G35</x:f>
        <x:v>6987.244707804417</x:v>
      </x:c>
      <x:c r="T35" s="98" t="n">
        <x:f>MAX(0,D35-F35)</x:f>
        <x:v>1895300.414674997</x:v>
      </x:c>
    </x:row>
    <x:row r="36">
      <x:c r="A36" s="96" t="n">
        <x:f>31</x:f>
        <x:v>31</x:v>
      </x:c>
      <x:c r="B36" s="96" t="n">
        <x:f>ROUNDUP(A36/12,0)</x:f>
        <x:v>3</x:v>
      </x:c>
      <x:c r="C36" s="97" t="str">
        <x:f>"M"&amp;TEXT(A36,"00")</x:f>
        <x:v>M31</x:v>
      </x:c>
      <x:c r="D36" s="98" t="n">
        <x:f>T35</x:f>
        <x:v>1895300.414674997</x:v>
      </x:c>
      <x:c r="E36" s="98" t="n">
        <x:f>-D36*'Assumptions'!$B$34/12</x:f>
        <x:v>-10661.06483254686</x:v>
      </x:c>
      <x:c r="F36" s="98" t="n">
        <x:f>IF(A36&lt;='Assumptions'!$B$36,0,-PMT('Assumptions'!$B$34/12,'Assumptions'!$B$35*12,'Assumptions'!$B$10*'Assumptions'!$B$33)+E36)</x:f>
        <x:v>1986.5980505333391</x:v>
      </x:c>
      <x:c r="G36" s="98" t="n">
        <x:f>E36+F36</x:f>
        <x:v>-8674.46678201352</x:v>
      </x:c>
      <x:c r="H36" s="98" t="n">
        <x:f>'Assumptions'!$B$17*(1+'Assumptions'!$B$29)^(B36-1)/12</x:f>
        <x:v>31827</x:v>
      </x:c>
      <x:c r="I36" s="98" t="n">
        <x:f>'Assumptions'!$B$18*(1+'Assumptions'!$B$29)^(B36-1)/12</x:f>
        <x:v>1591.3500000000001</x:v>
      </x:c>
      <x:c r="J36" s="98" t="n">
        <x:f>-(H36+I36)*('Assumptions'!$B$19+'Assumptions'!$B$20)</x:f>
        <x:v>-2005.101</x:v>
      </x:c>
      <x:c r="K36" s="98" t="n">
        <x:f>SUM(H36:J36)</x:f>
        <x:v>31413.249</x:v>
      </x:c>
      <x:c r="L36" s="98" t="n">
        <x:f>-SUM('Assumptions'!$B$21:$B$25)*(1+'Assumptions'!$B$30)^(B36-1)/12</x:f>
        <x:v>-11139.449999999999</x:v>
      </x:c>
      <x:c r="M36" s="98" t="n">
        <x:f>-K36*'Assumptions'!$B$26</x:f>
        <x:v>-1256.52996</x:v>
      </x:c>
      <x:c r="N36" s="98" t="n">
        <x:f>SUM(K36:M36)</x:f>
        <x:v>19017.26904</x:v>
      </x:c>
      <x:c r="O36" s="98" t="n">
        <x:f>-'Assumptions'!$B$27/12</x:f>
        <x:v>-2500</x:v>
      </x:c>
      <x:c r="P36" s="98" t="n">
        <x:f>-'Assumptions'!$B$28/12</x:f>
        <x:v>-833.3333333333334</x:v>
      </x:c>
      <x:c r="Q36" s="98" t="n">
        <x:f>0</x:f>
        <x:v>0</x:v>
      </x:c>
      <x:c r="R36" s="98" t="n">
        <x:f>0</x:f>
        <x:v>0</x:v>
      </x:c>
      <x:c r="S36" s="103" t="n">
        <x:f>SUM(N36:R36)+G36</x:f>
        <x:v>7009.468924653145</x:v>
      </x:c>
      <x:c r="T36" s="98" t="n">
        <x:f>MAX(0,D36-F36)</x:f>
        <x:v>1893313.8166244638</x:v>
      </x:c>
    </x:row>
    <x:row r="37">
      <x:c r="A37" s="96" t="n">
        <x:f>32</x:f>
        <x:v>32</x:v>
      </x:c>
      <x:c r="B37" s="96" t="n">
        <x:f>ROUNDUP(A37/12,0)</x:f>
        <x:v>3</x:v>
      </x:c>
      <x:c r="C37" s="97" t="str">
        <x:f>"M"&amp;TEXT(A37,"00")</x:f>
        <x:v>M32</x:v>
      </x:c>
      <x:c r="D37" s="98" t="n">
        <x:f>T36</x:f>
        <x:v>1893313.8166244638</x:v>
      </x:c>
      <x:c r="E37" s="98" t="n">
        <x:f>-D37*'Assumptions'!$B$34/12</x:f>
        <x:v>-10649.89021851261</x:v>
      </x:c>
      <x:c r="F37" s="98" t="n">
        <x:f>IF(A37&lt;='Assumptions'!$B$36,0,-PMT('Assumptions'!$B$34/12,'Assumptions'!$B$35*12,'Assumptions'!$B$10*'Assumptions'!$B$33)+E37)</x:f>
        <x:v>1997.7726645675884</x:v>
      </x:c>
      <x:c r="G37" s="98" t="n">
        <x:f>E37+F37</x:f>
        <x:v>-8652.117553945021</x:v>
      </x:c>
      <x:c r="H37" s="98" t="n">
        <x:f>'Assumptions'!$B$17*(1+'Assumptions'!$B$29)^(B37-1)/12</x:f>
        <x:v>31827</x:v>
      </x:c>
      <x:c r="I37" s="98" t="n">
        <x:f>'Assumptions'!$B$18*(1+'Assumptions'!$B$29)^(B37-1)/12</x:f>
        <x:v>1591.3500000000001</x:v>
      </x:c>
      <x:c r="J37" s="98" t="n">
        <x:f>-(H37+I37)*('Assumptions'!$B$19+'Assumptions'!$B$20)</x:f>
        <x:v>-2005.101</x:v>
      </x:c>
      <x:c r="K37" s="98" t="n">
        <x:f>SUM(H37:J37)</x:f>
        <x:v>31413.249</x:v>
      </x:c>
      <x:c r="L37" s="98" t="n">
        <x:f>-SUM('Assumptions'!$B$21:$B$25)*(1+'Assumptions'!$B$30)^(B37-1)/12</x:f>
        <x:v>-11139.449999999999</x:v>
      </x:c>
      <x:c r="M37" s="98" t="n">
        <x:f>-K37*'Assumptions'!$B$26</x:f>
        <x:v>-1256.52996</x:v>
      </x:c>
      <x:c r="N37" s="98" t="n">
        <x:f>SUM(K37:M37)</x:f>
        <x:v>19017.26904</x:v>
      </x:c>
      <x:c r="O37" s="98" t="n">
        <x:f>-'Assumptions'!$B$27/12</x:f>
        <x:v>-2500</x:v>
      </x:c>
      <x:c r="P37" s="98" t="n">
        <x:f>-'Assumptions'!$B$28/12</x:f>
        <x:v>-833.3333333333334</x:v>
      </x:c>
      <x:c r="Q37" s="98" t="n">
        <x:f>0</x:f>
        <x:v>0</x:v>
      </x:c>
      <x:c r="R37" s="98" t="n">
        <x:f>0</x:f>
        <x:v>0</x:v>
      </x:c>
      <x:c r="S37" s="103" t="n">
        <x:f>SUM(N37:R37)+G37</x:f>
        <x:v>7031.818152721644</x:v>
      </x:c>
      <x:c r="T37" s="98" t="n">
        <x:f>MAX(0,D37-F37)</x:f>
        <x:v>1891316.043959896</x:v>
      </x:c>
    </x:row>
    <x:row r="38">
      <x:c r="A38" s="96" t="n">
        <x:f>33</x:f>
        <x:v>33</x:v>
      </x:c>
      <x:c r="B38" s="96" t="n">
        <x:f>ROUNDUP(A38/12,0)</x:f>
        <x:v>3</x:v>
      </x:c>
      <x:c r="C38" s="97" t="str">
        <x:f>"M"&amp;TEXT(A38,"00")</x:f>
        <x:v>M33</x:v>
      </x:c>
      <x:c r="D38" s="98" t="n">
        <x:f>T37</x:f>
        <x:v>1891316.043959896</x:v>
      </x:c>
      <x:c r="E38" s="98" t="n">
        <x:f>-D38*'Assumptions'!$B$34/12</x:f>
        <x:v>-10638.652747274416</x:v>
      </x:c>
      <x:c r="F38" s="98" t="n">
        <x:f>IF(A38&lt;='Assumptions'!$B$36,0,-PMT('Assumptions'!$B$34/12,'Assumptions'!$B$35*12,'Assumptions'!$B$10*'Assumptions'!$B$33)+E38)</x:f>
        <x:v>2009.0101358057818</x:v>
      </x:c>
      <x:c r="G38" s="98" t="n">
        <x:f>E38+F38</x:f>
        <x:v>-8629.642611468635</x:v>
      </x:c>
      <x:c r="H38" s="98" t="n">
        <x:f>'Assumptions'!$B$17*(1+'Assumptions'!$B$29)^(B38-1)/12</x:f>
        <x:v>31827</x:v>
      </x:c>
      <x:c r="I38" s="98" t="n">
        <x:f>'Assumptions'!$B$18*(1+'Assumptions'!$B$29)^(B38-1)/12</x:f>
        <x:v>1591.3500000000001</x:v>
      </x:c>
      <x:c r="J38" s="98" t="n">
        <x:f>-(H38+I38)*('Assumptions'!$B$19+'Assumptions'!$B$20)</x:f>
        <x:v>-2005.101</x:v>
      </x:c>
      <x:c r="K38" s="98" t="n">
        <x:f>SUM(H38:J38)</x:f>
        <x:v>31413.249</x:v>
      </x:c>
      <x:c r="L38" s="98" t="n">
        <x:f>-SUM('Assumptions'!$B$21:$B$25)*(1+'Assumptions'!$B$30)^(B38-1)/12</x:f>
        <x:v>-11139.449999999999</x:v>
      </x:c>
      <x:c r="M38" s="98" t="n">
        <x:f>-K38*'Assumptions'!$B$26</x:f>
        <x:v>-1256.52996</x:v>
      </x:c>
      <x:c r="N38" s="98" t="n">
        <x:f>SUM(K38:M38)</x:f>
        <x:v>19017.26904</x:v>
      </x:c>
      <x:c r="O38" s="98" t="n">
        <x:f>-'Assumptions'!$B$27/12</x:f>
        <x:v>-2500</x:v>
      </x:c>
      <x:c r="P38" s="98" t="n">
        <x:f>-'Assumptions'!$B$28/12</x:f>
        <x:v>-833.3333333333334</x:v>
      </x:c>
      <x:c r="Q38" s="98" t="n">
        <x:f>0</x:f>
        <x:v>0</x:v>
      </x:c>
      <x:c r="R38" s="98" t="n">
        <x:f>0</x:f>
        <x:v>0</x:v>
      </x:c>
      <x:c r="S38" s="103" t="n">
        <x:f>SUM(N38:R38)+G38</x:f>
        <x:v>7054.293095198031</x:v>
      </x:c>
      <x:c r="T38" s="98" t="n">
        <x:f>MAX(0,D38-F38)</x:f>
        <x:v>1889307.0338240904</x:v>
      </x:c>
    </x:row>
    <x:row r="39">
      <x:c r="A39" s="96" t="n">
        <x:f>34</x:f>
        <x:v>34</x:v>
      </x:c>
      <x:c r="B39" s="96" t="n">
        <x:f>ROUNDUP(A39/12,0)</x:f>
        <x:v>3</x:v>
      </x:c>
      <x:c r="C39" s="97" t="str">
        <x:f>"M"&amp;TEXT(A39,"00")</x:f>
        <x:v>M34</x:v>
      </x:c>
      <x:c r="D39" s="98" t="n">
        <x:f>T38</x:f>
        <x:v>1889307.0338240904</x:v>
      </x:c>
      <x:c r="E39" s="98" t="n">
        <x:f>-D39*'Assumptions'!$B$34/12</x:f>
        <x:v>-10627.35206526051</x:v>
      </x:c>
      <x:c r="F39" s="98" t="n">
        <x:f>IF(A39&lt;='Assumptions'!$B$36,0,-PMT('Assumptions'!$B$34/12,'Assumptions'!$B$35*12,'Assumptions'!$B$10*'Assumptions'!$B$33)+E39)</x:f>
        <x:v>2020.310817819689</x:v>
      </x:c>
      <x:c r="G39" s="98" t="n">
        <x:f>E39+F39</x:f>
        <x:v>-8607.04124744082</x:v>
      </x:c>
      <x:c r="H39" s="98" t="n">
        <x:f>'Assumptions'!$B$17*(1+'Assumptions'!$B$29)^(B39-1)/12</x:f>
        <x:v>31827</x:v>
      </x:c>
      <x:c r="I39" s="98" t="n">
        <x:f>'Assumptions'!$B$18*(1+'Assumptions'!$B$29)^(B39-1)/12</x:f>
        <x:v>1591.3500000000001</x:v>
      </x:c>
      <x:c r="J39" s="98" t="n">
        <x:f>-(H39+I39)*('Assumptions'!$B$19+'Assumptions'!$B$20)</x:f>
        <x:v>-2005.101</x:v>
      </x:c>
      <x:c r="K39" s="98" t="n">
        <x:f>SUM(H39:J39)</x:f>
        <x:v>31413.249</x:v>
      </x:c>
      <x:c r="L39" s="98" t="n">
        <x:f>-SUM('Assumptions'!$B$21:$B$25)*(1+'Assumptions'!$B$30)^(B39-1)/12</x:f>
        <x:v>-11139.449999999999</x:v>
      </x:c>
      <x:c r="M39" s="98" t="n">
        <x:f>-K39*'Assumptions'!$B$26</x:f>
        <x:v>-1256.52996</x:v>
      </x:c>
      <x:c r="N39" s="98" t="n">
        <x:f>SUM(K39:M39)</x:f>
        <x:v>19017.26904</x:v>
      </x:c>
      <x:c r="O39" s="98" t="n">
        <x:f>-'Assumptions'!$B$27/12</x:f>
        <x:v>-2500</x:v>
      </x:c>
      <x:c r="P39" s="98" t="n">
        <x:f>-'Assumptions'!$B$28/12</x:f>
        <x:v>-833.3333333333334</x:v>
      </x:c>
      <x:c r="Q39" s="98" t="n">
        <x:f>0</x:f>
        <x:v>0</x:v>
      </x:c>
      <x:c r="R39" s="98" t="n">
        <x:f>0</x:f>
        <x:v>0</x:v>
      </x:c>
      <x:c r="S39" s="103" t="n">
        <x:f>SUM(N39:R39)+G39</x:f>
        <x:v>7076.894459225845</x:v>
      </x:c>
      <x:c r="T39" s="98" t="n">
        <x:f>MAX(0,D39-F39)</x:f>
        <x:v>1887286.7230062706</x:v>
      </x:c>
    </x:row>
    <x:row r="40">
      <x:c r="A40" s="96" t="n">
        <x:f>35</x:f>
        <x:v>35</x:v>
      </x:c>
      <x:c r="B40" s="96" t="n">
        <x:f>ROUNDUP(A40/12,0)</x:f>
        <x:v>3</x:v>
      </x:c>
      <x:c r="C40" s="97" t="str">
        <x:f>"M"&amp;TEXT(A40,"00")</x:f>
        <x:v>M35</x:v>
      </x:c>
      <x:c r="D40" s="98" t="n">
        <x:f>T39</x:f>
        <x:v>1887286.7230062706</x:v>
      </x:c>
      <x:c r="E40" s="98" t="n">
        <x:f>-D40*'Assumptions'!$B$34/12</x:f>
        <x:v>-10615.987816910272</x:v>
      </x:c>
      <x:c r="F40" s="98" t="n">
        <x:f>IF(A40&lt;='Assumptions'!$B$36,0,-PMT('Assumptions'!$B$34/12,'Assumptions'!$B$35*12,'Assumptions'!$B$10*'Assumptions'!$B$33)+E40)</x:f>
        <x:v>2031.6750661699261</x:v>
      </x:c>
      <x:c r="G40" s="98" t="n">
        <x:f>E40+F40</x:f>
        <x:v>-8584.312750740346</x:v>
      </x:c>
      <x:c r="H40" s="98" t="n">
        <x:f>'Assumptions'!$B$17*(1+'Assumptions'!$B$29)^(B40-1)/12</x:f>
        <x:v>31827</x:v>
      </x:c>
      <x:c r="I40" s="98" t="n">
        <x:f>'Assumptions'!$B$18*(1+'Assumptions'!$B$29)^(B40-1)/12</x:f>
        <x:v>1591.3500000000001</x:v>
      </x:c>
      <x:c r="J40" s="98" t="n">
        <x:f>-(H40+I40)*('Assumptions'!$B$19+'Assumptions'!$B$20)</x:f>
        <x:v>-2005.101</x:v>
      </x:c>
      <x:c r="K40" s="98" t="n">
        <x:f>SUM(H40:J40)</x:f>
        <x:v>31413.249</x:v>
      </x:c>
      <x:c r="L40" s="98" t="n">
        <x:f>-SUM('Assumptions'!$B$21:$B$25)*(1+'Assumptions'!$B$30)^(B40-1)/12</x:f>
        <x:v>-11139.449999999999</x:v>
      </x:c>
      <x:c r="M40" s="98" t="n">
        <x:f>-K40*'Assumptions'!$B$26</x:f>
        <x:v>-1256.52996</x:v>
      </x:c>
      <x:c r="N40" s="98" t="n">
        <x:f>SUM(K40:M40)</x:f>
        <x:v>19017.26904</x:v>
      </x:c>
      <x:c r="O40" s="98" t="n">
        <x:f>-'Assumptions'!$B$27/12</x:f>
        <x:v>-2500</x:v>
      </x:c>
      <x:c r="P40" s="98" t="n">
        <x:f>-'Assumptions'!$B$28/12</x:f>
        <x:v>-833.3333333333334</x:v>
      </x:c>
      <x:c r="Q40" s="98" t="n">
        <x:f>0</x:f>
        <x:v>0</x:v>
      </x:c>
      <x:c r="R40" s="98" t="n">
        <x:f>0</x:f>
        <x:v>0</x:v>
      </x:c>
      <x:c r="S40" s="103" t="n">
        <x:f>SUM(N40:R40)+G40</x:f>
        <x:v>7099.622955926319</x:v>
      </x:c>
      <x:c r="T40" s="98" t="n">
        <x:f>MAX(0,D40-F40)</x:f>
        <x:v>1885255.0479401008</x:v>
      </x:c>
    </x:row>
    <x:row r="41">
      <x:c r="A41" s="96" t="n">
        <x:f>36</x:f>
        <x:v>36</x:v>
      </x:c>
      <x:c r="B41" s="96" t="n">
        <x:f>ROUNDUP(A41/12,0)</x:f>
        <x:v>3</x:v>
      </x:c>
      <x:c r="C41" s="97" t="str">
        <x:f>"M"&amp;TEXT(A41,"00")</x:f>
        <x:v>M36</x:v>
      </x:c>
      <x:c r="D41" s="98" t="n">
        <x:f>T40</x:f>
        <x:v>1885255.0479401008</x:v>
      </x:c>
      <x:c r="E41" s="98" t="n">
        <x:f>-D41*'Assumptions'!$B$34/12</x:f>
        <x:v>-10604.559644663068</x:v>
      </x:c>
      <x:c r="F41" s="98" t="n">
        <x:f>IF(A41&lt;='Assumptions'!$B$36,0,-PMT('Assumptions'!$B$34/12,'Assumptions'!$B$35*12,'Assumptions'!$B$10*'Assumptions'!$B$33)+E41)</x:f>
        <x:v>2043.1032384171303</x:v>
      </x:c>
      <x:c r="G41" s="98" t="n">
        <x:f>E41+F41</x:f>
        <x:v>-8561.456406245938</x:v>
      </x:c>
      <x:c r="H41" s="98" t="n">
        <x:f>'Assumptions'!$B$17*(1+'Assumptions'!$B$29)^(B41-1)/12</x:f>
        <x:v>31827</x:v>
      </x:c>
      <x:c r="I41" s="98" t="n">
        <x:f>'Assumptions'!$B$18*(1+'Assumptions'!$B$29)^(B41-1)/12</x:f>
        <x:v>1591.3500000000001</x:v>
      </x:c>
      <x:c r="J41" s="98" t="n">
        <x:f>-(H41+I41)*('Assumptions'!$B$19+'Assumptions'!$B$20)</x:f>
        <x:v>-2005.101</x:v>
      </x:c>
      <x:c r="K41" s="98" t="n">
        <x:f>SUM(H41:J41)</x:f>
        <x:v>31413.249</x:v>
      </x:c>
      <x:c r="L41" s="98" t="n">
        <x:f>-SUM('Assumptions'!$B$21:$B$25)*(1+'Assumptions'!$B$30)^(B41-1)/12</x:f>
        <x:v>-11139.449999999999</x:v>
      </x:c>
      <x:c r="M41" s="98" t="n">
        <x:f>-K41*'Assumptions'!$B$26</x:f>
        <x:v>-1256.52996</x:v>
      </x:c>
      <x:c r="N41" s="98" t="n">
        <x:f>SUM(K41:M41)</x:f>
        <x:v>19017.26904</x:v>
      </x:c>
      <x:c r="O41" s="98" t="n">
        <x:f>-'Assumptions'!$B$27/12</x:f>
        <x:v>-2500</x:v>
      </x:c>
      <x:c r="P41" s="98" t="n">
        <x:f>-'Assumptions'!$B$28/12</x:f>
        <x:v>-833.3333333333334</x:v>
      </x:c>
      <x:c r="Q41" s="98" t="n">
        <x:f>0</x:f>
        <x:v>0</x:v>
      </x:c>
      <x:c r="R41" s="98" t="n">
        <x:f>0</x:f>
        <x:v>0</x:v>
      </x:c>
      <x:c r="S41" s="103" t="n">
        <x:f>SUM(N41:R41)+G41</x:f>
        <x:v>7122.479300420728</x:v>
      </x:c>
      <x:c r="T41" s="98" t="n">
        <x:f>MAX(0,D41-F41)</x:f>
        <x:v>1883211.9447016837</x:v>
      </x:c>
    </x:row>
    <x:row r="42">
      <x:c r="A42" s="96" t="n">
        <x:f>37</x:f>
        <x:v>37</x:v>
      </x:c>
      <x:c r="B42" s="96" t="n">
        <x:f>ROUNDUP(A42/12,0)</x:f>
        <x:v>4</x:v>
      </x:c>
      <x:c r="C42" s="97" t="str">
        <x:f>"M"&amp;TEXT(A42,"00")</x:f>
        <x:v>M37</x:v>
      </x:c>
      <x:c r="D42" s="98" t="n">
        <x:f>T41</x:f>
        <x:v>1883211.9447016837</x:v>
      </x:c>
      <x:c r="E42" s="98" t="n">
        <x:f>-D42*'Assumptions'!$B$34/12</x:f>
        <x:v>-10593.067188946972</x:v>
      </x:c>
      <x:c r="F42" s="98" t="n">
        <x:f>IF(A42&lt;='Assumptions'!$B$36,0,-PMT('Assumptions'!$B$34/12,'Assumptions'!$B$35*12,'Assumptions'!$B$10*'Assumptions'!$B$33)+E42)</x:f>
        <x:v>2054.595694133226</x:v>
      </x:c>
      <x:c r="G42" s="98" t="n">
        <x:f>E42+F42</x:f>
        <x:v>-8538.471494813746</x:v>
      </x:c>
      <x:c r="H42" s="98" t="n">
        <x:f>'Assumptions'!$B$17*(1+'Assumptions'!$B$29)^(B42-1)/12</x:f>
        <x:v>32781.810000000005</x:v>
      </x:c>
      <x:c r="I42" s="98" t="n">
        <x:f>'Assumptions'!$B$18*(1+'Assumptions'!$B$29)^(B42-1)/12</x:f>
        <x:v>1639.0905</x:v>
      </x:c>
      <x:c r="J42" s="98" t="n">
        <x:f>-(H42+I42)*('Assumptions'!$B$19+'Assumptions'!$B$20)</x:f>
        <x:v>-2065.2540300000005</x:v>
      </x:c>
      <x:c r="K42" s="98" t="n">
        <x:f>SUM(H42:J42)</x:f>
        <x:v>32355.646470000003</x:v>
      </x:c>
      <x:c r="L42" s="98" t="n">
        <x:f>-SUM('Assumptions'!$B$21:$B$25)*(1+'Assumptions'!$B$30)^(B42-1)/12</x:f>
        <x:v>-11473.633500000002</x:v>
      </x:c>
      <x:c r="M42" s="98" t="n">
        <x:f>-K42*'Assumptions'!$B$26</x:f>
        <x:v>-1294.2258588000002</x:v>
      </x:c>
      <x:c r="N42" s="98" t="n">
        <x:f>SUM(K42:M42)</x:f>
        <x:v>19587.787111200003</x:v>
      </x:c>
      <x:c r="O42" s="98" t="n">
        <x:f>-'Assumptions'!$B$27/12</x:f>
        <x:v>-2500</x:v>
      </x:c>
      <x:c r="P42" s="98" t="n">
        <x:f>-'Assumptions'!$B$28/12</x:f>
        <x:v>-833.3333333333334</x:v>
      </x:c>
      <x:c r="Q42" s="98" t="n">
        <x:f>0</x:f>
        <x:v>0</x:v>
      </x:c>
      <x:c r="R42" s="98" t="n">
        <x:f>0</x:f>
        <x:v>0</x:v>
      </x:c>
      <x:c r="S42" s="103" t="n">
        <x:f>SUM(N42:R42)+G42</x:f>
        <x:v>7715.982283052923</x:v>
      </x:c>
      <x:c r="T42" s="98" t="n">
        <x:f>MAX(0,D42-F42)</x:f>
        <x:v>1881157.3490075504</x:v>
      </x:c>
    </x:row>
    <x:row r="43">
      <x:c r="A43" s="96" t="n">
        <x:f>38</x:f>
        <x:v>38</x:v>
      </x:c>
      <x:c r="B43" s="96" t="n">
        <x:f>ROUNDUP(A43/12,0)</x:f>
        <x:v>4</x:v>
      </x:c>
      <x:c r="C43" s="97" t="str">
        <x:f>"M"&amp;TEXT(A43,"00")</x:f>
        <x:v>M38</x:v>
      </x:c>
      <x:c r="D43" s="98" t="n">
        <x:f>T42</x:f>
        <x:v>1881157.3490075504</x:v>
      </x:c>
      <x:c r="E43" s="98" t="n">
        <x:f>-D43*'Assumptions'!$B$34/12</x:f>
        <x:v>-10581.510088167472</x:v>
      </x:c>
      <x:c r="F43" s="98" t="n">
        <x:f>IF(A43&lt;='Assumptions'!$B$36,0,-PMT('Assumptions'!$B$34/12,'Assumptions'!$B$35*12,'Assumptions'!$B$10*'Assumptions'!$B$33)+E43)</x:f>
        <x:v>2066.1527949127267</x:v>
      </x:c>
      <x:c r="G43" s="98" t="n">
        <x:f>E43+F43</x:f>
        <x:v>-8515.357293254745</x:v>
      </x:c>
      <x:c r="H43" s="98" t="n">
        <x:f>'Assumptions'!$B$17*(1+'Assumptions'!$B$29)^(B43-1)/12</x:f>
        <x:v>32781.810000000005</x:v>
      </x:c>
      <x:c r="I43" s="98" t="n">
        <x:f>'Assumptions'!$B$18*(1+'Assumptions'!$B$29)^(B43-1)/12</x:f>
        <x:v>1639.0905</x:v>
      </x:c>
      <x:c r="J43" s="98" t="n">
        <x:f>-(H43+I43)*('Assumptions'!$B$19+'Assumptions'!$B$20)</x:f>
        <x:v>-2065.2540300000005</x:v>
      </x:c>
      <x:c r="K43" s="98" t="n">
        <x:f>SUM(H43:J43)</x:f>
        <x:v>32355.646470000003</x:v>
      </x:c>
      <x:c r="L43" s="98" t="n">
        <x:f>-SUM('Assumptions'!$B$21:$B$25)*(1+'Assumptions'!$B$30)^(B43-1)/12</x:f>
        <x:v>-11473.633500000002</x:v>
      </x:c>
      <x:c r="M43" s="98" t="n">
        <x:f>-K43*'Assumptions'!$B$26</x:f>
        <x:v>-1294.2258588000002</x:v>
      </x:c>
      <x:c r="N43" s="98" t="n">
        <x:f>SUM(K43:M43)</x:f>
        <x:v>19587.787111200003</x:v>
      </x:c>
      <x:c r="O43" s="98" t="n">
        <x:f>-'Assumptions'!$B$27/12</x:f>
        <x:v>-2500</x:v>
      </x:c>
      <x:c r="P43" s="98" t="n">
        <x:f>-'Assumptions'!$B$28/12</x:f>
        <x:v>-833.3333333333334</x:v>
      </x:c>
      <x:c r="Q43" s="98" t="n">
        <x:f>0</x:f>
        <x:v>0</x:v>
      </x:c>
      <x:c r="R43" s="98" t="n">
        <x:f>0</x:f>
        <x:v>0</x:v>
      </x:c>
      <x:c r="S43" s="103" t="n">
        <x:f>SUM(N43:R43)+G43</x:f>
        <x:v>7739.096484611924</x:v>
      </x:c>
      <x:c r="T43" s="98" t="n">
        <x:f>MAX(0,D43-F43)</x:f>
        <x:v>1879091.1962126377</x:v>
      </x:c>
    </x:row>
    <x:row r="44">
      <x:c r="A44" s="96" t="n">
        <x:f>39</x:f>
        <x:v>39</x:v>
      </x:c>
      <x:c r="B44" s="96" t="n">
        <x:f>ROUNDUP(A44/12,0)</x:f>
        <x:v>4</x:v>
      </x:c>
      <x:c r="C44" s="97" t="str">
        <x:f>"M"&amp;TEXT(A44,"00")</x:f>
        <x:v>M39</x:v>
      </x:c>
      <x:c r="D44" s="98" t="n">
        <x:f>T43</x:f>
        <x:v>1879091.1962126377</x:v>
      </x:c>
      <x:c r="E44" s="98" t="n">
        <x:f>-D44*'Assumptions'!$B$34/12</x:f>
        <x:v>-10569.887978696088</x:v>
      </x:c>
      <x:c r="F44" s="98" t="n">
        <x:f>IF(A44&lt;='Assumptions'!$B$36,0,-PMT('Assumptions'!$B$34/12,'Assumptions'!$B$35*12,'Assumptions'!$B$10*'Assumptions'!$B$33)+E44)</x:f>
        <x:v>2077.7749043841104</x:v>
      </x:c>
      <x:c r="G44" s="98" t="n">
        <x:f>E44+F44</x:f>
        <x:v>-8492.113074311977</x:v>
      </x:c>
      <x:c r="H44" s="98" t="n">
        <x:f>'Assumptions'!$B$17*(1+'Assumptions'!$B$29)^(B44-1)/12</x:f>
        <x:v>32781.810000000005</x:v>
      </x:c>
      <x:c r="I44" s="98" t="n">
        <x:f>'Assumptions'!$B$18*(1+'Assumptions'!$B$29)^(B44-1)/12</x:f>
        <x:v>1639.0905</x:v>
      </x:c>
      <x:c r="J44" s="98" t="n">
        <x:f>-(H44+I44)*('Assumptions'!$B$19+'Assumptions'!$B$20)</x:f>
        <x:v>-2065.2540300000005</x:v>
      </x:c>
      <x:c r="K44" s="98" t="n">
        <x:f>SUM(H44:J44)</x:f>
        <x:v>32355.646470000003</x:v>
      </x:c>
      <x:c r="L44" s="98" t="n">
        <x:f>-SUM('Assumptions'!$B$21:$B$25)*(1+'Assumptions'!$B$30)^(B44-1)/12</x:f>
        <x:v>-11473.633500000002</x:v>
      </x:c>
      <x:c r="M44" s="98" t="n">
        <x:f>-K44*'Assumptions'!$B$26</x:f>
        <x:v>-1294.2258588000002</x:v>
      </x:c>
      <x:c r="N44" s="98" t="n">
        <x:f>SUM(K44:M44)</x:f>
        <x:v>19587.787111200003</x:v>
      </x:c>
      <x:c r="O44" s="98" t="n">
        <x:f>-'Assumptions'!$B$27/12</x:f>
        <x:v>-2500</x:v>
      </x:c>
      <x:c r="P44" s="98" t="n">
        <x:f>-'Assumptions'!$B$28/12</x:f>
        <x:v>-833.3333333333334</x:v>
      </x:c>
      <x:c r="Q44" s="98" t="n">
        <x:f>0</x:f>
        <x:v>0</x:v>
      </x:c>
      <x:c r="R44" s="98" t="n">
        <x:f>0</x:f>
        <x:v>0</x:v>
      </x:c>
      <x:c r="S44" s="103" t="n">
        <x:f>SUM(N44:R44)+G44</x:f>
        <x:v>7762.340703554692</x:v>
      </x:c>
      <x:c r="T44" s="98" t="n">
        <x:f>MAX(0,D44-F44)</x:f>
        <x:v>1877013.4213082537</x:v>
      </x:c>
    </x:row>
    <x:row r="45">
      <x:c r="A45" s="96" t="n">
        <x:f>40</x:f>
        <x:v>40</x:v>
      </x:c>
      <x:c r="B45" s="96" t="n">
        <x:f>ROUNDUP(A45/12,0)</x:f>
        <x:v>4</x:v>
      </x:c>
      <x:c r="C45" s="97" t="str">
        <x:f>"M"&amp;TEXT(A45,"00")</x:f>
        <x:v>M40</x:v>
      </x:c>
      <x:c r="D45" s="98" t="n">
        <x:f>T44</x:f>
        <x:v>1877013.4213082537</x:v>
      </x:c>
      <x:c r="E45" s="98" t="n">
        <x:f>-D45*'Assumptions'!$B$34/12</x:f>
        <x:v>-10558.200494858927</x:v>
      </x:c>
      <x:c r="F45" s="98" t="n">
        <x:f>IF(A45&lt;='Assumptions'!$B$36,0,-PMT('Assumptions'!$B$34/12,'Assumptions'!$B$35*12,'Assumptions'!$B$10*'Assumptions'!$B$33)+E45)</x:f>
        <x:v>2089.462388221271</x:v>
      </x:c>
      <x:c r="G45" s="98" t="n">
        <x:f>E45+F45</x:f>
        <x:v>-8468.738106637657</x:v>
      </x:c>
      <x:c r="H45" s="98" t="n">
        <x:f>'Assumptions'!$B$17*(1+'Assumptions'!$B$29)^(B45-1)/12</x:f>
        <x:v>32781.810000000005</x:v>
      </x:c>
      <x:c r="I45" s="98" t="n">
        <x:f>'Assumptions'!$B$18*(1+'Assumptions'!$B$29)^(B45-1)/12</x:f>
        <x:v>1639.0905</x:v>
      </x:c>
      <x:c r="J45" s="98" t="n">
        <x:f>-(H45+I45)*('Assumptions'!$B$19+'Assumptions'!$B$20)</x:f>
        <x:v>-2065.2540300000005</x:v>
      </x:c>
      <x:c r="K45" s="98" t="n">
        <x:f>SUM(H45:J45)</x:f>
        <x:v>32355.646470000003</x:v>
      </x:c>
      <x:c r="L45" s="98" t="n">
        <x:f>-SUM('Assumptions'!$B$21:$B$25)*(1+'Assumptions'!$B$30)^(B45-1)/12</x:f>
        <x:v>-11473.633500000002</x:v>
      </x:c>
      <x:c r="M45" s="98" t="n">
        <x:f>-K45*'Assumptions'!$B$26</x:f>
        <x:v>-1294.2258588000002</x:v>
      </x:c>
      <x:c r="N45" s="98" t="n">
        <x:f>SUM(K45:M45)</x:f>
        <x:v>19587.787111200003</x:v>
      </x:c>
      <x:c r="O45" s="98" t="n">
        <x:f>-'Assumptions'!$B$27/12</x:f>
        <x:v>-2500</x:v>
      </x:c>
      <x:c r="P45" s="98" t="n">
        <x:f>-'Assumptions'!$B$28/12</x:f>
        <x:v>-833.3333333333334</x:v>
      </x:c>
      <x:c r="Q45" s="98" t="n">
        <x:f>0</x:f>
        <x:v>0</x:v>
      </x:c>
      <x:c r="R45" s="98" t="n">
        <x:f>0</x:f>
        <x:v>0</x:v>
      </x:c>
      <x:c r="S45" s="103" t="n">
        <x:f>SUM(N45:R45)+G45</x:f>
        <x:v>7785.7156712290125</x:v>
      </x:c>
      <x:c r="T45" s="98" t="n">
        <x:f>MAX(0,D45-F45)</x:f>
        <x:v>1874923.9589200325</x:v>
      </x:c>
    </x:row>
    <x:row r="46">
      <x:c r="A46" s="96" t="n">
        <x:f>41</x:f>
        <x:v>41</x:v>
      </x:c>
      <x:c r="B46" s="96" t="n">
        <x:f>ROUNDUP(A46/12,0)</x:f>
        <x:v>4</x:v>
      </x:c>
      <x:c r="C46" s="97" t="str">
        <x:f>"M"&amp;TEXT(A46,"00")</x:f>
        <x:v>M41</x:v>
      </x:c>
      <x:c r="D46" s="98" t="n">
        <x:f>T45</x:f>
        <x:v>1874923.9589200325</x:v>
      </x:c>
      <x:c r="E46" s="98" t="n">
        <x:f>-D46*'Assumptions'!$B$34/12</x:f>
        <x:v>-10546.447268925183</x:v>
      </x:c>
      <x:c r="F46" s="98" t="n">
        <x:f>IF(A46&lt;='Assumptions'!$B$36,0,-PMT('Assumptions'!$B$34/12,'Assumptions'!$B$35*12,'Assumptions'!$B$10*'Assumptions'!$B$33)+E46)</x:f>
        <x:v>2101.215614155015</x:v>
      </x:c>
      <x:c r="G46" s="98" t="n">
        <x:f>E46+F46</x:f>
        <x:v>-8445.231654770168</x:v>
      </x:c>
      <x:c r="H46" s="98" t="n">
        <x:f>'Assumptions'!$B$17*(1+'Assumptions'!$B$29)^(B46-1)/12</x:f>
        <x:v>32781.810000000005</x:v>
      </x:c>
      <x:c r="I46" s="98" t="n">
        <x:f>'Assumptions'!$B$18*(1+'Assumptions'!$B$29)^(B46-1)/12</x:f>
        <x:v>1639.0905</x:v>
      </x:c>
      <x:c r="J46" s="98" t="n">
        <x:f>-(H46+I46)*('Assumptions'!$B$19+'Assumptions'!$B$20)</x:f>
        <x:v>-2065.2540300000005</x:v>
      </x:c>
      <x:c r="K46" s="98" t="n">
        <x:f>SUM(H46:J46)</x:f>
        <x:v>32355.646470000003</x:v>
      </x:c>
      <x:c r="L46" s="98" t="n">
        <x:f>-SUM('Assumptions'!$B$21:$B$25)*(1+'Assumptions'!$B$30)^(B46-1)/12</x:f>
        <x:v>-11473.633500000002</x:v>
      </x:c>
      <x:c r="M46" s="98" t="n">
        <x:f>-K46*'Assumptions'!$B$26</x:f>
        <x:v>-1294.2258588000002</x:v>
      </x:c>
      <x:c r="N46" s="98" t="n">
        <x:f>SUM(K46:M46)</x:f>
        <x:v>19587.787111200003</x:v>
      </x:c>
      <x:c r="O46" s="98" t="n">
        <x:f>-'Assumptions'!$B$27/12</x:f>
        <x:v>-2500</x:v>
      </x:c>
      <x:c r="P46" s="98" t="n">
        <x:f>-'Assumptions'!$B$28/12</x:f>
        <x:v>-833.3333333333334</x:v>
      </x:c>
      <x:c r="Q46" s="98" t="n">
        <x:f>0</x:f>
        <x:v>0</x:v>
      </x:c>
      <x:c r="R46" s="98" t="n">
        <x:f>0</x:f>
        <x:v>0</x:v>
      </x:c>
      <x:c r="S46" s="103" t="n">
        <x:f>SUM(N46:R46)+G46</x:f>
        <x:v>7809.222123096501</x:v>
      </x:c>
      <x:c r="T46" s="98" t="n">
        <x:f>MAX(0,D46-F46)</x:f>
        <x:v>1872822.7433058775</x:v>
      </x:c>
    </x:row>
    <x:row r="47">
      <x:c r="A47" s="96" t="n">
        <x:f>42</x:f>
        <x:v>42</x:v>
      </x:c>
      <x:c r="B47" s="96" t="n">
        <x:f>ROUNDUP(A47/12,0)</x:f>
        <x:v>4</x:v>
      </x:c>
      <x:c r="C47" s="97" t="str">
        <x:f>"M"&amp;TEXT(A47,"00")</x:f>
        <x:v>M42</x:v>
      </x:c>
      <x:c r="D47" s="98" t="n">
        <x:f>T46</x:f>
        <x:v>1872822.7433058775</x:v>
      </x:c>
      <x:c r="E47" s="98" t="n">
        <x:f>-D47*'Assumptions'!$B$34/12</x:f>
        <x:v>-10534.627931095562</x:v>
      </x:c>
      <x:c r="F47" s="98" t="n">
        <x:f>IF(A47&lt;='Assumptions'!$B$36,0,-PMT('Assumptions'!$B$34/12,'Assumptions'!$B$35*12,'Assumptions'!$B$10*'Assumptions'!$B$33)+E47)</x:f>
        <x:v>2113.034951984637</x:v>
      </x:c>
      <x:c r="G47" s="98" t="n">
        <x:f>E47+F47</x:f>
        <x:v>-8421.592979110925</x:v>
      </x:c>
      <x:c r="H47" s="98" t="n">
        <x:f>'Assumptions'!$B$17*(1+'Assumptions'!$B$29)^(B47-1)/12</x:f>
        <x:v>32781.810000000005</x:v>
      </x:c>
      <x:c r="I47" s="98" t="n">
        <x:f>'Assumptions'!$B$18*(1+'Assumptions'!$B$29)^(B47-1)/12</x:f>
        <x:v>1639.0905</x:v>
      </x:c>
      <x:c r="J47" s="98" t="n">
        <x:f>-(H47+I47)*('Assumptions'!$B$19+'Assumptions'!$B$20)</x:f>
        <x:v>-2065.2540300000005</x:v>
      </x:c>
      <x:c r="K47" s="98" t="n">
        <x:f>SUM(H47:J47)</x:f>
        <x:v>32355.646470000003</x:v>
      </x:c>
      <x:c r="L47" s="98" t="n">
        <x:f>-SUM('Assumptions'!$B$21:$B$25)*(1+'Assumptions'!$B$30)^(B47-1)/12</x:f>
        <x:v>-11473.633500000002</x:v>
      </x:c>
      <x:c r="M47" s="98" t="n">
        <x:f>-K47*'Assumptions'!$B$26</x:f>
        <x:v>-1294.2258588000002</x:v>
      </x:c>
      <x:c r="N47" s="98" t="n">
        <x:f>SUM(K47:M47)</x:f>
        <x:v>19587.787111200003</x:v>
      </x:c>
      <x:c r="O47" s="98" t="n">
        <x:f>-'Assumptions'!$B$27/12</x:f>
        <x:v>-2500</x:v>
      </x:c>
      <x:c r="P47" s="98" t="n">
        <x:f>-'Assumptions'!$B$28/12</x:f>
        <x:v>-833.3333333333334</x:v>
      </x:c>
      <x:c r="Q47" s="98" t="n">
        <x:f>0</x:f>
        <x:v>0</x:v>
      </x:c>
      <x:c r="R47" s="98" t="n">
        <x:f>0</x:f>
        <x:v>0</x:v>
      </x:c>
      <x:c r="S47" s="103" t="n">
        <x:f>SUM(N47:R47)+G47</x:f>
        <x:v>7832.860798755744</x:v>
      </x:c>
      <x:c r="T47" s="98" t="n">
        <x:f>MAX(0,D47-F47)</x:f>
        <x:v>1870709.708353893</x:v>
      </x:c>
    </x:row>
    <x:row r="48">
      <x:c r="A48" s="96" t="n">
        <x:f>43</x:f>
        <x:v>43</x:v>
      </x:c>
      <x:c r="B48" s="96" t="n">
        <x:f>ROUNDUP(A48/12,0)</x:f>
        <x:v>4</x:v>
      </x:c>
      <x:c r="C48" s="97" t="str">
        <x:f>"M"&amp;TEXT(A48,"00")</x:f>
        <x:v>M43</x:v>
      </x:c>
      <x:c r="D48" s="98" t="n">
        <x:f>T47</x:f>
        <x:v>1870709.708353893</x:v>
      </x:c>
      <x:c r="E48" s="98" t="n">
        <x:f>-D48*'Assumptions'!$B$34/12</x:f>
        <x:v>-10522.742109490648</x:v>
      </x:c>
      <x:c r="F48" s="98" t="n">
        <x:f>IF(A48&lt;='Assumptions'!$B$36,0,-PMT('Assumptions'!$B$34/12,'Assumptions'!$B$35*12,'Assumptions'!$B$10*'Assumptions'!$B$33)+E48)</x:f>
        <x:v>2124.9207735895507</x:v>
      </x:c>
      <x:c r="G48" s="98" t="n">
        <x:f>E48+F48</x:f>
        <x:v>-8397.821335901097</x:v>
      </x:c>
      <x:c r="H48" s="98" t="n">
        <x:f>'Assumptions'!$B$17*(1+'Assumptions'!$B$29)^(B48-1)/12</x:f>
        <x:v>32781.810000000005</x:v>
      </x:c>
      <x:c r="I48" s="98" t="n">
        <x:f>'Assumptions'!$B$18*(1+'Assumptions'!$B$29)^(B48-1)/12</x:f>
        <x:v>1639.0905</x:v>
      </x:c>
      <x:c r="J48" s="98" t="n">
        <x:f>-(H48+I48)*('Assumptions'!$B$19+'Assumptions'!$B$20)</x:f>
        <x:v>-2065.2540300000005</x:v>
      </x:c>
      <x:c r="K48" s="98" t="n">
        <x:f>SUM(H48:J48)</x:f>
        <x:v>32355.646470000003</x:v>
      </x:c>
      <x:c r="L48" s="98" t="n">
        <x:f>-SUM('Assumptions'!$B$21:$B$25)*(1+'Assumptions'!$B$30)^(B48-1)/12</x:f>
        <x:v>-11473.633500000002</x:v>
      </x:c>
      <x:c r="M48" s="98" t="n">
        <x:f>-K48*'Assumptions'!$B$26</x:f>
        <x:v>-1294.2258588000002</x:v>
      </x:c>
      <x:c r="N48" s="98" t="n">
        <x:f>SUM(K48:M48)</x:f>
        <x:v>19587.787111200003</x:v>
      </x:c>
      <x:c r="O48" s="98" t="n">
        <x:f>-'Assumptions'!$B$27/12</x:f>
        <x:v>-2500</x:v>
      </x:c>
      <x:c r="P48" s="98" t="n">
        <x:f>-'Assumptions'!$B$28/12</x:f>
        <x:v>-833.3333333333334</x:v>
      </x:c>
      <x:c r="Q48" s="98" t="n">
        <x:f>0</x:f>
        <x:v>0</x:v>
      </x:c>
      <x:c r="R48" s="98" t="n">
        <x:f>0</x:f>
        <x:v>0</x:v>
      </x:c>
      <x:c r="S48" s="103" t="n">
        <x:f>SUM(N48:R48)+G48</x:f>
        <x:v>7856.632441965572</x:v>
      </x:c>
      <x:c r="T48" s="98" t="n">
        <x:f>MAX(0,D48-F48)</x:f>
        <x:v>1868584.7875803034</x:v>
      </x:c>
    </x:row>
    <x:row r="49">
      <x:c r="A49" s="96" t="n">
        <x:f>44</x:f>
        <x:v>44</x:v>
      </x:c>
      <x:c r="B49" s="96" t="n">
        <x:f>ROUNDUP(A49/12,0)</x:f>
        <x:v>4</x:v>
      </x:c>
      <x:c r="C49" s="97" t="str">
        <x:f>"M"&amp;TEXT(A49,"00")</x:f>
        <x:v>M44</x:v>
      </x:c>
      <x:c r="D49" s="98" t="n">
        <x:f>T48</x:f>
        <x:v>1868584.7875803034</x:v>
      </x:c>
      <x:c r="E49" s="98" t="n">
        <x:f>-D49*'Assumptions'!$B$34/12</x:f>
        <x:v>-10510.789430139206</x:v>
      </x:c>
      <x:c r="F49" s="98" t="n">
        <x:f>IF(A49&lt;='Assumptions'!$B$36,0,-PMT('Assumptions'!$B$34/12,'Assumptions'!$B$35*12,'Assumptions'!$B$10*'Assumptions'!$B$33)+E49)</x:f>
        <x:v>2136.873452940992</x:v>
      </x:c>
      <x:c r="G49" s="98" t="n">
        <x:f>E49+F49</x:f>
        <x:v>-8373.915977198214</x:v>
      </x:c>
      <x:c r="H49" s="98" t="n">
        <x:f>'Assumptions'!$B$17*(1+'Assumptions'!$B$29)^(B49-1)/12</x:f>
        <x:v>32781.810000000005</x:v>
      </x:c>
      <x:c r="I49" s="98" t="n">
        <x:f>'Assumptions'!$B$18*(1+'Assumptions'!$B$29)^(B49-1)/12</x:f>
        <x:v>1639.0905</x:v>
      </x:c>
      <x:c r="J49" s="98" t="n">
        <x:f>-(H49+I49)*('Assumptions'!$B$19+'Assumptions'!$B$20)</x:f>
        <x:v>-2065.2540300000005</x:v>
      </x:c>
      <x:c r="K49" s="98" t="n">
        <x:f>SUM(H49:J49)</x:f>
        <x:v>32355.646470000003</x:v>
      </x:c>
      <x:c r="L49" s="98" t="n">
        <x:f>-SUM('Assumptions'!$B$21:$B$25)*(1+'Assumptions'!$B$30)^(B49-1)/12</x:f>
        <x:v>-11473.633500000002</x:v>
      </x:c>
      <x:c r="M49" s="98" t="n">
        <x:f>-K49*'Assumptions'!$B$26</x:f>
        <x:v>-1294.2258588000002</x:v>
      </x:c>
      <x:c r="N49" s="98" t="n">
        <x:f>SUM(K49:M49)</x:f>
        <x:v>19587.787111200003</x:v>
      </x:c>
      <x:c r="O49" s="98" t="n">
        <x:f>-'Assumptions'!$B$27/12</x:f>
        <x:v>-2500</x:v>
      </x:c>
      <x:c r="P49" s="98" t="n">
        <x:f>-'Assumptions'!$B$28/12</x:f>
        <x:v>-833.3333333333334</x:v>
      </x:c>
      <x:c r="Q49" s="98" t="n">
        <x:f>0</x:f>
        <x:v>0</x:v>
      </x:c>
      <x:c r="R49" s="98" t="n">
        <x:f>0</x:f>
        <x:v>0</x:v>
      </x:c>
      <x:c r="S49" s="103" t="n">
        <x:f>SUM(N49:R49)+G49</x:f>
        <x:v>7880.537800668455</x:v>
      </x:c>
      <x:c r="T49" s="98" t="n">
        <x:f>MAX(0,D49-F49)</x:f>
        <x:v>1866447.9141273624</x:v>
      </x:c>
    </x:row>
    <x:row r="50">
      <x:c r="A50" s="96" t="n">
        <x:f>45</x:f>
        <x:v>45</x:v>
      </x:c>
      <x:c r="B50" s="96" t="n">
        <x:f>ROUNDUP(A50/12,0)</x:f>
        <x:v>4</x:v>
      </x:c>
      <x:c r="C50" s="97" t="str">
        <x:f>"M"&amp;TEXT(A50,"00")</x:f>
        <x:v>M45</x:v>
      </x:c>
      <x:c r="D50" s="98" t="n">
        <x:f>T49</x:f>
        <x:v>1866447.9141273624</x:v>
      </x:c>
      <x:c r="E50" s="98" t="n">
        <x:f>-D50*'Assumptions'!$B$34/12</x:f>
        <x:v>-10498.769516966415</x:v>
      </x:c>
      <x:c r="F50" s="98" t="n">
        <x:f>IF(A50&lt;='Assumptions'!$B$36,0,-PMT('Assumptions'!$B$34/12,'Assumptions'!$B$35*12,'Assumptions'!$B$10*'Assumptions'!$B$33)+E50)</x:f>
        <x:v>2148.8933661137835</x:v>
      </x:c>
      <x:c r="G50" s="98" t="n">
        <x:f>E50+F50</x:f>
        <x:v>-8349.876150852631</x:v>
      </x:c>
      <x:c r="H50" s="98" t="n">
        <x:f>'Assumptions'!$B$17*(1+'Assumptions'!$B$29)^(B50-1)/12</x:f>
        <x:v>32781.810000000005</x:v>
      </x:c>
      <x:c r="I50" s="98" t="n">
        <x:f>'Assumptions'!$B$18*(1+'Assumptions'!$B$29)^(B50-1)/12</x:f>
        <x:v>1639.0905</x:v>
      </x:c>
      <x:c r="J50" s="98" t="n">
        <x:f>-(H50+I50)*('Assumptions'!$B$19+'Assumptions'!$B$20)</x:f>
        <x:v>-2065.2540300000005</x:v>
      </x:c>
      <x:c r="K50" s="98" t="n">
        <x:f>SUM(H50:J50)</x:f>
        <x:v>32355.646470000003</x:v>
      </x:c>
      <x:c r="L50" s="98" t="n">
        <x:f>-SUM('Assumptions'!$B$21:$B$25)*(1+'Assumptions'!$B$30)^(B50-1)/12</x:f>
        <x:v>-11473.633500000002</x:v>
      </x:c>
      <x:c r="M50" s="98" t="n">
        <x:f>-K50*'Assumptions'!$B$26</x:f>
        <x:v>-1294.2258588000002</x:v>
      </x:c>
      <x:c r="N50" s="98" t="n">
        <x:f>SUM(K50:M50)</x:f>
        <x:v>19587.787111200003</x:v>
      </x:c>
      <x:c r="O50" s="98" t="n">
        <x:f>-'Assumptions'!$B$27/12</x:f>
        <x:v>-2500</x:v>
      </x:c>
      <x:c r="P50" s="98" t="n">
        <x:f>-'Assumptions'!$B$28/12</x:f>
        <x:v>-833.3333333333334</x:v>
      </x:c>
      <x:c r="Q50" s="98" t="n">
        <x:f>0</x:f>
        <x:v>0</x:v>
      </x:c>
      <x:c r="R50" s="98" t="n">
        <x:f>0</x:f>
        <x:v>0</x:v>
      </x:c>
      <x:c r="S50" s="103" t="n">
        <x:f>SUM(N50:R50)+G50</x:f>
        <x:v>7904.577627014038</x:v>
      </x:c>
      <x:c r="T50" s="98" t="n">
        <x:f>MAX(0,D50-F50)</x:f>
        <x:v>1864299.0207612487</x:v>
      </x:c>
    </x:row>
    <x:row r="51">
      <x:c r="A51" s="96" t="n">
        <x:f>46</x:f>
        <x:v>46</x:v>
      </x:c>
      <x:c r="B51" s="96" t="n">
        <x:f>ROUNDUP(A51/12,0)</x:f>
        <x:v>4</x:v>
      </x:c>
      <x:c r="C51" s="97" t="str">
        <x:f>"M"&amp;TEXT(A51,"00")</x:f>
        <x:v>M46</x:v>
      </x:c>
      <x:c r="D51" s="98" t="n">
        <x:f>T50</x:f>
        <x:v>1864299.0207612487</x:v>
      </x:c>
      <x:c r="E51" s="98" t="n">
        <x:f>-D51*'Assumptions'!$B$34/12</x:f>
        <x:v>-10486.681991782025</x:v>
      </x:c>
      <x:c r="F51" s="98" t="n">
        <x:f>IF(A51&lt;='Assumptions'!$B$36,0,-PMT('Assumptions'!$B$34/12,'Assumptions'!$B$35*12,'Assumptions'!$B$10*'Assumptions'!$B$33)+E51)</x:f>
        <x:v>2160.9808912981734</x:v>
      </x:c>
      <x:c r="G51" s="98" t="n">
        <x:f>E51+F51</x:f>
        <x:v>-8325.701100483851</x:v>
      </x:c>
      <x:c r="H51" s="98" t="n">
        <x:f>'Assumptions'!$B$17*(1+'Assumptions'!$B$29)^(B51-1)/12</x:f>
        <x:v>32781.810000000005</x:v>
      </x:c>
      <x:c r="I51" s="98" t="n">
        <x:f>'Assumptions'!$B$18*(1+'Assumptions'!$B$29)^(B51-1)/12</x:f>
        <x:v>1639.0905</x:v>
      </x:c>
      <x:c r="J51" s="98" t="n">
        <x:f>-(H51+I51)*('Assumptions'!$B$19+'Assumptions'!$B$20)</x:f>
        <x:v>-2065.2540300000005</x:v>
      </x:c>
      <x:c r="K51" s="98" t="n">
        <x:f>SUM(H51:J51)</x:f>
        <x:v>32355.646470000003</x:v>
      </x:c>
      <x:c r="L51" s="98" t="n">
        <x:f>-SUM('Assumptions'!$B$21:$B$25)*(1+'Assumptions'!$B$30)^(B51-1)/12</x:f>
        <x:v>-11473.633500000002</x:v>
      </x:c>
      <x:c r="M51" s="98" t="n">
        <x:f>-K51*'Assumptions'!$B$26</x:f>
        <x:v>-1294.2258588000002</x:v>
      </x:c>
      <x:c r="N51" s="98" t="n">
        <x:f>SUM(K51:M51)</x:f>
        <x:v>19587.787111200003</x:v>
      </x:c>
      <x:c r="O51" s="98" t="n">
        <x:f>-'Assumptions'!$B$27/12</x:f>
        <x:v>-2500</x:v>
      </x:c>
      <x:c r="P51" s="98" t="n">
        <x:f>-'Assumptions'!$B$28/12</x:f>
        <x:v>-833.3333333333334</x:v>
      </x:c>
      <x:c r="Q51" s="98" t="n">
        <x:f>0</x:f>
        <x:v>0</x:v>
      </x:c>
      <x:c r="R51" s="98" t="n">
        <x:f>0</x:f>
        <x:v>0</x:v>
      </x:c>
      <x:c r="S51" s="103" t="n">
        <x:f>SUM(N51:R51)+G51</x:f>
        <x:v>7928.752677382818</x:v>
      </x:c>
      <x:c r="T51" s="98" t="n">
        <x:f>MAX(0,D51-F51)</x:f>
        <x:v>1862138.0398699504</x:v>
      </x:c>
    </x:row>
    <x:row r="52">
      <x:c r="A52" s="96" t="n">
        <x:f>47</x:f>
        <x:v>47</x:v>
      </x:c>
      <x:c r="B52" s="96" t="n">
        <x:f>ROUNDUP(A52/12,0)</x:f>
        <x:v>4</x:v>
      </x:c>
      <x:c r="C52" s="97" t="str">
        <x:f>"M"&amp;TEXT(A52,"00")</x:f>
        <x:v>M47</x:v>
      </x:c>
      <x:c r="D52" s="98" t="n">
        <x:f>T51</x:f>
        <x:v>1862138.0398699504</x:v>
      </x:c>
      <x:c r="E52" s="98" t="n">
        <x:f>-D52*'Assumptions'!$B$34/12</x:f>
        <x:v>-10474.526474268472</x:v>
      </x:c>
      <x:c r="F52" s="98" t="n">
        <x:f>IF(A52&lt;='Assumptions'!$B$36,0,-PMT('Assumptions'!$B$34/12,'Assumptions'!$B$35*12,'Assumptions'!$B$10*'Assumptions'!$B$33)+E52)</x:f>
        <x:v>2173.136408811726</x:v>
      </x:c>
      <x:c r="G52" s="98" t="n">
        <x:f>E52+F52</x:f>
        <x:v>-8301.390065456746</x:v>
      </x:c>
      <x:c r="H52" s="98" t="n">
        <x:f>'Assumptions'!$B$17*(1+'Assumptions'!$B$29)^(B52-1)/12</x:f>
        <x:v>32781.810000000005</x:v>
      </x:c>
      <x:c r="I52" s="98" t="n">
        <x:f>'Assumptions'!$B$18*(1+'Assumptions'!$B$29)^(B52-1)/12</x:f>
        <x:v>1639.0905</x:v>
      </x:c>
      <x:c r="J52" s="98" t="n">
        <x:f>-(H52+I52)*('Assumptions'!$B$19+'Assumptions'!$B$20)</x:f>
        <x:v>-2065.2540300000005</x:v>
      </x:c>
      <x:c r="K52" s="98" t="n">
        <x:f>SUM(H52:J52)</x:f>
        <x:v>32355.646470000003</x:v>
      </x:c>
      <x:c r="L52" s="98" t="n">
        <x:f>-SUM('Assumptions'!$B$21:$B$25)*(1+'Assumptions'!$B$30)^(B52-1)/12</x:f>
        <x:v>-11473.633500000002</x:v>
      </x:c>
      <x:c r="M52" s="98" t="n">
        <x:f>-K52*'Assumptions'!$B$26</x:f>
        <x:v>-1294.2258588000002</x:v>
      </x:c>
      <x:c r="N52" s="98" t="n">
        <x:f>SUM(K52:M52)</x:f>
        <x:v>19587.787111200003</x:v>
      </x:c>
      <x:c r="O52" s="98" t="n">
        <x:f>-'Assumptions'!$B$27/12</x:f>
        <x:v>-2500</x:v>
      </x:c>
      <x:c r="P52" s="98" t="n">
        <x:f>-'Assumptions'!$B$28/12</x:f>
        <x:v>-833.3333333333334</x:v>
      </x:c>
      <x:c r="Q52" s="98" t="n">
        <x:f>0</x:f>
        <x:v>0</x:v>
      </x:c>
      <x:c r="R52" s="98" t="n">
        <x:f>0</x:f>
        <x:v>0</x:v>
      </x:c>
      <x:c r="S52" s="103" t="n">
        <x:f>SUM(N52:R52)+G52</x:f>
        <x:v>7953.063712409923</x:v>
      </x:c>
      <x:c r="T52" s="98" t="n">
        <x:f>MAX(0,D52-F52)</x:f>
        <x:v>1859964.9034611387</x:v>
      </x:c>
    </x:row>
    <x:row r="53">
      <x:c r="A53" s="96" t="n">
        <x:f>48</x:f>
        <x:v>48</x:v>
      </x:c>
      <x:c r="B53" s="96" t="n">
        <x:f>ROUNDUP(A53/12,0)</x:f>
        <x:v>4</x:v>
      </x:c>
      <x:c r="C53" s="97" t="str">
        <x:f>"M"&amp;TEXT(A53,"00")</x:f>
        <x:v>M48</x:v>
      </x:c>
      <x:c r="D53" s="98" t="n">
        <x:f>T52</x:f>
        <x:v>1859964.9034611387</x:v>
      </x:c>
      <x:c r="E53" s="98" t="n">
        <x:f>-D53*'Assumptions'!$B$34/12</x:f>
        <x:v>-10462.302581968906</x:v>
      </x:c>
      <x:c r="F53" s="98" t="n">
        <x:f>IF(A53&lt;='Assumptions'!$B$36,0,-PMT('Assumptions'!$B$34/12,'Assumptions'!$B$35*12,'Assumptions'!$B$10*'Assumptions'!$B$33)+E53)</x:f>
        <x:v>2185.360301111292</x:v>
      </x:c>
      <x:c r="G53" s="98" t="n">
        <x:f>E53+F53</x:f>
        <x:v>-8276.942280857615</x:v>
      </x:c>
      <x:c r="H53" s="98" t="n">
        <x:f>'Assumptions'!$B$17*(1+'Assumptions'!$B$29)^(B53-1)/12</x:f>
        <x:v>32781.810000000005</x:v>
      </x:c>
      <x:c r="I53" s="98" t="n">
        <x:f>'Assumptions'!$B$18*(1+'Assumptions'!$B$29)^(B53-1)/12</x:f>
        <x:v>1639.0905</x:v>
      </x:c>
      <x:c r="J53" s="98" t="n">
        <x:f>-(H53+I53)*('Assumptions'!$B$19+'Assumptions'!$B$20)</x:f>
        <x:v>-2065.2540300000005</x:v>
      </x:c>
      <x:c r="K53" s="98" t="n">
        <x:f>SUM(H53:J53)</x:f>
        <x:v>32355.646470000003</x:v>
      </x:c>
      <x:c r="L53" s="98" t="n">
        <x:f>-SUM('Assumptions'!$B$21:$B$25)*(1+'Assumptions'!$B$30)^(B53-1)/12</x:f>
        <x:v>-11473.633500000002</x:v>
      </x:c>
      <x:c r="M53" s="98" t="n">
        <x:f>-K53*'Assumptions'!$B$26</x:f>
        <x:v>-1294.2258588000002</x:v>
      </x:c>
      <x:c r="N53" s="98" t="n">
        <x:f>SUM(K53:M53)</x:f>
        <x:v>19587.787111200003</x:v>
      </x:c>
      <x:c r="O53" s="98" t="n">
        <x:f>-'Assumptions'!$B$27/12</x:f>
        <x:v>-2500</x:v>
      </x:c>
      <x:c r="P53" s="98" t="n">
        <x:f>-'Assumptions'!$B$28/12</x:f>
        <x:v>-833.3333333333334</x:v>
      </x:c>
      <x:c r="Q53" s="98" t="n">
        <x:f>0</x:f>
        <x:v>0</x:v>
      </x:c>
      <x:c r="R53" s="98" t="n">
        <x:f>0</x:f>
        <x:v>0</x:v>
      </x:c>
      <x:c r="S53" s="103" t="n">
        <x:f>SUM(N53:R53)+G53</x:f>
        <x:v>7977.511497009054</x:v>
      </x:c>
      <x:c r="T53" s="98" t="n">
        <x:f>MAX(0,D53-F53)</x:f>
        <x:v>1857779.5431600274</x:v>
      </x:c>
    </x:row>
    <x:row r="54">
      <x:c r="A54" s="96" t="n">
        <x:f>49</x:f>
        <x:v>49</x:v>
      </x:c>
      <x:c r="B54" s="96" t="n">
        <x:f>ROUNDUP(A54/12,0)</x:f>
        <x:v>5</x:v>
      </x:c>
      <x:c r="C54" s="97" t="str">
        <x:f>"M"&amp;TEXT(A54,"00")</x:f>
        <x:v>M49</x:v>
      </x:c>
      <x:c r="D54" s="98" t="n">
        <x:f>T53</x:f>
        <x:v>1857779.5431600274</x:v>
      </x:c>
      <x:c r="E54" s="98" t="n">
        <x:f>-D54*'Assumptions'!$B$34/12</x:f>
        <x:v>-10450.009930275155</x:v>
      </x:c>
      <x:c r="F54" s="98" t="n">
        <x:f>IF(A54&lt;='Assumptions'!$B$36,0,-PMT('Assumptions'!$B$34/12,'Assumptions'!$B$35*12,'Assumptions'!$B$10*'Assumptions'!$B$33)+E54)</x:f>
        <x:v>2197.6529528050432</x:v>
      </x:c>
      <x:c r="G54" s="98" t="n">
        <x:f>E54+F54</x:f>
        <x:v>-8252.356977470112</x:v>
      </x:c>
      <x:c r="H54" s="98" t="n">
        <x:f>'Assumptions'!$B$17*(1+'Assumptions'!$B$29)^(B54-1)/12</x:f>
        <x:v>33765.2643</x:v>
      </x:c>
      <x:c r="I54" s="98" t="n">
        <x:f>'Assumptions'!$B$18*(1+'Assumptions'!$B$29)^(B54-1)/12</x:f>
        <x:v>1688.2632150000002</x:v>
      </x:c>
      <x:c r="J54" s="98" t="n">
        <x:f>-(H54+I54)*('Assumptions'!$B$19+'Assumptions'!$B$20)</x:f>
        <x:v>-2127.2116509</x:v>
      </x:c>
      <x:c r="K54" s="98" t="n">
        <x:f>SUM(H54:J54)</x:f>
        <x:v>33326.315864100005</x:v>
      </x:c>
      <x:c r="L54" s="98" t="n">
        <x:f>-SUM('Assumptions'!$B$21:$B$25)*(1+'Assumptions'!$B$30)^(B54-1)/12</x:f>
        <x:v>-11817.842505</x:v>
      </x:c>
      <x:c r="M54" s="98" t="n">
        <x:f>-K54*'Assumptions'!$B$26</x:f>
        <x:v>-1333.0526345640003</x:v>
      </x:c>
      <x:c r="N54" s="98" t="n">
        <x:f>SUM(K54:M54)</x:f>
        <x:v>20175.420724536005</x:v>
      </x:c>
      <x:c r="O54" s="98" t="n">
        <x:f>-'Assumptions'!$B$27/12</x:f>
        <x:v>-2500</x:v>
      </x:c>
      <x:c r="P54" s="98" t="n">
        <x:f>-'Assumptions'!$B$28/12</x:f>
        <x:v>-833.3333333333334</x:v>
      </x:c>
      <x:c r="Q54" s="98" t="n">
        <x:f>0</x:f>
        <x:v>0</x:v>
      </x:c>
      <x:c r="R54" s="98" t="n">
        <x:f>0</x:f>
        <x:v>0</x:v>
      </x:c>
      <x:c r="S54" s="103" t="n">
        <x:f>SUM(N54:R54)+G54</x:f>
        <x:v>8589.730413732561</x:v>
      </x:c>
      <x:c r="T54" s="98" t="n">
        <x:f>MAX(0,D54-F54)</x:f>
        <x:v>1855581.8902072224</x:v>
      </x:c>
    </x:row>
    <x:row r="55">
      <x:c r="A55" s="96" t="n">
        <x:f>50</x:f>
        <x:v>50</x:v>
      </x:c>
      <x:c r="B55" s="96" t="n">
        <x:f>ROUNDUP(A55/12,0)</x:f>
        <x:v>5</x:v>
      </x:c>
      <x:c r="C55" s="97" t="str">
        <x:f>"M"&amp;TEXT(A55,"00")</x:f>
        <x:v>M50</x:v>
      </x:c>
      <x:c r="D55" s="98" t="n">
        <x:f>T54</x:f>
        <x:v>1855581.8902072224</x:v>
      </x:c>
      <x:c r="E55" s="98" t="n">
        <x:f>-D55*'Assumptions'!$B$34/12</x:f>
        <x:v>-10437.648132415627</x:v>
      </x:c>
      <x:c r="F55" s="98" t="n">
        <x:f>IF(A55&lt;='Assumptions'!$B$36,0,-PMT('Assumptions'!$B$34/12,'Assumptions'!$B$35*12,'Assumptions'!$B$10*'Assumptions'!$B$33)+E55)</x:f>
        <x:v>2210.0147506645717</x:v>
      </x:c>
      <x:c r="G55" s="98" t="n">
        <x:f>E55+F55</x:f>
        <x:v>-8227.633381751055</x:v>
      </x:c>
      <x:c r="H55" s="98" t="n">
        <x:f>'Assumptions'!$B$17*(1+'Assumptions'!$B$29)^(B55-1)/12</x:f>
        <x:v>33765.2643</x:v>
      </x:c>
      <x:c r="I55" s="98" t="n">
        <x:f>'Assumptions'!$B$18*(1+'Assumptions'!$B$29)^(B55-1)/12</x:f>
        <x:v>1688.2632150000002</x:v>
      </x:c>
      <x:c r="J55" s="98" t="n">
        <x:f>-(H55+I55)*('Assumptions'!$B$19+'Assumptions'!$B$20)</x:f>
        <x:v>-2127.2116509</x:v>
      </x:c>
      <x:c r="K55" s="98" t="n">
        <x:f>SUM(H55:J55)</x:f>
        <x:v>33326.315864100005</x:v>
      </x:c>
      <x:c r="L55" s="98" t="n">
        <x:f>-SUM('Assumptions'!$B$21:$B$25)*(1+'Assumptions'!$B$30)^(B55-1)/12</x:f>
        <x:v>-11817.842505</x:v>
      </x:c>
      <x:c r="M55" s="98" t="n">
        <x:f>-K55*'Assumptions'!$B$26</x:f>
        <x:v>-1333.0526345640003</x:v>
      </x:c>
      <x:c r="N55" s="98" t="n">
        <x:f>SUM(K55:M55)</x:f>
        <x:v>20175.420724536005</x:v>
      </x:c>
      <x:c r="O55" s="98" t="n">
        <x:f>-'Assumptions'!$B$27/12</x:f>
        <x:v>-2500</x:v>
      </x:c>
      <x:c r="P55" s="98" t="n">
        <x:f>-'Assumptions'!$B$28/12</x:f>
        <x:v>-833.3333333333334</x:v>
      </x:c>
      <x:c r="Q55" s="98" t="n">
        <x:f>0</x:f>
        <x:v>0</x:v>
      </x:c>
      <x:c r="R55" s="98" t="n">
        <x:f>0</x:f>
        <x:v>0</x:v>
      </x:c>
      <x:c r="S55" s="103" t="n">
        <x:f>SUM(N55:R55)+G55</x:f>
        <x:v>8614.454009451618</x:v>
      </x:c>
      <x:c r="T55" s="98" t="n">
        <x:f>MAX(0,D55-F55)</x:f>
        <x:v>1853371.8754565578</x:v>
      </x:c>
    </x:row>
    <x:row r="56">
      <x:c r="A56" s="96" t="n">
        <x:f>51</x:f>
        <x:v>51</x:v>
      </x:c>
      <x:c r="B56" s="96" t="n">
        <x:f>ROUNDUP(A56/12,0)</x:f>
        <x:v>5</x:v>
      </x:c>
      <x:c r="C56" s="97" t="str">
        <x:f>"M"&amp;TEXT(A56,"00")</x:f>
        <x:v>M51</x:v>
      </x:c>
      <x:c r="D56" s="98" t="n">
        <x:f>T55</x:f>
        <x:v>1853371.8754565578</x:v>
      </x:c>
      <x:c r="E56" s="98" t="n">
        <x:f>-D56*'Assumptions'!$B$34/12</x:f>
        <x:v>-10425.216799443138</x:v>
      </x:c>
      <x:c r="F56" s="98" t="n">
        <x:f>IF(A56&lt;='Assumptions'!$B$36,0,-PMT('Assumptions'!$B$34/12,'Assumptions'!$B$35*12,'Assumptions'!$B$10*'Assumptions'!$B$33)+E56)</x:f>
        <x:v>2222.44608363706</x:v>
      </x:c>
      <x:c r="G56" s="98" t="n">
        <x:f>E56+F56</x:f>
        <x:v>-8202.770715806078</x:v>
      </x:c>
      <x:c r="H56" s="98" t="n">
        <x:f>'Assumptions'!$B$17*(1+'Assumptions'!$B$29)^(B56-1)/12</x:f>
        <x:v>33765.2643</x:v>
      </x:c>
      <x:c r="I56" s="98" t="n">
        <x:f>'Assumptions'!$B$18*(1+'Assumptions'!$B$29)^(B56-1)/12</x:f>
        <x:v>1688.2632150000002</x:v>
      </x:c>
      <x:c r="J56" s="98" t="n">
        <x:f>-(H56+I56)*('Assumptions'!$B$19+'Assumptions'!$B$20)</x:f>
        <x:v>-2127.2116509</x:v>
      </x:c>
      <x:c r="K56" s="98" t="n">
        <x:f>SUM(H56:J56)</x:f>
        <x:v>33326.315864100005</x:v>
      </x:c>
      <x:c r="L56" s="98" t="n">
        <x:f>-SUM('Assumptions'!$B$21:$B$25)*(1+'Assumptions'!$B$30)^(B56-1)/12</x:f>
        <x:v>-11817.842505</x:v>
      </x:c>
      <x:c r="M56" s="98" t="n">
        <x:f>-K56*'Assumptions'!$B$26</x:f>
        <x:v>-1333.0526345640003</x:v>
      </x:c>
      <x:c r="N56" s="98" t="n">
        <x:f>SUM(K56:M56)</x:f>
        <x:v>20175.420724536005</x:v>
      </x:c>
      <x:c r="O56" s="98" t="n">
        <x:f>-'Assumptions'!$B$27/12</x:f>
        <x:v>-2500</x:v>
      </x:c>
      <x:c r="P56" s="98" t="n">
        <x:f>-'Assumptions'!$B$28/12</x:f>
        <x:v>-833.3333333333334</x:v>
      </x:c>
      <x:c r="Q56" s="98" t="n">
        <x:f>0</x:f>
        <x:v>0</x:v>
      </x:c>
      <x:c r="R56" s="98" t="n">
        <x:f>0</x:f>
        <x:v>0</x:v>
      </x:c>
      <x:c r="S56" s="103" t="n">
        <x:f>SUM(N56:R56)+G56</x:f>
        <x:v>8639.316675396594</x:v>
      </x:c>
      <x:c r="T56" s="98" t="n">
        <x:f>MAX(0,D56-F56)</x:f>
        <x:v>1851149.429372921</x:v>
      </x:c>
    </x:row>
    <x:row r="57">
      <x:c r="A57" s="96" t="n">
        <x:f>52</x:f>
        <x:v>52</x:v>
      </x:c>
      <x:c r="B57" s="96" t="n">
        <x:f>ROUNDUP(A57/12,0)</x:f>
        <x:v>5</x:v>
      </x:c>
      <x:c r="C57" s="97" t="str">
        <x:f>"M"&amp;TEXT(A57,"00")</x:f>
        <x:v>M52</x:v>
      </x:c>
      <x:c r="D57" s="98" t="n">
        <x:f>T56</x:f>
        <x:v>1851149.429372921</x:v>
      </x:c>
      <x:c r="E57" s="98" t="n">
        <x:f>-D57*'Assumptions'!$B$34/12</x:f>
        <x:v>-10412.71554022268</x:v>
      </x:c>
      <x:c r="F57" s="98" t="n">
        <x:f>IF(A57&lt;='Assumptions'!$B$36,0,-PMT('Assumptions'!$B$34/12,'Assumptions'!$B$35*12,'Assumptions'!$B$10*'Assumptions'!$B$33)+E57)</x:f>
        <x:v>2234.9473428575184</x:v>
      </x:c>
      <x:c r="G57" s="98" t="n">
        <x:f>E57+F57</x:f>
        <x:v>-8177.7681973651615</x:v>
      </x:c>
      <x:c r="H57" s="98" t="n">
        <x:f>'Assumptions'!$B$17*(1+'Assumptions'!$B$29)^(B57-1)/12</x:f>
        <x:v>33765.2643</x:v>
      </x:c>
      <x:c r="I57" s="98" t="n">
        <x:f>'Assumptions'!$B$18*(1+'Assumptions'!$B$29)^(B57-1)/12</x:f>
        <x:v>1688.2632150000002</x:v>
      </x:c>
      <x:c r="J57" s="98" t="n">
        <x:f>-(H57+I57)*('Assumptions'!$B$19+'Assumptions'!$B$20)</x:f>
        <x:v>-2127.2116509</x:v>
      </x:c>
      <x:c r="K57" s="98" t="n">
        <x:f>SUM(H57:J57)</x:f>
        <x:v>33326.315864100005</x:v>
      </x:c>
      <x:c r="L57" s="98" t="n">
        <x:f>-SUM('Assumptions'!$B$21:$B$25)*(1+'Assumptions'!$B$30)^(B57-1)/12</x:f>
        <x:v>-11817.842505</x:v>
      </x:c>
      <x:c r="M57" s="98" t="n">
        <x:f>-K57*'Assumptions'!$B$26</x:f>
        <x:v>-1333.0526345640003</x:v>
      </x:c>
      <x:c r="N57" s="98" t="n">
        <x:f>SUM(K57:M57)</x:f>
        <x:v>20175.420724536005</x:v>
      </x:c>
      <x:c r="O57" s="98" t="n">
        <x:f>-'Assumptions'!$B$27/12</x:f>
        <x:v>-2500</x:v>
      </x:c>
      <x:c r="P57" s="98" t="n">
        <x:f>-'Assumptions'!$B$28/12</x:f>
        <x:v>-833.3333333333334</x:v>
      </x:c>
      <x:c r="Q57" s="98" t="n">
        <x:f>0</x:f>
        <x:v>0</x:v>
      </x:c>
      <x:c r="R57" s="98" t="n">
        <x:f>0</x:f>
        <x:v>0</x:v>
      </x:c>
      <x:c r="S57" s="103" t="n">
        <x:f>SUM(N57:R57)+G57</x:f>
        <x:v>8664.319193837511</x:v>
      </x:c>
      <x:c r="T57" s="98" t="n">
        <x:f>MAX(0,D57-F57)</x:f>
        <x:v>1848914.4820300634</x:v>
      </x:c>
    </x:row>
    <x:row r="58">
      <x:c r="A58" s="96" t="n">
        <x:f>53</x:f>
        <x:v>53</x:v>
      </x:c>
      <x:c r="B58" s="96" t="n">
        <x:f>ROUNDUP(A58/12,0)</x:f>
        <x:v>5</x:v>
      </x:c>
      <x:c r="C58" s="97" t="str">
        <x:f>"M"&amp;TEXT(A58,"00")</x:f>
        <x:v>M53</x:v>
      </x:c>
      <x:c r="D58" s="98" t="n">
        <x:f>T57</x:f>
        <x:v>1848914.4820300634</x:v>
      </x:c>
      <x:c r="E58" s="98" t="n">
        <x:f>-D58*'Assumptions'!$B$34/12</x:f>
        <x:v>-10400.143961419108</x:v>
      </x:c>
      <x:c r="F58" s="98" t="n">
        <x:f>IF(A58&lt;='Assumptions'!$B$36,0,-PMT('Assumptions'!$B$34/12,'Assumptions'!$B$35*12,'Assumptions'!$B$10*'Assumptions'!$B$33)+E58)</x:f>
        <x:v>2247.5189216610906</x:v>
      </x:c>
      <x:c r="G58" s="98" t="n">
        <x:f>E58+F58</x:f>
        <x:v>-8152.625039758017</x:v>
      </x:c>
      <x:c r="H58" s="98" t="n">
        <x:f>'Assumptions'!$B$17*(1+'Assumptions'!$B$29)^(B58-1)/12</x:f>
        <x:v>33765.2643</x:v>
      </x:c>
      <x:c r="I58" s="98" t="n">
        <x:f>'Assumptions'!$B$18*(1+'Assumptions'!$B$29)^(B58-1)/12</x:f>
        <x:v>1688.2632150000002</x:v>
      </x:c>
      <x:c r="J58" s="98" t="n">
        <x:f>-(H58+I58)*('Assumptions'!$B$19+'Assumptions'!$B$20)</x:f>
        <x:v>-2127.2116509</x:v>
      </x:c>
      <x:c r="K58" s="98" t="n">
        <x:f>SUM(H58:J58)</x:f>
        <x:v>33326.315864100005</x:v>
      </x:c>
      <x:c r="L58" s="98" t="n">
        <x:f>-SUM('Assumptions'!$B$21:$B$25)*(1+'Assumptions'!$B$30)^(B58-1)/12</x:f>
        <x:v>-11817.842505</x:v>
      </x:c>
      <x:c r="M58" s="98" t="n">
        <x:f>-K58*'Assumptions'!$B$26</x:f>
        <x:v>-1333.0526345640003</x:v>
      </x:c>
      <x:c r="N58" s="98" t="n">
        <x:f>SUM(K58:M58)</x:f>
        <x:v>20175.420724536005</x:v>
      </x:c>
      <x:c r="O58" s="98" t="n">
        <x:f>-'Assumptions'!$B$27/12</x:f>
        <x:v>-2500</x:v>
      </x:c>
      <x:c r="P58" s="98" t="n">
        <x:f>-'Assumptions'!$B$28/12</x:f>
        <x:v>-833.3333333333334</x:v>
      </x:c>
      <x:c r="Q58" s="98" t="n">
        <x:f>0</x:f>
        <x:v>0</x:v>
      </x:c>
      <x:c r="R58" s="98" t="n">
        <x:f>0</x:f>
        <x:v>0</x:v>
      </x:c>
      <x:c r="S58" s="103" t="n">
        <x:f>SUM(N58:R58)+G58</x:f>
        <x:v>8689.462351444656</x:v>
      </x:c>
      <x:c r="T58" s="98" t="n">
        <x:f>MAX(0,D58-F58)</x:f>
        <x:v>1846666.9631084022</x:v>
      </x:c>
    </x:row>
    <x:row r="59">
      <x:c r="A59" s="96" t="n">
        <x:f>54</x:f>
        <x:v>54</x:v>
      </x:c>
      <x:c r="B59" s="96" t="n">
        <x:f>ROUNDUP(A59/12,0)</x:f>
        <x:v>5</x:v>
      </x:c>
      <x:c r="C59" s="97" t="str">
        <x:f>"M"&amp;TEXT(A59,"00")</x:f>
        <x:v>M54</x:v>
      </x:c>
      <x:c r="D59" s="98" t="n">
        <x:f>T58</x:f>
        <x:v>1846666.9631084022</x:v>
      </x:c>
      <x:c r="E59" s="98" t="n">
        <x:f>-D59*'Assumptions'!$B$34/12</x:f>
        <x:v>-10387.501667484763</x:v>
      </x:c>
      <x:c r="F59" s="98" t="n">
        <x:f>IF(A59&lt;='Assumptions'!$B$36,0,-PMT('Assumptions'!$B$34/12,'Assumptions'!$B$35*12,'Assumptions'!$B$10*'Assumptions'!$B$33)+E59)</x:f>
        <x:v>2260.1612155954354</x:v>
      </x:c>
      <x:c r="G59" s="98" t="n">
        <x:f>E59+F59</x:f>
        <x:v>-8127.340451889328</x:v>
      </x:c>
      <x:c r="H59" s="98" t="n">
        <x:f>'Assumptions'!$B$17*(1+'Assumptions'!$B$29)^(B59-1)/12</x:f>
        <x:v>33765.2643</x:v>
      </x:c>
      <x:c r="I59" s="98" t="n">
        <x:f>'Assumptions'!$B$18*(1+'Assumptions'!$B$29)^(B59-1)/12</x:f>
        <x:v>1688.2632150000002</x:v>
      </x:c>
      <x:c r="J59" s="98" t="n">
        <x:f>-(H59+I59)*('Assumptions'!$B$19+'Assumptions'!$B$20)</x:f>
        <x:v>-2127.2116509</x:v>
      </x:c>
      <x:c r="K59" s="98" t="n">
        <x:f>SUM(H59:J59)</x:f>
        <x:v>33326.315864100005</x:v>
      </x:c>
      <x:c r="L59" s="98" t="n">
        <x:f>-SUM('Assumptions'!$B$21:$B$25)*(1+'Assumptions'!$B$30)^(B59-1)/12</x:f>
        <x:v>-11817.842505</x:v>
      </x:c>
      <x:c r="M59" s="98" t="n">
        <x:f>-K59*'Assumptions'!$B$26</x:f>
        <x:v>-1333.0526345640003</x:v>
      </x:c>
      <x:c r="N59" s="98" t="n">
        <x:f>SUM(K59:M59)</x:f>
        <x:v>20175.420724536005</x:v>
      </x:c>
      <x:c r="O59" s="98" t="n">
        <x:f>-'Assumptions'!$B$27/12</x:f>
        <x:v>-2500</x:v>
      </x:c>
      <x:c r="P59" s="98" t="n">
        <x:f>-'Assumptions'!$B$28/12</x:f>
        <x:v>-833.3333333333334</x:v>
      </x:c>
      <x:c r="Q59" s="98" t="n">
        <x:f>0</x:f>
        <x:v>0</x:v>
      </x:c>
      <x:c r="R59" s="98" t="n">
        <x:f>0</x:f>
        <x:v>0</x:v>
      </x:c>
      <x:c r="S59" s="103" t="n">
        <x:f>SUM(N59:R59)+G59</x:f>
        <x:v>8714.746939313345</x:v>
      </x:c>
      <x:c r="T59" s="98" t="n">
        <x:f>MAX(0,D59-F59)</x:f>
        <x:v>1844406.8018928068</x:v>
      </x:c>
    </x:row>
    <x:row r="60">
      <x:c r="A60" s="96" t="n">
        <x:f>55</x:f>
        <x:v>55</x:v>
      </x:c>
      <x:c r="B60" s="96" t="n">
        <x:f>ROUNDUP(A60/12,0)</x:f>
        <x:v>5</x:v>
      </x:c>
      <x:c r="C60" s="97" t="str">
        <x:f>"M"&amp;TEXT(A60,"00")</x:f>
        <x:v>M55</x:v>
      </x:c>
      <x:c r="D60" s="98" t="n">
        <x:f>T59</x:f>
        <x:v>1844406.8018928068</x:v>
      </x:c>
      <x:c r="E60" s="98" t="n">
        <x:f>-D60*'Assumptions'!$B$34/12</x:f>
        <x:v>-10374.78826064704</x:v>
      </x:c>
      <x:c r="F60" s="98" t="n">
        <x:f>IF(A60&lt;='Assumptions'!$B$36,0,-PMT('Assumptions'!$B$34/12,'Assumptions'!$B$35*12,'Assumptions'!$B$10*'Assumptions'!$B$33)+E60)</x:f>
        <x:v>2272.874622433159</x:v>
      </x:c>
      <x:c r="G60" s="98" t="n">
        <x:f>E60+F60</x:f>
        <x:v>-8101.91363821388</x:v>
      </x:c>
      <x:c r="H60" s="98" t="n">
        <x:f>'Assumptions'!$B$17*(1+'Assumptions'!$B$29)^(B60-1)/12</x:f>
        <x:v>33765.2643</x:v>
      </x:c>
      <x:c r="I60" s="98" t="n">
        <x:f>'Assumptions'!$B$18*(1+'Assumptions'!$B$29)^(B60-1)/12</x:f>
        <x:v>1688.2632150000002</x:v>
      </x:c>
      <x:c r="J60" s="98" t="n">
        <x:f>-(H60+I60)*('Assumptions'!$B$19+'Assumptions'!$B$20)</x:f>
        <x:v>-2127.2116509</x:v>
      </x:c>
      <x:c r="K60" s="98" t="n">
        <x:f>SUM(H60:J60)</x:f>
        <x:v>33326.315864100005</x:v>
      </x:c>
      <x:c r="L60" s="98" t="n">
        <x:f>-SUM('Assumptions'!$B$21:$B$25)*(1+'Assumptions'!$B$30)^(B60-1)/12</x:f>
        <x:v>-11817.842505</x:v>
      </x:c>
      <x:c r="M60" s="98" t="n">
        <x:f>-K60*'Assumptions'!$B$26</x:f>
        <x:v>-1333.0526345640003</x:v>
      </x:c>
      <x:c r="N60" s="98" t="n">
        <x:f>SUM(K60:M60)</x:f>
        <x:v>20175.420724536005</x:v>
      </x:c>
      <x:c r="O60" s="98" t="n">
        <x:f>-'Assumptions'!$B$27/12</x:f>
        <x:v>-2500</x:v>
      </x:c>
      <x:c r="P60" s="98" t="n">
        <x:f>-'Assumptions'!$B$28/12</x:f>
        <x:v>-833.3333333333334</x:v>
      </x:c>
      <x:c r="Q60" s="98" t="n">
        <x:f>0</x:f>
        <x:v>0</x:v>
      </x:c>
      <x:c r="R60" s="98" t="n">
        <x:f>0</x:f>
        <x:v>0</x:v>
      </x:c>
      <x:c r="S60" s="103" t="n">
        <x:f>SUM(N60:R60)+G60</x:f>
        <x:v>8740.173752988792</x:v>
      </x:c>
      <x:c r="T60" s="98" t="n">
        <x:f>MAX(0,D60-F60)</x:f>
        <x:v>1842133.9272703736</x:v>
      </x:c>
    </x:row>
    <x:row r="61">
      <x:c r="A61" s="96" t="n">
        <x:f>56</x:f>
        <x:v>56</x:v>
      </x:c>
      <x:c r="B61" s="96" t="n">
        <x:f>ROUNDUP(A61/12,0)</x:f>
        <x:v>5</x:v>
      </x:c>
      <x:c r="C61" s="97" t="str">
        <x:f>"M"&amp;TEXT(A61,"00")</x:f>
        <x:v>M56</x:v>
      </x:c>
      <x:c r="D61" s="98" t="n">
        <x:f>T60</x:f>
        <x:v>1842133.9272703736</x:v>
      </x:c>
      <x:c r="E61" s="98" t="n">
        <x:f>-D61*'Assumptions'!$B$34/12</x:f>
        <x:v>-10362.003340895852</x:v>
      </x:c>
      <x:c r="F61" s="98" t="n">
        <x:f>IF(A61&lt;='Assumptions'!$B$36,0,-PMT('Assumptions'!$B$34/12,'Assumptions'!$B$35*12,'Assumptions'!$B$10*'Assumptions'!$B$33)+E61)</x:f>
        <x:v>2285.6595421843467</x:v>
      </x:c>
      <x:c r="G61" s="98" t="n">
        <x:f>E61+F61</x:f>
        <x:v>-8076.343798711505</x:v>
      </x:c>
      <x:c r="H61" s="98" t="n">
        <x:f>'Assumptions'!$B$17*(1+'Assumptions'!$B$29)^(B61-1)/12</x:f>
        <x:v>33765.2643</x:v>
      </x:c>
      <x:c r="I61" s="98" t="n">
        <x:f>'Assumptions'!$B$18*(1+'Assumptions'!$B$29)^(B61-1)/12</x:f>
        <x:v>1688.2632150000002</x:v>
      </x:c>
      <x:c r="J61" s="98" t="n">
        <x:f>-(H61+I61)*('Assumptions'!$B$19+'Assumptions'!$B$20)</x:f>
        <x:v>-2127.2116509</x:v>
      </x:c>
      <x:c r="K61" s="98" t="n">
        <x:f>SUM(H61:J61)</x:f>
        <x:v>33326.315864100005</x:v>
      </x:c>
      <x:c r="L61" s="98" t="n">
        <x:f>-SUM('Assumptions'!$B$21:$B$25)*(1+'Assumptions'!$B$30)^(B61-1)/12</x:f>
        <x:v>-11817.842505</x:v>
      </x:c>
      <x:c r="M61" s="98" t="n">
        <x:f>-K61*'Assumptions'!$B$26</x:f>
        <x:v>-1333.0526345640003</x:v>
      </x:c>
      <x:c r="N61" s="98" t="n">
        <x:f>SUM(K61:M61)</x:f>
        <x:v>20175.420724536005</x:v>
      </x:c>
      <x:c r="O61" s="98" t="n">
        <x:f>-'Assumptions'!$B$27/12</x:f>
        <x:v>-2500</x:v>
      </x:c>
      <x:c r="P61" s="98" t="n">
        <x:f>-'Assumptions'!$B$28/12</x:f>
        <x:v>-833.3333333333334</x:v>
      </x:c>
      <x:c r="Q61" s="98" t="n">
        <x:f>0</x:f>
        <x:v>0</x:v>
      </x:c>
      <x:c r="R61" s="98" t="n">
        <x:f>0</x:f>
        <x:v>0</x:v>
      </x:c>
      <x:c r="S61" s="103" t="n">
        <x:f>SUM(N61:R61)+G61</x:f>
        <x:v>8765.743592491168</x:v>
      </x:c>
      <x:c r="T61" s="98" t="n">
        <x:f>MAX(0,D61-F61)</x:f>
        <x:v>1839848.2677281892</x:v>
      </x:c>
    </x:row>
    <x:row r="62">
      <x:c r="A62" s="96" t="n">
        <x:f>57</x:f>
        <x:v>57</x:v>
      </x:c>
      <x:c r="B62" s="96" t="n">
        <x:f>ROUNDUP(A62/12,0)</x:f>
        <x:v>5</x:v>
      </x:c>
      <x:c r="C62" s="97" t="str">
        <x:f>"M"&amp;TEXT(A62,"00")</x:f>
        <x:v>M57</x:v>
      </x:c>
      <x:c r="D62" s="98" t="n">
        <x:f>T61</x:f>
        <x:v>1839848.2677281892</x:v>
      </x:c>
      <x:c r="E62" s="98" t="n">
        <x:f>-D62*'Assumptions'!$B$34/12</x:f>
        <x:v>-10349.146505971066</x:v>
      </x:c>
      <x:c r="F62" s="98" t="n">
        <x:f>IF(A62&lt;='Assumptions'!$B$36,0,-PMT('Assumptions'!$B$34/12,'Assumptions'!$B$35*12,'Assumptions'!$B$10*'Assumptions'!$B$33)+E62)</x:f>
        <x:v>2298.516377109132</x:v>
      </x:c>
      <x:c r="G62" s="98" t="n">
        <x:f>E62+F62</x:f>
        <x:v>-8050.630128861934</x:v>
      </x:c>
      <x:c r="H62" s="98" t="n">
        <x:f>'Assumptions'!$B$17*(1+'Assumptions'!$B$29)^(B62-1)/12</x:f>
        <x:v>33765.2643</x:v>
      </x:c>
      <x:c r="I62" s="98" t="n">
        <x:f>'Assumptions'!$B$18*(1+'Assumptions'!$B$29)^(B62-1)/12</x:f>
        <x:v>1688.2632150000002</x:v>
      </x:c>
      <x:c r="J62" s="98" t="n">
        <x:f>-(H62+I62)*('Assumptions'!$B$19+'Assumptions'!$B$20)</x:f>
        <x:v>-2127.2116509</x:v>
      </x:c>
      <x:c r="K62" s="98" t="n">
        <x:f>SUM(H62:J62)</x:f>
        <x:v>33326.315864100005</x:v>
      </x:c>
      <x:c r="L62" s="98" t="n">
        <x:f>-SUM('Assumptions'!$B$21:$B$25)*(1+'Assumptions'!$B$30)^(B62-1)/12</x:f>
        <x:v>-11817.842505</x:v>
      </x:c>
      <x:c r="M62" s="98" t="n">
        <x:f>-K62*'Assumptions'!$B$26</x:f>
        <x:v>-1333.0526345640003</x:v>
      </x:c>
      <x:c r="N62" s="98" t="n">
        <x:f>SUM(K62:M62)</x:f>
        <x:v>20175.420724536005</x:v>
      </x:c>
      <x:c r="O62" s="98" t="n">
        <x:f>-'Assumptions'!$B$27/12</x:f>
        <x:v>-2500</x:v>
      </x:c>
      <x:c r="P62" s="98" t="n">
        <x:f>-'Assumptions'!$B$28/12</x:f>
        <x:v>-833.3333333333334</x:v>
      </x:c>
      <x:c r="Q62" s="98" t="n">
        <x:f>0</x:f>
        <x:v>0</x:v>
      </x:c>
      <x:c r="R62" s="98" t="n">
        <x:f>0</x:f>
        <x:v>0</x:v>
      </x:c>
      <x:c r="S62" s="103" t="n">
        <x:f>SUM(N62:R62)+G62</x:f>
        <x:v>8791.457262340738</x:v>
      </x:c>
      <x:c r="T62" s="98" t="n">
        <x:f>MAX(0,D62-F62)</x:f>
        <x:v>1837549.7513510801</x:v>
      </x:c>
    </x:row>
    <x:row r="63">
      <x:c r="A63" s="96" t="n">
        <x:f>58</x:f>
        <x:v>58</x:v>
      </x:c>
      <x:c r="B63" s="96" t="n">
        <x:f>ROUNDUP(A63/12,0)</x:f>
        <x:v>5</x:v>
      </x:c>
      <x:c r="C63" s="97" t="str">
        <x:f>"M"&amp;TEXT(A63,"00")</x:f>
        <x:v>M58</x:v>
      </x:c>
      <x:c r="D63" s="98" t="n">
        <x:f>T62</x:f>
        <x:v>1837549.7513510801</x:v>
      </x:c>
      <x:c r="E63" s="98" t="n">
        <x:f>-D63*'Assumptions'!$B$34/12</x:f>
        <x:v>-10336.217351349826</x:v>
      </x:c>
      <x:c r="F63" s="98" t="n">
        <x:f>IF(A63&lt;='Assumptions'!$B$36,0,-PMT('Assumptions'!$B$34/12,'Assumptions'!$B$35*12,'Assumptions'!$B$10*'Assumptions'!$B$33)+E63)</x:f>
        <x:v>2311.4455317303727</x:v>
      </x:c>
      <x:c r="G63" s="98" t="n">
        <x:f>E63+F63</x:f>
        <x:v>-8024.771819619453</x:v>
      </x:c>
      <x:c r="H63" s="98" t="n">
        <x:f>'Assumptions'!$B$17*(1+'Assumptions'!$B$29)^(B63-1)/12</x:f>
        <x:v>33765.2643</x:v>
      </x:c>
      <x:c r="I63" s="98" t="n">
        <x:f>'Assumptions'!$B$18*(1+'Assumptions'!$B$29)^(B63-1)/12</x:f>
        <x:v>1688.2632150000002</x:v>
      </x:c>
      <x:c r="J63" s="98" t="n">
        <x:f>-(H63+I63)*('Assumptions'!$B$19+'Assumptions'!$B$20)</x:f>
        <x:v>-2127.2116509</x:v>
      </x:c>
      <x:c r="K63" s="98" t="n">
        <x:f>SUM(H63:J63)</x:f>
        <x:v>33326.315864100005</x:v>
      </x:c>
      <x:c r="L63" s="98" t="n">
        <x:f>-SUM('Assumptions'!$B$21:$B$25)*(1+'Assumptions'!$B$30)^(B63-1)/12</x:f>
        <x:v>-11817.842505</x:v>
      </x:c>
      <x:c r="M63" s="98" t="n">
        <x:f>-K63*'Assumptions'!$B$26</x:f>
        <x:v>-1333.0526345640003</x:v>
      </x:c>
      <x:c r="N63" s="98" t="n">
        <x:f>SUM(K63:M63)</x:f>
        <x:v>20175.420724536005</x:v>
      </x:c>
      <x:c r="O63" s="98" t="n">
        <x:f>-'Assumptions'!$B$27/12</x:f>
        <x:v>-2500</x:v>
      </x:c>
      <x:c r="P63" s="98" t="n">
        <x:f>-'Assumptions'!$B$28/12</x:f>
        <x:v>-833.3333333333334</x:v>
      </x:c>
      <x:c r="Q63" s="98" t="n">
        <x:f>0</x:f>
        <x:v>0</x:v>
      </x:c>
      <x:c r="R63" s="98" t="n">
        <x:f>0</x:f>
        <x:v>0</x:v>
      </x:c>
      <x:c r="S63" s="103" t="n">
        <x:f>SUM(N63:R63)+G63</x:f>
        <x:v>8817.31557158322</x:v>
      </x:c>
      <x:c r="T63" s="98" t="n">
        <x:f>MAX(0,D63-F63)</x:f>
        <x:v>1835238.3058193498</x:v>
      </x:c>
    </x:row>
    <x:row r="64">
      <x:c r="A64" s="96" t="n">
        <x:f>59</x:f>
        <x:v>59</x:v>
      </x:c>
      <x:c r="B64" s="96" t="n">
        <x:f>ROUNDUP(A64/12,0)</x:f>
        <x:v>5</x:v>
      </x:c>
      <x:c r="C64" s="97" t="str">
        <x:f>"M"&amp;TEXT(A64,"00")</x:f>
        <x:v>M59</x:v>
      </x:c>
      <x:c r="D64" s="98" t="n">
        <x:f>T63</x:f>
        <x:v>1835238.3058193498</x:v>
      </x:c>
      <x:c r="E64" s="98" t="n">
        <x:f>-D64*'Assumptions'!$B$34/12</x:f>
        <x:v>-10323.215470233843</x:v>
      </x:c>
      <x:c r="F64" s="98" t="n">
        <x:f>IF(A64&lt;='Assumptions'!$B$36,0,-PMT('Assumptions'!$B$34/12,'Assumptions'!$B$35*12,'Assumptions'!$B$10*'Assumptions'!$B$33)+E64)</x:f>
        <x:v>2324.4474128463553</x:v>
      </x:c>
      <x:c r="G64" s="98" t="n">
        <x:f>E64+F64</x:f>
        <x:v>-7998.768057387488</x:v>
      </x:c>
      <x:c r="H64" s="98" t="n">
        <x:f>'Assumptions'!$B$17*(1+'Assumptions'!$B$29)^(B64-1)/12</x:f>
        <x:v>33765.2643</x:v>
      </x:c>
      <x:c r="I64" s="98" t="n">
        <x:f>'Assumptions'!$B$18*(1+'Assumptions'!$B$29)^(B64-1)/12</x:f>
        <x:v>1688.2632150000002</x:v>
      </x:c>
      <x:c r="J64" s="98" t="n">
        <x:f>-(H64+I64)*('Assumptions'!$B$19+'Assumptions'!$B$20)</x:f>
        <x:v>-2127.2116509</x:v>
      </x:c>
      <x:c r="K64" s="98" t="n">
        <x:f>SUM(H64:J64)</x:f>
        <x:v>33326.315864100005</x:v>
      </x:c>
      <x:c r="L64" s="98" t="n">
        <x:f>-SUM('Assumptions'!$B$21:$B$25)*(1+'Assumptions'!$B$30)^(B64-1)/12</x:f>
        <x:v>-11817.842505</x:v>
      </x:c>
      <x:c r="M64" s="98" t="n">
        <x:f>-K64*'Assumptions'!$B$26</x:f>
        <x:v>-1333.0526345640003</x:v>
      </x:c>
      <x:c r="N64" s="98" t="n">
        <x:f>SUM(K64:M64)</x:f>
        <x:v>20175.420724536005</x:v>
      </x:c>
      <x:c r="O64" s="98" t="n">
        <x:f>-'Assumptions'!$B$27/12</x:f>
        <x:v>-2500</x:v>
      </x:c>
      <x:c r="P64" s="98" t="n">
        <x:f>-'Assumptions'!$B$28/12</x:f>
        <x:v>-833.3333333333334</x:v>
      </x:c>
      <x:c r="Q64" s="98" t="n">
        <x:f>0</x:f>
        <x:v>0</x:v>
      </x:c>
      <x:c r="R64" s="98" t="n">
        <x:f>0</x:f>
        <x:v>0</x:v>
      </x:c>
      <x:c r="S64" s="103" t="n">
        <x:f>SUM(N64:R64)+G64</x:f>
        <x:v>8843.319333815185</x:v>
      </x:c>
      <x:c r="T64" s="98" t="n">
        <x:f>MAX(0,D64-F64)</x:f>
        <x:v>1832913.8584065035</x:v>
      </x:c>
    </x:row>
    <x:row r="65">
      <x:c r="A65" s="99" t="n">
        <x:f>60</x:f>
        <x:v>60</x:v>
      </x:c>
      <x:c r="B65" s="99" t="n">
        <x:f>ROUNDUP(A65/12,0)</x:f>
        <x:v>5</x:v>
      </x:c>
      <x:c r="C65" s="100" t="str">
        <x:f>"M"&amp;TEXT(A65,"00")</x:f>
        <x:v>M60</x:v>
      </x:c>
      <x:c r="D65" s="101" t="n">
        <x:f>T64</x:f>
        <x:v>1832913.8584065035</x:v>
      </x:c>
      <x:c r="E65" s="101" t="n">
        <x:f>-D65*'Assumptions'!$B$34/12</x:f>
        <x:v>-10310.140453536582</x:v>
      </x:c>
      <x:c r="F65" s="101" t="n">
        <x:f>IF(A65&lt;='Assumptions'!$B$36,0,-PMT('Assumptions'!$B$34/12,'Assumptions'!$B$35*12,'Assumptions'!$B$10*'Assumptions'!$B$33)+E65)</x:f>
        <x:v>2337.5224295436165</x:v>
      </x:c>
      <x:c r="G65" s="101" t="n">
        <x:f>E65+F65</x:f>
        <x:v>-7972.618023992965</x:v>
      </x:c>
      <x:c r="H65" s="101" t="n">
        <x:f>'Assumptions'!$B$17*(1+'Assumptions'!$B$29)^(B65-1)/12</x:f>
        <x:v>33765.2643</x:v>
      </x:c>
      <x:c r="I65" s="101" t="n">
        <x:f>'Assumptions'!$B$18*(1+'Assumptions'!$B$29)^(B65-1)/12</x:f>
        <x:v>1688.2632150000002</x:v>
      </x:c>
      <x:c r="J65" s="101" t="n">
        <x:f>-(H65+I65)*('Assumptions'!$B$19+'Assumptions'!$B$20)</x:f>
        <x:v>-2127.2116509</x:v>
      </x:c>
      <x:c r="K65" s="101" t="n">
        <x:f>SUM(H65:J65)</x:f>
        <x:v>33326.315864100005</x:v>
      </x:c>
      <x:c r="L65" s="101" t="n">
        <x:f>-SUM('Assumptions'!$B$21:$B$25)*(1+'Assumptions'!$B$30)^(B65-1)/12</x:f>
        <x:v>-11817.842505</x:v>
      </x:c>
      <x:c r="M65" s="101" t="n">
        <x:f>-K65*'Assumptions'!$B$26</x:f>
        <x:v>-1333.0526345640003</x:v>
      </x:c>
      <x:c r="N65" s="101" t="n">
        <x:f>SUM(K65:M65)</x:f>
        <x:v>20175.420724536005</x:v>
      </x:c>
      <x:c r="O65" s="101" t="n">
        <x:f>-'Assumptions'!$B$27/12</x:f>
        <x:v>-2500</x:v>
      </x:c>
      <x:c r="P65" s="101" t="n">
        <x:f>-'Assumptions'!$B$28/12</x:f>
        <x:v>-833.3333333333334</x:v>
      </x:c>
      <x:c r="Q65" s="101" t="n">
        <x:f>(N65*12*(1+'Assumptions'!$B$29)/'Assumptions'!$B$41)*(1-'Assumptions'!$B$42)</x:f>
        <x:v>3606247.8176299864</x:v>
      </x:c>
      <x:c r="R65" s="101" t="n">
        <x:f>-MAX(0,D65-F65)</x:f>
        <x:v>-1830576.33597696</x:v>
      </x:c>
      <x:c r="S65" s="104" t="n">
        <x:f>SUM(N65:R65)+G65</x:f>
        <x:v>1784540.9510202364</x:v>
      </x:c>
      <x:c r="T65" s="101" t="n">
        <x:f>0</x:f>
        <x:v>0</x:v>
      </x:c>
    </x:row>
  </x:sheetData>
  <x:mergeCells>
    <x:mergeCell ref="A1:T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26" t="str">
        <x:v>Annual Cash Flow</x:v>
      </x:c>
    </x:row>
    <x:row r="2">
      <x:c r="A2" s="27" t="str">
        <x:v>Annual roll-up tied directly to the monthly schedule.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4">
      <x:c r="A4" s="85" t="str">
        <x:v>Year</x:v>
      </x:c>
      <x:c r="B4" s="86" t="str">
        <x:v>Gross Rent</x:v>
      </x:c>
      <x:c r="C4" s="86" t="str">
        <x:v>Other Income</x:v>
      </x:c>
      <x:c r="D4" s="86" t="str">
        <x:v>Vacancy / Credit Loss</x:v>
      </x:c>
      <x:c r="E4" s="86" t="str">
        <x:v>EGI</x:v>
      </x:c>
      <x:c r="F4" s="86" t="str">
        <x:v>Operating Expenses</x:v>
      </x:c>
      <x:c r="G4" s="86" t="str">
        <x:v>Management Fee</x:v>
      </x:c>
      <x:c r="H4" s="86" t="str">
        <x:v>NOI</x:v>
      </x:c>
      <x:c r="I4" s="86" t="str">
        <x:v>Debt Service</x:v>
      </x:c>
      <x:c r="J4" s="86" t="str">
        <x:v>Reserves / Capital</x:v>
      </x:c>
      <x:c r="K4" s="86" t="str">
        <x:v>Sale / Payoff</x:v>
      </x:c>
      <x:c r="L4" s="87" t="str">
        <x:v>Equity Cash Flow</x:v>
      </x:c>
      <x:c r="N4" t="str">
        <x:v>Year</x:v>
      </x:c>
      <x:c r="O4" t="str">
        <x:v>NOI</x:v>
      </x:c>
      <x:c r="P4" t="str">
        <x:v>Equity Cash Flow</x:v>
      </x:c>
    </x:row>
    <x:row r="5">
      <x:c r="A5" s="105" t="n">
        <x:f>1</x:f>
        <x:v>1</x:v>
      </x:c>
      <x:c r="B5" s="106" t="n">
        <x:f>SUMIF('Monthly Cash Flow'!$B$6:$B$65,A5,'Monthly Cash Flow'!$H$6:$H$65)</x:f>
        <x:v>360000</x:v>
      </x:c>
      <x:c r="C5" s="106" t="n">
        <x:f>SUMIF('Monthly Cash Flow'!$B$6:$B$65,A5,'Monthly Cash Flow'!$I$6:$I$65)</x:f>
        <x:v>18000</x:v>
      </x:c>
      <x:c r="D5" s="106" t="n">
        <x:f>SUMIF('Monthly Cash Flow'!$B$6:$B$65,A5,'Monthly Cash Flow'!$J$6:$J$65)</x:f>
        <x:v>-22680.000000000004</x:v>
      </x:c>
      <x:c r="E5" s="106" t="n">
        <x:f>SUM(B5:D5)</x:f>
        <x:v>355320</x:v>
      </x:c>
      <x:c r="F5" s="106" t="n">
        <x:f>SUMIF('Monthly Cash Flow'!$B$6:$B$65,A5,'Monthly Cash Flow'!$L$6:$L$65)</x:f>
        <x:v>-126000</x:v>
      </x:c>
      <x:c r="G5" s="106" t="n">
        <x:f>SUMIF('Monthly Cash Flow'!$B$6:$B$65,A5,'Monthly Cash Flow'!$M$6:$M$65)</x:f>
        <x:v>-14212.799999999997</x:v>
      </x:c>
      <x:c r="H5" s="114" t="n">
        <x:f>SUM(E5:G5)</x:f>
        <x:v>215107.2</x:v>
      </x:c>
      <x:c r="I5" s="106" t="n">
        <x:f>SUMIF('Monthly Cash Flow'!$B$6:$B$65,A5,'Monthly Cash Flow'!$G$6:$G$65)</x:f>
        <x:v>-110207.78046978051</x:v>
      </x:c>
      <x:c r="J5" s="106" t="n">
        <x:f>SUMIF('Monthly Cash Flow'!$B$6:$B$65,A5,'Monthly Cash Flow'!$O$6:$O$65)+SUMIF('Monthly Cash Flow'!$B$6:$B$65,A5,'Monthly Cash Flow'!$P$6:$P$65)</x:f>
        <x:v>-40000</x:v>
      </x:c>
      <x:c r="K5" s="106" t="n">
        <x:f>SUMIF('Monthly Cash Flow'!$B$6:$B$65,A5,'Monthly Cash Flow'!$Q$6:$Q$65)+SUMIF('Monthly Cash Flow'!$B$6:$B$65,A5,'Monthly Cash Flow'!$R$6:$R$65)</x:f>
        <x:v>0</x:v>
      </x:c>
      <x:c r="L5" s="120" t="n">
        <x:f>SUMIF('Monthly Cash Flow'!$B$6:$B$65,A5,'Monthly Cash Flow'!$S$6:$S$65)</x:f>
        <x:v>64899.41953021947</x:v>
      </x:c>
      <x:c r="N5" t="n">
        <x:f>A5</x:f>
        <x:v>1</x:v>
      </x:c>
      <x:c r="O5" t="n">
        <x:f>H5</x:f>
        <x:v>215107.2</x:v>
      </x:c>
      <x:c r="P5" t="n">
        <x:f>L5</x:f>
        <x:v>64899.41953021947</x:v>
      </x:c>
    </x:row>
    <x:row r="6">
      <x:c r="A6" s="107" t="n">
        <x:f>2</x:f>
        <x:v>2</x:v>
      </x:c>
      <x:c r="B6" s="108" t="n">
        <x:f>SUMIF('Monthly Cash Flow'!$B$6:$B$65,A6,'Monthly Cash Flow'!$H$6:$H$65)</x:f>
        <x:v>370800</x:v>
      </x:c>
      <x:c r="C6" s="108" t="n">
        <x:f>SUMIF('Monthly Cash Flow'!$B$6:$B$65,A6,'Monthly Cash Flow'!$I$6:$I$65)</x:f>
        <x:v>18540</x:v>
      </x:c>
      <x:c r="D6" s="108" t="n">
        <x:f>SUMIF('Monthly Cash Flow'!$B$6:$B$65,A6,'Monthly Cash Flow'!$J$6:$J$65)</x:f>
        <x:v>-23360.400000000005</x:v>
      </x:c>
      <x:c r="E6" s="108" t="n">
        <x:f>SUM(B6:D6)</x:f>
        <x:v>365979.6</x:v>
      </x:c>
      <x:c r="F6" s="108" t="n">
        <x:f>SUMIF('Monthly Cash Flow'!$B$6:$B$65,A6,'Monthly Cash Flow'!$L$6:$L$65)</x:f>
        <x:v>-129780</x:v>
      </x:c>
      <x:c r="G6" s="108" t="n">
        <x:f>SUMIF('Monthly Cash Flow'!$B$6:$B$65,A6,'Monthly Cash Flow'!$M$6:$M$65)</x:f>
        <x:v>-14639.184000000003</x:v>
      </x:c>
      <x:c r="H6" s="115" t="n">
        <x:f>SUM(E6:G6)</x:f>
        <x:v>221560.41599999997</x:v>
      </x:c>
      <x:c r="I6" s="108" t="n">
        <x:f>SUMIF('Monthly Cash Flow'!$B$6:$B$65,A6,'Monthly Cash Flow'!$G$6:$G$65)</x:f>
        <x:v>-107313.7527899935</x:v>
      </x:c>
      <x:c r="J6" s="108" t="n">
        <x:f>SUMIF('Monthly Cash Flow'!$B$6:$B$65,A6,'Monthly Cash Flow'!$O$6:$O$65)+SUMIF('Monthly Cash Flow'!$B$6:$B$65,A6,'Monthly Cash Flow'!$P$6:$P$65)</x:f>
        <x:v>-40000</x:v>
      </x:c>
      <x:c r="K6" s="108" t="n">
        <x:f>SUMIF('Monthly Cash Flow'!$B$6:$B$65,A6,'Monthly Cash Flow'!$Q$6:$Q$65)+SUMIF('Monthly Cash Flow'!$B$6:$B$65,A6,'Monthly Cash Flow'!$R$6:$R$65)</x:f>
        <x:v>0</x:v>
      </x:c>
      <x:c r="L6" s="121" t="n">
        <x:f>SUMIF('Monthly Cash Flow'!$B$6:$B$65,A6,'Monthly Cash Flow'!$S$6:$S$65)</x:f>
        <x:v>74246.6632100065</x:v>
      </x:c>
      <x:c r="N6" t="n">
        <x:f>A6</x:f>
        <x:v>2</x:v>
      </x:c>
      <x:c r="O6" t="n">
        <x:f>H6</x:f>
        <x:v>221560.41599999997</x:v>
      </x:c>
      <x:c r="P6" t="n">
        <x:f>L6</x:f>
        <x:v>74246.6632100065</x:v>
      </x:c>
    </x:row>
    <x:row r="7">
      <x:c r="A7" s="107" t="n">
        <x:f>3</x:f>
        <x:v>3</x:v>
      </x:c>
      <x:c r="B7" s="108" t="n">
        <x:f>SUMIF('Monthly Cash Flow'!$B$6:$B$65,A7,'Monthly Cash Flow'!$H$6:$H$65)</x:f>
        <x:v>381924</x:v>
      </x:c>
      <x:c r="C7" s="108" t="n">
        <x:f>SUMIF('Monthly Cash Flow'!$B$6:$B$65,A7,'Monthly Cash Flow'!$I$6:$I$65)</x:f>
        <x:v>19096.2</x:v>
      </x:c>
      <x:c r="D7" s="108" t="n">
        <x:f>SUMIF('Monthly Cash Flow'!$B$6:$B$65,A7,'Monthly Cash Flow'!$J$6:$J$65)</x:f>
        <x:v>-24061.212</x:v>
      </x:c>
      <x:c r="E7" s="108" t="n">
        <x:f>SUM(B7:D7)</x:f>
        <x:v>376958.988</x:v>
      </x:c>
      <x:c r="F7" s="108" t="n">
        <x:f>SUMIF('Monthly Cash Flow'!$B$6:$B$65,A7,'Monthly Cash Flow'!$L$6:$L$65)</x:f>
        <x:v>-133673.4</x:v>
      </x:c>
      <x:c r="G7" s="108" t="n">
        <x:f>SUMIF('Monthly Cash Flow'!$B$6:$B$65,A7,'Monthly Cash Flow'!$M$6:$M$65)</x:f>
        <x:v>-15078.35952</x:v>
      </x:c>
      <x:c r="H7" s="115" t="n">
        <x:f>SUM(E7:G7)</x:f>
        <x:v>228207.22848000002</x:v>
      </x:c>
      <x:c r="I7" s="108" t="n">
        <x:f>SUMIF('Monthly Cash Flow'!$B$6:$B$65,A7,'Monthly Cash Flow'!$G$6:$G$65)</x:f>
        <x:v>-104218.2199344812</x:v>
      </x:c>
      <x:c r="J7" s="108" t="n">
        <x:f>SUMIF('Monthly Cash Flow'!$B$6:$B$65,A7,'Monthly Cash Flow'!$O$6:$O$65)+SUMIF('Monthly Cash Flow'!$B$6:$B$65,A7,'Monthly Cash Flow'!$P$6:$P$65)</x:f>
        <x:v>-40000</x:v>
      </x:c>
      <x:c r="K7" s="108" t="n">
        <x:f>SUMIF('Monthly Cash Flow'!$B$6:$B$65,A7,'Monthly Cash Flow'!$Q$6:$Q$65)+SUMIF('Monthly Cash Flow'!$B$6:$B$65,A7,'Monthly Cash Flow'!$R$6:$R$65)</x:f>
        <x:v>0</x:v>
      </x:c>
      <x:c r="L7" s="121" t="n">
        <x:f>SUMIF('Monthly Cash Flow'!$B$6:$B$65,A7,'Monthly Cash Flow'!$S$6:$S$65)</x:f>
        <x:v>83989.00854551881</x:v>
      </x:c>
      <x:c r="N7" t="n">
        <x:f>A7</x:f>
        <x:v>3</x:v>
      </x:c>
      <x:c r="O7" t="n">
        <x:f>H7</x:f>
        <x:v>228207.22848000002</x:v>
      </x:c>
      <x:c r="P7" t="n">
        <x:f>L7</x:f>
        <x:v>83989.00854551881</x:v>
      </x:c>
    </x:row>
    <x:row r="8">
      <x:c r="A8" s="107" t="n">
        <x:f>4</x:f>
        <x:v>4</x:v>
      </x:c>
      <x:c r="B8" s="108" t="n">
        <x:f>SUMIF('Monthly Cash Flow'!$B$6:$B$65,A8,'Monthly Cash Flow'!$H$6:$H$65)</x:f>
        <x:v>393381.72000000003</x:v>
      </x:c>
      <x:c r="C8" s="108" t="n">
        <x:f>SUMIF('Monthly Cash Flow'!$B$6:$B$65,A8,'Monthly Cash Flow'!$I$6:$I$65)</x:f>
        <x:v>19669.085999999996</x:v>
      </x:c>
      <x:c r="D8" s="108" t="n">
        <x:f>SUMIF('Monthly Cash Flow'!$B$6:$B$65,A8,'Monthly Cash Flow'!$J$6:$J$65)</x:f>
        <x:v>-24783.048360000004</x:v>
      </x:c>
      <x:c r="E8" s="108" t="n">
        <x:f>SUM(B8:D8)</x:f>
        <x:v>388267.75764</x:v>
      </x:c>
      <x:c r="F8" s="108" t="n">
        <x:f>SUMIF('Monthly Cash Flow'!$B$6:$B$65,A8,'Monthly Cash Flow'!$L$6:$L$65)</x:f>
        <x:v>-137683.60199999998</x:v>
      </x:c>
      <x:c r="G8" s="108" t="n">
        <x:f>SUMIF('Monthly Cash Flow'!$B$6:$B$65,A8,'Monthly Cash Flow'!$M$6:$M$65)</x:f>
        <x:v>-15530.710305600003</x:v>
      </x:c>
      <x:c r="H8" s="115" t="n">
        <x:f>SUM(E8:G8)</x:f>
        <x:v>235053.44533440005</x:v>
      </x:c>
      <x:c r="I8" s="108" t="n">
        <x:f>SUMIF('Monthly Cash Flow'!$B$6:$B$65,A8,'Monthly Cash Flow'!$G$6:$G$65)</x:f>
        <x:v>-100907.15151364938</x:v>
      </x:c>
      <x:c r="J8" s="108" t="n">
        <x:f>SUMIF('Monthly Cash Flow'!$B$6:$B$65,A8,'Monthly Cash Flow'!$O$6:$O$65)+SUMIF('Monthly Cash Flow'!$B$6:$B$65,A8,'Monthly Cash Flow'!$P$6:$P$65)</x:f>
        <x:v>-40000</x:v>
      </x:c>
      <x:c r="K8" s="108" t="n">
        <x:f>SUMIF('Monthly Cash Flow'!$B$6:$B$65,A8,'Monthly Cash Flow'!$Q$6:$Q$65)+SUMIF('Monthly Cash Flow'!$B$6:$B$65,A8,'Monthly Cash Flow'!$R$6:$R$65)</x:f>
        <x:v>0</x:v>
      </x:c>
      <x:c r="L8" s="121" t="n">
        <x:f>SUMIF('Monthly Cash Flow'!$B$6:$B$65,A8,'Monthly Cash Flow'!$S$6:$S$65)</x:f>
        <x:v>94146.29382075067</x:v>
      </x:c>
      <x:c r="N8" t="n">
        <x:f>A8</x:f>
        <x:v>4</x:v>
      </x:c>
      <x:c r="O8" t="n">
        <x:f>H8</x:f>
        <x:v>235053.44533440005</x:v>
      </x:c>
      <x:c r="P8" t="n">
        <x:f>L8</x:f>
        <x:v>94146.29382075067</x:v>
      </x:c>
    </x:row>
    <x:row r="9">
      <x:c r="A9" s="109" t="n">
        <x:f>5</x:f>
        <x:v>5</x:v>
      </x:c>
      <x:c r="B9" s="110" t="n">
        <x:f>SUMIF('Monthly Cash Flow'!$B$6:$B$65,A9,'Monthly Cash Flow'!$H$6:$H$65)</x:f>
        <x:v>405183.17159999994</x:v>
      </x:c>
      <x:c r="C9" s="110" t="n">
        <x:f>SUMIF('Monthly Cash Flow'!$B$6:$B$65,A9,'Monthly Cash Flow'!$I$6:$I$65)</x:f>
        <x:v>20259.158580000003</x:v>
      </x:c>
      <x:c r="D9" s="110" t="n">
        <x:f>SUMIF('Monthly Cash Flow'!$B$6:$B$65,A9,'Monthly Cash Flow'!$J$6:$J$65)</x:f>
        <x:v>-25526.539810800004</x:v>
      </x:c>
      <x:c r="E9" s="110" t="n">
        <x:f>SUM(B9:D9)</x:f>
        <x:v>399915.79036919994</x:v>
      </x:c>
      <x:c r="F9" s="110" t="n">
        <x:f>SUMIF('Monthly Cash Flow'!$B$6:$B$65,A9,'Monthly Cash Flow'!$L$6:$L$65)</x:f>
        <x:v>-141814.11006000004</x:v>
      </x:c>
      <x:c r="G9" s="110" t="n">
        <x:f>SUMIF('Monthly Cash Flow'!$B$6:$B$65,A9,'Monthly Cash Flow'!$M$6:$M$65)</x:f>
        <x:v>-15996.631614768006</x:v>
      </x:c>
      <x:c r="H9" s="116" t="n">
        <x:f>SUM(E9:G9)</x:f>
        <x:v>242105.0486944319</x:v>
      </x:c>
      <x:c r="I9" s="110" t="n">
        <x:f>SUMIF('Monthly Cash Flow'!$B$6:$B$65,A9,'Monthly Cash Flow'!$G$6:$G$65)</x:f>
        <x:v>-97365.54023082697</x:v>
      </x:c>
      <x:c r="J9" s="110" t="n">
        <x:f>SUMIF('Monthly Cash Flow'!$B$6:$B$65,A9,'Monthly Cash Flow'!$O$6:$O$65)+SUMIF('Monthly Cash Flow'!$B$6:$B$65,A9,'Monthly Cash Flow'!$P$6:$P$65)</x:f>
        <x:v>-40000</x:v>
      </x:c>
      <x:c r="K9" s="110" t="n">
        <x:f>SUMIF('Monthly Cash Flow'!$B$6:$B$65,A9,'Monthly Cash Flow'!$Q$6:$Q$65)+SUMIF('Monthly Cash Flow'!$B$6:$B$65,A9,'Monthly Cash Flow'!$R$6:$R$65)</x:f>
        <x:v>1775671.4816530265</x:v>
      </x:c>
      <x:c r="L9" s="122" t="n">
        <x:f>SUMIF('Monthly Cash Flow'!$B$6:$B$65,A9,'Monthly Cash Flow'!$S$6:$S$65)</x:f>
        <x:v>1880410.9901166318</x:v>
      </x:c>
      <x:c r="N9" t="n">
        <x:f>A9</x:f>
        <x:v>5</x:v>
      </x:c>
      <x:c r="O9" t="n">
        <x:f>H9</x:f>
        <x:v>242105.0486944319</x:v>
      </x:c>
      <x:c r="P9" t="n">
        <x:f>L9</x:f>
        <x:v>1880410.9901166318</x:v>
      </x:c>
    </x:row>
  </x:sheetData>
  <x:mergeCells>
    <x:mergeCell ref="A1:L1"/>
    <x:mergeCell ref="A2:J2"/>
  </x:mergeCells>
  <x:pageMargins left="0.7" right="0.7" top="0.75" bottom="0.75" header="0.3" footer="0.3"/>
  <x:drawing xmlns:r="http://schemas.openxmlformats.org/officeDocument/2006/relationships" r:id="R714607c583074948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26" t="str">
        <x:v>Debt Schedule</x:v>
      </x:c>
    </x:row>
    <x:row r="2">
      <x:c r="A2" s="27" t="str">
        <x:v>Annual summary reconciled to the monthly amortization schedule.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4">
      <x:c r="A4" s="85" t="str">
        <x:v>Year</x:v>
      </x:c>
      <x:c r="B4" s="86" t="str">
        <x:v>Beginning Balance</x:v>
      </x:c>
      <x:c r="C4" s="86" t="str">
        <x:v>Interest</x:v>
      </x:c>
      <x:c r="D4" s="86" t="str">
        <x:v>Principal</x:v>
      </x:c>
      <x:c r="E4" s="86" t="str">
        <x:v>Debt Service</x:v>
      </x:c>
      <x:c r="F4" s="86" t="str">
        <x:v>Ending Balance</x:v>
      </x:c>
      <x:c r="G4" s="87" t="str">
        <x:v>DSCR</x:v>
      </x:c>
    </x:row>
    <x:row r="5">
      <x:c r="A5" s="105" t="n">
        <x:f>1</x:f>
        <x:v>1</x:v>
      </x:c>
      <x:c r="B5" s="106" t="n">
        <x:f>'Monthly Cash Flow'!D6</x:f>
        <x:v>1950000</x:v>
      </x:c>
      <x:c r="C5" s="106" t="n">
        <x:f>-SUM('Monthly Cash Flow'!E6:E17)</x:f>
        <x:v>130989.86753337145</x:v>
      </x:c>
      <x:c r="D5" s="106" t="n">
        <x:f>SUM('Monthly Cash Flow'!F6:F17)-SUM('Monthly Cash Flow'!R6:R17)</x:f>
        <x:v>20782.08706359094</x:v>
      </x:c>
      <x:c r="E5" s="106" t="n">
        <x:f>-SUM('Monthly Cash Flow'!G6:G17)</x:f>
        <x:v>110207.78046978051</x:v>
      </x:c>
      <x:c r="F5" s="106" t="n">
        <x:f>'Monthly Cash Flow'!T17</x:f>
        <x:v>1929217.9129364092</x:v>
      </x:c>
      <x:c r="G5" s="124" t="n">
        <x:f>IFERROR('Annual Cash Flow'!H5/E5,0)</x:f>
        <x:v>1.951833156271425</x:v>
      </x:c>
    </x:row>
    <x:row r="6">
      <x:c r="A6" s="107" t="n">
        <x:f>2</x:f>
        <x:v>2</x:v>
      </x:c>
      <x:c r="B6" s="108" t="n">
        <x:f>'Monthly Cash Flow'!D18</x:f>
        <x:v>1929217.9129364092</x:v>
      </x:c>
      <x:c r="C6" s="108" t="n">
        <x:f>-SUM('Monthly Cash Flow'!E18:E29)</x:f>
        <x:v>129542.85369347794</x:v>
      </x:c>
      <x:c r="D6" s="108" t="n">
        <x:f>SUM('Monthly Cash Flow'!F18:F29)-SUM('Monthly Cash Flow'!R18:R29)</x:f>
        <x:v>22229.100903484446</x:v>
      </x:c>
      <x:c r="E6" s="108" t="n">
        <x:f>-SUM('Monthly Cash Flow'!G18:G29)</x:f>
        <x:v>107313.7527899935</x:v>
      </x:c>
      <x:c r="F6" s="108" t="n">
        <x:f>'Monthly Cash Flow'!T29</x:f>
        <x:v>1906988.8120329245</x:v>
      </x:c>
      <x:c r="G6" s="125" t="n">
        <x:f>IFERROR('Annual Cash Flow'!H6/E6,0)</x:f>
        <x:v>2.0646041186685573</x:v>
      </x:c>
    </x:row>
    <x:row r="7">
      <x:c r="A7" s="107" t="n">
        <x:f>3</x:f>
        <x:v>3</x:v>
      </x:c>
      <x:c r="B7" s="108" t="n">
        <x:f>'Monthly Cash Flow'!D30</x:f>
        <x:v>1906988.8120329245</x:v>
      </x:c>
      <x:c r="C7" s="108" t="n">
        <x:f>-SUM('Monthly Cash Flow'!E30:E41)</x:f>
        <x:v>127995.08726572178</x:v>
      </x:c>
      <x:c r="D7" s="108" t="n">
        <x:f>SUM('Monthly Cash Flow'!F30:F41)-SUM('Monthly Cash Flow'!R30:R41)</x:f>
        <x:v>23776.867331240595</x:v>
      </x:c>
      <x:c r="E7" s="108" t="n">
        <x:f>-SUM('Monthly Cash Flow'!G30:G41)</x:f>
        <x:v>104218.2199344812</x:v>
      </x:c>
      <x:c r="F7" s="108" t="n">
        <x:f>'Monthly Cash Flow'!T41</x:f>
        <x:v>1883211.9447016837</x:v>
      </x:c>
      <x:c r="G7" s="125" t="n">
        <x:f>IFERROR('Annual Cash Flow'!H7/E7,0)</x:f>
        <x:v>2.189705683166215</x:v>
      </x:c>
    </x:row>
    <x:row r="8">
      <x:c r="A8" s="107" t="n">
        <x:f>4</x:f>
        <x:v>4</x:v>
      </x:c>
      <x:c r="B8" s="108" t="n">
        <x:f>'Monthly Cash Flow'!D42</x:f>
        <x:v>1883211.9447016837</x:v>
      </x:c>
      <x:c r="C8" s="108" t="n">
        <x:f>-SUM('Monthly Cash Flow'!E42:E53)</x:f>
        <x:v>126339.55305530588</x:v>
      </x:c>
      <x:c r="D8" s="108" t="n">
        <x:f>SUM('Monthly Cash Flow'!F42:F53)-SUM('Monthly Cash Flow'!R42:R53)</x:f>
        <x:v>25432.40154165651</x:v>
      </x:c>
      <x:c r="E8" s="108" t="n">
        <x:f>-SUM('Monthly Cash Flow'!G42:G53)</x:f>
        <x:v>100907.15151364938</x:v>
      </x:c>
      <x:c r="F8" s="108" t="n">
        <x:f>'Monthly Cash Flow'!T53</x:f>
        <x:v>1857779.5431600274</x:v>
      </x:c>
      <x:c r="G8" s="125" t="n">
        <x:f>IFERROR('Annual Cash Flow'!H8/E8,0)</x:f>
        <x:v>2.3294032366239685</x:v>
      </x:c>
    </x:row>
    <x:row r="9">
      <x:c r="A9" s="109" t="n">
        <x:f>5</x:f>
        <x:v>5</x:v>
      </x:c>
      <x:c r="B9" s="110" t="n">
        <x:f>'Monthly Cash Flow'!D54</x:f>
        <x:v>1857779.5431600274</x:v>
      </x:c>
      <x:c r="C9" s="110" t="n">
        <x:f>-SUM('Monthly Cash Flow'!E54:E65)</x:f>
        <x:v>124568.74741389469</x:v>
      </x:c>
      <x:c r="D9" s="110" t="n">
        <x:f>SUM('Monthly Cash Flow'!F54:F65)-SUM('Monthly Cash Flow'!R54:R65)</x:f>
        <x:v>1857779.5431600276</x:v>
      </x:c>
      <x:c r="E9" s="110" t="n">
        <x:f>-SUM('Monthly Cash Flow'!G54:G65)</x:f>
        <x:v>97365.54023082697</x:v>
      </x:c>
      <x:c r="F9" s="110" t="n">
        <x:f>'Monthly Cash Flow'!T65</x:f>
        <x:v>0</x:v>
      </x:c>
      <x:c r="G9" s="126" t="n">
        <x:f>IFERROR('Annual Cash Flow'!H9/E9,0)</x:f>
        <x:v>2.4865578532247374</x:v>
      </x:c>
    </x:row>
  </x:sheetData>
  <x:mergeCells>
    <x:mergeCell ref="A1:G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6" t="str">
        <x:v>Sensitivities</x:v>
      </x:c>
    </x:row>
    <x:row r="2">
      <x:c r="A2" s="27" t="str">
        <x:v>Formula-driven exit value and debt-service coverage matrices.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4">
      <x:c r="A4" s="12" t="str">
        <x:v>NET EXIT EQUITY — RENT CHANGE VS. EXIT CAP RATE</x:v>
      </x:c>
      <x:c r="B4" s="12"/>
      <x:c r="C4" s="12"/>
      <x:c r="D4" s="12"/>
      <x:c r="E4" s="12"/>
      <x:c r="F4" s="12"/>
      <x:c r="G4" s="12"/>
      <x:c r="H4" s="12"/>
    </x:row>
    <x:row r="5">
      <x:c r="A5" t="str">
        <x:v>Exit Cap / Rent</x:v>
      </x:c>
      <x:c r="B5" s="127" t="n">
        <x:v>-0.1</x:v>
      </x:c>
      <x:c r="C5" s="127" t="n">
        <x:v>-0.05</x:v>
      </x:c>
      <x:c r="D5" s="127" t="n">
        <x:v>0</x:v>
      </x:c>
      <x:c r="E5" s="127" t="n">
        <x:v>0.05</x:v>
      </x:c>
      <x:c r="F5" s="127" t="n">
        <x:v>0.1</x:v>
      </x:c>
      <x:c r="G5" s="127" t="n">
        <x:v>0.15</x:v>
      </x:c>
      <x:c r="H5" s="127" t="n">
        <x:v>0.2</x:v>
      </x:c>
    </x:row>
    <x:row r="6">
      <x:c r="A6" s="127" t="n">
        <x:v>0.055</x:v>
      </x:c>
      <x:c r="B6" s="88" t="n">
        <x:f>(('Executive Summary'!$B$13*(1+B$5)*(1+'Assumptions'!$B$29)^('Assumptions'!$B$14/12))/$A6)*(1-'Assumptions'!$B$42)-'Debt Schedule'!$F$9</x:f>
        <x:v>3835736.3151155305</x:v>
      </x:c>
      <x:c r="C6" s="88" t="n">
        <x:f>(('Executive Summary'!$B$13*(1+C$5)*(1+'Assumptions'!$B$29)^('Assumptions'!$B$14/12))/$A6)*(1-'Assumptions'!$B$42)-'Debt Schedule'!$F$9</x:f>
        <x:v>4048832.777066393</x:v>
      </x:c>
      <x:c r="D6" s="88" t="n">
        <x:f>(('Executive Summary'!$B$13*(1+D$5)*(1+'Assumptions'!$B$29)^('Assumptions'!$B$14/12))/$A6)*(1-'Assumptions'!$B$42)-'Debt Schedule'!$F$9</x:f>
        <x:v>4261929.239017256</x:v>
      </x:c>
      <x:c r="E6" s="88" t="n">
        <x:f>(('Executive Summary'!$B$13*(1+E$5)*(1+'Assumptions'!$B$29)^('Assumptions'!$B$14/12))/$A6)*(1-'Assumptions'!$B$42)-'Debt Schedule'!$F$9</x:f>
        <x:v>4475025.700968119</x:v>
      </x:c>
      <x:c r="F6" s="88" t="n">
        <x:f>(('Executive Summary'!$B$13*(1+F$5)*(1+'Assumptions'!$B$29)^('Assumptions'!$B$14/12))/$A6)*(1-'Assumptions'!$B$42)-'Debt Schedule'!$F$9</x:f>
        <x:v>4688122.162918982</x:v>
      </x:c>
      <x:c r="G6" s="88" t="n">
        <x:f>(('Executive Summary'!$B$13*(1+G$5)*(1+'Assumptions'!$B$29)^('Assumptions'!$B$14/12))/$A6)*(1-'Assumptions'!$B$42)-'Debt Schedule'!$F$9</x:f>
        <x:v>4901218.624869844</x:v>
      </x:c>
      <x:c r="H6" s="88" t="n">
        <x:f>(('Executive Summary'!$B$13*(1+H$5)*(1+'Assumptions'!$B$29)^('Assumptions'!$B$14/12))/$A6)*(1-'Assumptions'!$B$42)-'Debt Schedule'!$F$9</x:f>
        <x:v>5114315.086820707</x:v>
      </x:c>
    </x:row>
    <x:row r="7">
      <x:c r="A7" s="127" t="n">
        <x:v>0.06</x:v>
      </x:c>
      <x:c r="B7" s="88" t="n">
        <x:f>(('Executive Summary'!$B$13*(1+B$5)*(1+'Assumptions'!$B$29)^('Assumptions'!$B$14/12))/$A7)*(1-'Assumptions'!$B$42)-'Debt Schedule'!$F$9</x:f>
        <x:v>3516091.6221892363</x:v>
      </x:c>
      <x:c r="C7" s="88" t="n">
        <x:f>(('Executive Summary'!$B$13*(1+C$5)*(1+'Assumptions'!$B$29)^('Assumptions'!$B$14/12))/$A7)*(1-'Assumptions'!$B$42)-'Debt Schedule'!$F$9</x:f>
        <x:v>3711430.0456441934</x:v>
      </x:c>
      <x:c r="D7" s="88" t="n">
        <x:f>(('Executive Summary'!$B$13*(1+D$5)*(1+'Assumptions'!$B$29)^('Assumptions'!$B$14/12))/$A7)*(1-'Assumptions'!$B$42)-'Debt Schedule'!$F$9</x:f>
        <x:v>3906768.4690991514</x:v>
      </x:c>
      <x:c r="E7" s="88" t="n">
        <x:f>(('Executive Summary'!$B$13*(1+E$5)*(1+'Assumptions'!$B$29)^('Assumptions'!$B$14/12))/$A7)*(1-'Assumptions'!$B$42)-'Debt Schedule'!$F$9</x:f>
        <x:v>4102106.89255411</x:v>
      </x:c>
      <x:c r="F7" s="88" t="n">
        <x:f>(('Executive Summary'!$B$13*(1+F$5)*(1+'Assumptions'!$B$29)^('Assumptions'!$B$14/12))/$A7)*(1-'Assumptions'!$B$42)-'Debt Schedule'!$F$9</x:f>
        <x:v>4297445.316009067</x:v>
      </x:c>
      <x:c r="G7" s="88" t="n">
        <x:f>(('Executive Summary'!$B$13*(1+G$5)*(1+'Assumptions'!$B$29)^('Assumptions'!$B$14/12))/$A7)*(1-'Assumptions'!$B$42)-'Debt Schedule'!$F$9</x:f>
        <x:v>4492783.739464024</x:v>
      </x:c>
      <x:c r="H7" s="88" t="n">
        <x:f>(('Executive Summary'!$B$13*(1+H$5)*(1+'Assumptions'!$B$29)^('Assumptions'!$B$14/12))/$A7)*(1-'Assumptions'!$B$42)-'Debt Schedule'!$F$9</x:f>
        <x:v>4688122.162918981</x:v>
      </x:c>
    </x:row>
    <x:row r="8">
      <x:c r="A8" s="127" t="n">
        <x:v>0.065</x:v>
      </x:c>
      <x:c r="B8" s="88" t="n">
        <x:f>(('Executive Summary'!$B$13*(1+B$5)*(1+'Assumptions'!$B$29)^('Assumptions'!$B$14/12))/$A8)*(1-'Assumptions'!$B$42)-'Debt Schedule'!$F$9</x:f>
        <x:v>3245623.0358669874</x:v>
      </x:c>
      <x:c r="C8" s="88" t="n">
        <x:f>(('Executive Summary'!$B$13*(1+C$5)*(1+'Assumptions'!$B$29)^('Assumptions'!$B$14/12))/$A8)*(1-'Assumptions'!$B$42)-'Debt Schedule'!$F$9</x:f>
        <x:v>3425935.4267484862</x:v>
      </x:c>
      <x:c r="D8" s="88" t="n">
        <x:f>(('Executive Summary'!$B$13*(1+D$5)*(1+'Assumptions'!$B$29)^('Assumptions'!$B$14/12))/$A8)*(1-'Assumptions'!$B$42)-'Debt Schedule'!$F$9</x:f>
        <x:v>3606247.8176299855</x:v>
      </x:c>
      <x:c r="E8" s="88" t="n">
        <x:f>(('Executive Summary'!$B$13*(1+E$5)*(1+'Assumptions'!$B$29)^('Assumptions'!$B$14/12))/$A8)*(1-'Assumptions'!$B$42)-'Debt Schedule'!$F$9</x:f>
        <x:v>3786560.2085114853</x:v>
      </x:c>
      <x:c r="F8" s="88" t="n">
        <x:f>(('Executive Summary'!$B$13*(1+F$5)*(1+'Assumptions'!$B$29)^('Assumptions'!$B$14/12))/$A8)*(1-'Assumptions'!$B$42)-'Debt Schedule'!$F$9</x:f>
        <x:v>3966872.599392985</x:v>
      </x:c>
      <x:c r="G8" s="88" t="n">
        <x:f>(('Executive Summary'!$B$13*(1+G$5)*(1+'Assumptions'!$B$29)^('Assumptions'!$B$14/12))/$A8)*(1-'Assumptions'!$B$42)-'Debt Schedule'!$F$9</x:f>
        <x:v>4147184.9902744833</x:v>
      </x:c>
      <x:c r="H8" s="88" t="n">
        <x:f>(('Executive Summary'!$B$13*(1+H$5)*(1+'Assumptions'!$B$29)^('Assumptions'!$B$14/12))/$A8)*(1-'Assumptions'!$B$42)-'Debt Schedule'!$F$9</x:f>
        <x:v>4327497.381155983</x:v>
      </x:c>
    </x:row>
    <x:row r="9">
      <x:c r="A9" s="127" t="n">
        <x:v>0.07</x:v>
      </x:c>
      <x:c r="B9" s="88" t="n">
        <x:f>(('Executive Summary'!$B$13*(1+B$5)*(1+'Assumptions'!$B$29)^('Assumptions'!$B$14/12))/$A9)*(1-'Assumptions'!$B$42)-'Debt Schedule'!$F$9</x:f>
        <x:v>3013792.819019345</x:v>
      </x:c>
      <x:c r="C9" s="88" t="n">
        <x:f>(('Executive Summary'!$B$13*(1+C$5)*(1+'Assumptions'!$B$29)^('Assumptions'!$B$14/12))/$A9)*(1-'Assumptions'!$B$42)-'Debt Schedule'!$F$9</x:f>
        <x:v>3181225.7534093084</x:v>
      </x:c>
      <x:c r="D9" s="88" t="n">
        <x:f>(('Executive Summary'!$B$13*(1+D$5)*(1+'Assumptions'!$B$29)^('Assumptions'!$B$14/12))/$A9)*(1-'Assumptions'!$B$42)-'Debt Schedule'!$F$9</x:f>
        <x:v>3348658.687799272</x:v>
      </x:c>
      <x:c r="E9" s="88" t="n">
        <x:f>(('Executive Summary'!$B$13*(1+E$5)*(1+'Assumptions'!$B$29)^('Assumptions'!$B$14/12))/$A9)*(1-'Assumptions'!$B$42)-'Debt Schedule'!$F$9</x:f>
        <x:v>3516091.622189236</x:v>
      </x:c>
      <x:c r="F9" s="88" t="n">
        <x:f>(('Executive Summary'!$B$13*(1+F$5)*(1+'Assumptions'!$B$29)^('Assumptions'!$B$14/12))/$A9)*(1-'Assumptions'!$B$42)-'Debt Schedule'!$F$9</x:f>
        <x:v>3683524.5565792</x:v>
      </x:c>
      <x:c r="G9" s="88" t="n">
        <x:f>(('Executive Summary'!$B$13*(1+G$5)*(1+'Assumptions'!$B$29)^('Assumptions'!$B$14/12))/$A9)*(1-'Assumptions'!$B$42)-'Debt Schedule'!$F$9</x:f>
        <x:v>3850957.490969163</x:v>
      </x:c>
      <x:c r="H9" s="88" t="n">
        <x:f>(('Executive Summary'!$B$13*(1+H$5)*(1+'Assumptions'!$B$29)^('Assumptions'!$B$14/12))/$A9)*(1-'Assumptions'!$B$42)-'Debt Schedule'!$F$9</x:f>
        <x:v>4018390.4253591266</x:v>
      </x:c>
    </x:row>
    <x:row r="10">
      <x:c r="A10" s="127" t="n">
        <x:v>0.075</x:v>
      </x:c>
      <x:c r="B10" s="88" t="n">
        <x:f>(('Executive Summary'!$B$13*(1+B$5)*(1+'Assumptions'!$B$29)^('Assumptions'!$B$14/12))/$A10)*(1-'Assumptions'!$B$42)-'Debt Schedule'!$F$9</x:f>
        <x:v>2812873.297751389</x:v>
      </x:c>
      <x:c r="C10" s="88" t="n">
        <x:f>(('Executive Summary'!$B$13*(1+C$5)*(1+'Assumptions'!$B$29)^('Assumptions'!$B$14/12))/$A10)*(1-'Assumptions'!$B$42)-'Debt Schedule'!$F$9</x:f>
        <x:v>2969144.0365153546</x:v>
      </x:c>
      <x:c r="D10" s="88" t="n">
        <x:f>(('Executive Summary'!$B$13*(1+D$5)*(1+'Assumptions'!$B$29)^('Assumptions'!$B$14/12))/$A10)*(1-'Assumptions'!$B$42)-'Debt Schedule'!$F$9</x:f>
        <x:v>3125414.7752793212</x:v>
      </x:c>
      <x:c r="E10" s="88" t="n">
        <x:f>(('Executive Summary'!$B$13*(1+E$5)*(1+'Assumptions'!$B$29)^('Assumptions'!$B$14/12))/$A10)*(1-'Assumptions'!$B$42)-'Debt Schedule'!$F$9</x:f>
        <x:v>3281685.514043288</x:v>
      </x:c>
      <x:c r="F10" s="88" t="n">
        <x:f>(('Executive Summary'!$B$13*(1+F$5)*(1+'Assumptions'!$B$29)^('Assumptions'!$B$14/12))/$A10)*(1-'Assumptions'!$B$42)-'Debt Schedule'!$F$9</x:f>
        <x:v>3437956.252807254</x:v>
      </x:c>
      <x:c r="G10" s="88" t="n">
        <x:f>(('Executive Summary'!$B$13*(1+G$5)*(1+'Assumptions'!$B$29)^('Assumptions'!$B$14/12))/$A10)*(1-'Assumptions'!$B$42)-'Debt Schedule'!$F$9</x:f>
        <x:v>3594226.991571219</x:v>
      </x:c>
      <x:c r="H10" s="88" t="n">
        <x:f>(('Executive Summary'!$B$13*(1+H$5)*(1+'Assumptions'!$B$29)^('Assumptions'!$B$14/12))/$A10)*(1-'Assumptions'!$B$42)-'Debt Schedule'!$F$9</x:f>
        <x:v>3750497.7303351853</x:v>
      </x:c>
    </x:row>
    <x:row r="11">
      <x:c r="A11" s="127" t="n">
        <x:v>0.08</x:v>
      </x:c>
      <x:c r="B11" s="88" t="n">
        <x:f>(('Executive Summary'!$B$13*(1+B$5)*(1+'Assumptions'!$B$29)^('Assumptions'!$B$14/12))/$A11)*(1-'Assumptions'!$B$42)-'Debt Schedule'!$F$9</x:f>
        <x:v>2637068.716641927</x:v>
      </x:c>
      <x:c r="C11" s="88" t="n">
        <x:f>(('Executive Summary'!$B$13*(1+C$5)*(1+'Assumptions'!$B$29)^('Assumptions'!$B$14/12))/$A11)*(1-'Assumptions'!$B$42)-'Debt Schedule'!$F$9</x:f>
        <x:v>2783572.534233145</x:v>
      </x:c>
      <x:c r="D11" s="88" t="n">
        <x:f>(('Executive Summary'!$B$13*(1+D$5)*(1+'Assumptions'!$B$29)^('Assumptions'!$B$14/12))/$A11)*(1-'Assumptions'!$B$42)-'Debt Schedule'!$F$9</x:f>
        <x:v>2930076.3518243637</x:v>
      </x:c>
      <x:c r="E11" s="88" t="n">
        <x:f>(('Executive Summary'!$B$13*(1+E$5)*(1+'Assumptions'!$B$29)^('Assumptions'!$B$14/12))/$A11)*(1-'Assumptions'!$B$42)-'Debt Schedule'!$F$9</x:f>
        <x:v>3076580.169415582</x:v>
      </x:c>
      <x:c r="F11" s="88" t="n">
        <x:f>(('Executive Summary'!$B$13*(1+F$5)*(1+'Assumptions'!$B$29)^('Assumptions'!$B$14/12))/$A11)*(1-'Assumptions'!$B$42)-'Debt Schedule'!$F$9</x:f>
        <x:v>3223083.9870068002</x:v>
      </x:c>
      <x:c r="G11" s="88" t="n">
        <x:f>(('Executive Summary'!$B$13*(1+G$5)*(1+'Assumptions'!$B$29)^('Assumptions'!$B$14/12))/$A11)*(1-'Assumptions'!$B$42)-'Debt Schedule'!$F$9</x:f>
        <x:v>3369587.804598018</x:v>
      </x:c>
      <x:c r="H11" s="88" t="n">
        <x:f>(('Executive Summary'!$B$13*(1+H$5)*(1+'Assumptions'!$B$29)^('Assumptions'!$B$14/12))/$A11)*(1-'Assumptions'!$B$42)-'Debt Schedule'!$F$9</x:f>
        <x:v>3516091.622189236</x:v>
      </x:c>
    </x:row>
    <x:row r="12">
      <x:c r="A12" s="127" t="n">
        <x:v>0.085</x:v>
      </x:c>
      <x:c r="B12" s="88" t="n">
        <x:f>(('Executive Summary'!$B$13*(1+B$5)*(1+'Assumptions'!$B$29)^('Assumptions'!$B$14/12))/$A12)*(1-'Assumptions'!$B$42)-'Debt Schedule'!$F$9</x:f>
        <x:v>2481947.0274276957</x:v>
      </x:c>
      <x:c r="C12" s="88" t="n">
        <x:f>(('Executive Summary'!$B$13*(1+C$5)*(1+'Assumptions'!$B$29)^('Assumptions'!$B$14/12))/$A12)*(1-'Assumptions'!$B$42)-'Debt Schedule'!$F$9</x:f>
        <x:v>2619832.9733959013</x:v>
      </x:c>
      <x:c r="D12" s="88" t="n">
        <x:f>(('Executive Summary'!$B$13*(1+D$5)*(1+'Assumptions'!$B$29)^('Assumptions'!$B$14/12))/$A12)*(1-'Assumptions'!$B$42)-'Debt Schedule'!$F$9</x:f>
        <x:v>2757718.919364107</x:v>
      </x:c>
      <x:c r="E12" s="88" t="n">
        <x:f>(('Executive Summary'!$B$13*(1+E$5)*(1+'Assumptions'!$B$29)^('Assumptions'!$B$14/12))/$A12)*(1-'Assumptions'!$B$42)-'Debt Schedule'!$F$9</x:f>
        <x:v>2895604.8653323124</x:v>
      </x:c>
      <x:c r="F12" s="88" t="n">
        <x:f>(('Executive Summary'!$B$13*(1+F$5)*(1+'Assumptions'!$B$29)^('Assumptions'!$B$14/12))/$A12)*(1-'Assumptions'!$B$42)-'Debt Schedule'!$F$9</x:f>
        <x:v>3033490.811300518</x:v>
      </x:c>
      <x:c r="G12" s="88" t="n">
        <x:f>(('Executive Summary'!$B$13*(1+G$5)*(1+'Assumptions'!$B$29)^('Assumptions'!$B$14/12))/$A12)*(1-'Assumptions'!$B$42)-'Debt Schedule'!$F$9</x:f>
        <x:v>3171376.757268722</x:v>
      </x:c>
      <x:c r="H12" s="88" t="n">
        <x:f>(('Executive Summary'!$B$13*(1+H$5)*(1+'Assumptions'!$B$29)^('Assumptions'!$B$14/12))/$A12)*(1-'Assumptions'!$B$42)-'Debt Schedule'!$F$9</x:f>
        <x:v>3309262.7032369277</x:v>
      </x:c>
    </x:row>
    <x:row r="15">
      <x:c r="A15" s="12" t="str">
        <x:v>YEAR-ONE DSCR — LTV VS. INTEREST RATE</x:v>
      </x:c>
      <x:c r="B15" s="12"/>
      <x:c r="C15" s="12"/>
      <x:c r="D15" s="12"/>
      <x:c r="E15" s="12"/>
      <x:c r="F15" s="12"/>
      <x:c r="G15" s="12"/>
      <x:c r="H15" s="12"/>
    </x:row>
    <x:row r="16">
      <x:c r="A16" t="str">
        <x:v>Rate / LTV</x:v>
      </x:c>
      <x:c r="B16" s="127" t="n">
        <x:v>0.5</x:v>
      </x:c>
      <x:c r="C16" s="127" t="n">
        <x:v>0.55</x:v>
      </x:c>
      <x:c r="D16" s="127" t="n">
        <x:v>0.6</x:v>
      </x:c>
      <x:c r="E16" s="127" t="n">
        <x:v>0.65</x:v>
      </x:c>
      <x:c r="F16" s="127" t="n">
        <x:v>0.7</x:v>
      </x:c>
      <x:c r="G16" s="127" t="n">
        <x:v>0.75</x:v>
      </x:c>
      <x:c r="H16" s="127" t="n">
        <x:v>0.8</x:v>
      </x:c>
    </x:row>
    <x:row r="17">
      <x:c r="A17" s="127" t="n">
        <x:v>0.05</x:v>
      </x:c>
      <x:c r="B17" s="123" t="n">
        <x:f>IFERROR('Executive Summary'!$B$13/(-PMT($A17/12,'Assumptions'!$B$35*12,'Assumptions'!$B$10*B$16)*12),0)</x:f>
        <x:v>2.226139836347421</x:v>
      </x:c>
      <x:c r="C17" s="123" t="n">
        <x:f>IFERROR('Executive Summary'!$B$13/(-PMT($A17/12,'Assumptions'!$B$35*12,'Assumptions'!$B$10*C$16)*12),0)</x:f>
        <x:v>2.0237634875885644</x:v>
      </x:c>
      <x:c r="D17" s="123" t="n">
        <x:f>IFERROR('Executive Summary'!$B$13/(-PMT($A17/12,'Assumptions'!$B$35*12,'Assumptions'!$B$10*D$16)*12),0)</x:f>
        <x:v>1.8551165302895172</x:v>
      </x:c>
      <x:c r="E17" s="123" t="n">
        <x:f>IFERROR('Executive Summary'!$B$13/(-PMT($A17/12,'Assumptions'!$B$35*12,'Assumptions'!$B$10*E$16)*12),0)</x:f>
        <x:v>1.7124152587287853</x:v>
      </x:c>
      <x:c r="F17" s="123" t="n">
        <x:f>IFERROR('Executive Summary'!$B$13/(-PMT($A17/12,'Assumptions'!$B$35*12,'Assumptions'!$B$10*F$16)*12),0)</x:f>
        <x:v>1.5900998831053008</x:v>
      </x:c>
      <x:c r="G17" s="123" t="n">
        <x:f>IFERROR('Executive Summary'!$B$13/(-PMT($A17/12,'Assumptions'!$B$35*12,'Assumptions'!$B$10*G$16)*12),0)</x:f>
        <x:v>1.4840932242316138</x:v>
      </x:c>
      <x:c r="H17" s="123" t="n">
        <x:f>IFERROR('Executive Summary'!$B$13/(-PMT($A17/12,'Assumptions'!$B$35*12,'Assumptions'!$B$10*H$16)*12),0)</x:f>
        <x:v>1.3913373977171384</x:v>
      </x:c>
    </x:row>
    <x:row r="18">
      <x:c r="A18" s="127" t="n">
        <x:v>0.055</x:v>
      </x:c>
      <x:c r="B18" s="123" t="n">
        <x:f>IFERROR('Executive Summary'!$B$13/(-PMT($A18/12,'Assumptions'!$B$35*12,'Assumptions'!$B$10*B$16)*12),0)</x:f>
        <x:v>2.1047255180444293</x:v>
      </x:c>
      <x:c r="C18" s="123" t="n">
        <x:f>IFERROR('Executive Summary'!$B$13/(-PMT($A18/12,'Assumptions'!$B$35*12,'Assumptions'!$B$10*C$16)*12),0)</x:f>
        <x:v>1.913386834585845</x:v>
      </x:c>
      <x:c r="D18" s="123" t="n">
        <x:f>IFERROR('Executive Summary'!$B$13/(-PMT($A18/12,'Assumptions'!$B$35*12,'Assumptions'!$B$10*D$16)*12),0)</x:f>
        <x:v>1.7539379317036912</x:v>
      </x:c>
      <x:c r="E18" s="123" t="n">
        <x:f>IFERROR('Executive Summary'!$B$13/(-PMT($A18/12,'Assumptions'!$B$35*12,'Assumptions'!$B$10*E$16)*12),0)</x:f>
        <x:v>1.6190196292649461</x:v>
      </x:c>
      <x:c r="F18" s="123" t="n">
        <x:f>IFERROR('Executive Summary'!$B$13/(-PMT($A18/12,'Assumptions'!$B$35*12,'Assumptions'!$B$10*F$16)*12),0)</x:f>
        <x:v>1.5033753700317354</x:v>
      </x:c>
      <x:c r="G18" s="123" t="n">
        <x:f>IFERROR('Executive Summary'!$B$13/(-PMT($A18/12,'Assumptions'!$B$35*12,'Assumptions'!$B$10*G$16)*12),0)</x:f>
        <x:v>1.4031503453629532</x:v>
      </x:c>
      <x:c r="H18" s="123" t="n">
        <x:f>IFERROR('Executive Summary'!$B$13/(-PMT($A18/12,'Assumptions'!$B$35*12,'Assumptions'!$B$10*H$16)*12),0)</x:f>
        <x:v>1.3154534487777685</x:v>
      </x:c>
    </x:row>
    <x:row r="19">
      <x:c r="A19" s="127" t="n">
        <x:v>0.06</x:v>
      </x:c>
      <x:c r="B19" s="123" t="n">
        <x:f>IFERROR('Executive Summary'!$B$13/(-PMT($A19/12,'Assumptions'!$B$35*12,'Assumptions'!$B$10*B$16)*12),0)</x:f>
        <x:v>1.9932265086341638</x:v>
      </x:c>
      <x:c r="C19" s="123" t="n">
        <x:f>IFERROR('Executive Summary'!$B$13/(-PMT($A19/12,'Assumptions'!$B$35*12,'Assumptions'!$B$10*C$16)*12),0)</x:f>
        <x:v>1.8120240987583303</x:v>
      </x:c>
      <x:c r="D19" s="123" t="n">
        <x:f>IFERROR('Executive Summary'!$B$13/(-PMT($A19/12,'Assumptions'!$B$35*12,'Assumptions'!$B$10*D$16)*12),0)</x:f>
        <x:v>1.6610220905284698</x:v>
      </x:c>
      <x:c r="E19" s="123" t="n">
        <x:f>IFERROR('Executive Summary'!$B$13/(-PMT($A19/12,'Assumptions'!$B$35*12,'Assumptions'!$B$10*E$16)*12),0)</x:f>
        <x:v>1.5332511604878183</x:v>
      </x:c>
      <x:c r="F19" s="123" t="n">
        <x:f>IFERROR('Executive Summary'!$B$13/(-PMT($A19/12,'Assumptions'!$B$35*12,'Assumptions'!$B$10*F$16)*12),0)</x:f>
        <x:v>1.4237332204529742</x:v>
      </x:c>
      <x:c r="G19" s="123" t="n">
        <x:f>IFERROR('Executive Summary'!$B$13/(-PMT($A19/12,'Assumptions'!$B$35*12,'Assumptions'!$B$10*G$16)*12),0)</x:f>
        <x:v>1.328817672422776</x:v>
      </x:c>
      <x:c r="H19" s="123" t="n">
        <x:f>IFERROR('Executive Summary'!$B$13/(-PMT($A19/12,'Assumptions'!$B$35*12,'Assumptions'!$B$10*H$16)*12),0)</x:f>
        <x:v>1.2457665678963523</x:v>
      </x:c>
    </x:row>
    <x:row r="20">
      <x:c r="A20" s="127" t="n">
        <x:v>0.065</x:v>
      </x:c>
      <x:c r="B20" s="123" t="n">
        <x:f>IFERROR('Executive Summary'!$B$13/(-PMT($A20/12,'Assumptions'!$B$35*12,'Assumptions'!$B$10*B$16)*12),0)</x:f>
        <x:v>1.890682577795843</x:v>
      </x:c>
      <x:c r="C20" s="123" t="n">
        <x:f>IFERROR('Executive Summary'!$B$13/(-PMT($A20/12,'Assumptions'!$B$35*12,'Assumptions'!$B$10*C$16)*12),0)</x:f>
        <x:v>1.718802343450766</x:v>
      </x:c>
      <x:c r="D20" s="123" t="n">
        <x:f>IFERROR('Executive Summary'!$B$13/(-PMT($A20/12,'Assumptions'!$B$35*12,'Assumptions'!$B$10*D$16)*12),0)</x:f>
        <x:v>1.5755688148298692</x:v>
      </x:c>
      <x:c r="E20" s="123" t="n">
        <x:f>IFERROR('Executive Summary'!$B$13/(-PMT($A20/12,'Assumptions'!$B$35*12,'Assumptions'!$B$10*E$16)*12),0)</x:f>
        <x:v>1.45437121368911</x:v>
      </x:c>
      <x:c r="F20" s="123" t="n">
        <x:f>IFERROR('Executive Summary'!$B$13/(-PMT($A20/12,'Assumptions'!$B$35*12,'Assumptions'!$B$10*F$16)*12),0)</x:f>
        <x:v>1.3504875555684592</x:v>
      </x:c>
      <x:c r="G20" s="123" t="n">
        <x:f>IFERROR('Executive Summary'!$B$13/(-PMT($A20/12,'Assumptions'!$B$35*12,'Assumptions'!$B$10*G$16)*12),0)</x:f>
        <x:v>1.2604550518638953</x:v>
      </x:c>
      <x:c r="H20" s="123" t="n">
        <x:f>IFERROR('Executive Summary'!$B$13/(-PMT($A20/12,'Assumptions'!$B$35*12,'Assumptions'!$B$10*H$16)*12),0)</x:f>
        <x:v>1.1816766111224017</x:v>
      </x:c>
    </x:row>
    <x:row r="21">
      <x:c r="A21" s="127" t="n">
        <x:v>0.07</x:v>
      </x:c>
      <x:c r="B21" s="123" t="n">
        <x:f>IFERROR('Executive Summary'!$B$13/(-PMT($A21/12,'Assumptions'!$B$35*12,'Assumptions'!$B$10*B$16)*12),0)</x:f>
        <x:v>1.7962355600036413</x:v>
      </x:c>
      <x:c r="C21" s="123" t="n">
        <x:f>IFERROR('Executive Summary'!$B$13/(-PMT($A21/12,'Assumptions'!$B$35*12,'Assumptions'!$B$10*C$16)*12),0)</x:f>
        <x:v>1.6329414181851283</x:v>
      </x:c>
      <x:c r="D21" s="123" t="n">
        <x:f>IFERROR('Executive Summary'!$B$13/(-PMT($A21/12,'Assumptions'!$B$35*12,'Assumptions'!$B$10*D$16)*12),0)</x:f>
        <x:v>1.4968629666697013</x:v>
      </x:c>
      <x:c r="E21" s="123" t="n">
        <x:f>IFERROR('Executive Summary'!$B$13/(-PMT($A21/12,'Assumptions'!$B$35*12,'Assumptions'!$B$10*E$16)*12),0)</x:f>
        <x:v>1.3817196615412626</x:v>
      </x:c>
      <x:c r="F21" s="123" t="n">
        <x:f>IFERROR('Executive Summary'!$B$13/(-PMT($A21/12,'Assumptions'!$B$35*12,'Assumptions'!$B$10*F$16)*12),0)</x:f>
        <x:v>1.283025400002601</x:v>
      </x:c>
      <x:c r="G21" s="123" t="n">
        <x:f>IFERROR('Executive Summary'!$B$13/(-PMT($A21/12,'Assumptions'!$B$35*12,'Assumptions'!$B$10*G$16)*12),0)</x:f>
        <x:v>1.1974903733357607</x:v>
      </x:c>
      <x:c r="H21" s="123" t="n">
        <x:f>IFERROR('Executive Summary'!$B$13/(-PMT($A21/12,'Assumptions'!$B$35*12,'Assumptions'!$B$10*H$16)*12),0)</x:f>
        <x:v>1.1226472250022759</x:v>
      </x:c>
    </x:row>
    <x:row r="22">
      <x:c r="A22" s="127" t="n">
        <x:v>0.075</x:v>
      </x:c>
      <x:c r="B22" s="123" t="n">
        <x:f>IFERROR('Executive Summary'!$B$13/(-PMT($A22/12,'Assumptions'!$B$35*12,'Assumptions'!$B$10*B$16)*12),0)</x:f>
        <x:v>1.709117853508891</x:v>
      </x:c>
      <x:c r="C22" s="123" t="n">
        <x:f>IFERROR('Executive Summary'!$B$13/(-PMT($A22/12,'Assumptions'!$B$35*12,'Assumptions'!$B$10*C$16)*12),0)</x:f>
        <x:v>1.553743503189901</x:v>
      </x:c>
      <x:c r="D22" s="123" t="n">
        <x:f>IFERROR('Executive Summary'!$B$13/(-PMT($A22/12,'Assumptions'!$B$35*12,'Assumptions'!$B$10*D$16)*12),0)</x:f>
        <x:v>1.4242648779240759</x:v>
      </x:c>
      <x:c r="E22" s="123" t="n">
        <x:f>IFERROR('Executive Summary'!$B$13/(-PMT($A22/12,'Assumptions'!$B$35*12,'Assumptions'!$B$10*E$16)*12),0)</x:f>
        <x:v>1.3147060411606855</x:v>
      </x:c>
      <x:c r="F22" s="123" t="n">
        <x:f>IFERROR('Executive Summary'!$B$13/(-PMT($A22/12,'Assumptions'!$B$35*12,'Assumptions'!$B$10*F$16)*12),0)</x:f>
        <x:v>1.220798466792065</x:v>
      </x:c>
      <x:c r="G22" s="123" t="n">
        <x:f>IFERROR('Executive Summary'!$B$13/(-PMT($A22/12,'Assumptions'!$B$35*12,'Assumptions'!$B$10*G$16)*12),0)</x:f>
        <x:v>1.1394119023392606</x:v>
      </x:c>
      <x:c r="H22" s="123" t="n">
        <x:f>IFERROR('Executive Summary'!$B$13/(-PMT($A22/12,'Assumptions'!$B$35*12,'Assumptions'!$B$10*H$16)*12),0)</x:f>
        <x:v>1.0681986584430567</x:v>
      </x:c>
    </x:row>
    <x:row r="23">
      <x:c r="A23" s="127" t="n">
        <x:v>0.08</x:v>
      </x:c>
      <x:c r="B23" s="123" t="n">
        <x:f>IFERROR('Executive Summary'!$B$13/(-PMT($A23/12,'Assumptions'!$B$35*12,'Assumptions'!$B$10*B$16)*12),0)</x:f>
        <x:v>1.6286422682985144</x:v>
      </x:c>
      <x:c r="C23" s="123" t="n">
        <x:f>IFERROR('Executive Summary'!$B$13/(-PMT($A23/12,'Assumptions'!$B$35*12,'Assumptions'!$B$10*C$16)*12),0)</x:f>
        <x:v>1.4805838802713767</x:v>
      </x:c>
      <x:c r="D23" s="123" t="n">
        <x:f>IFERROR('Executive Summary'!$B$13/(-PMT($A23/12,'Assumptions'!$B$35*12,'Assumptions'!$B$10*D$16)*12),0)</x:f>
        <x:v>1.3572018902487621</x:v>
      </x:c>
      <x:c r="E23" s="123" t="n">
        <x:f>IFERROR('Executive Summary'!$B$13/(-PMT($A23/12,'Assumptions'!$B$35*12,'Assumptions'!$B$10*E$16)*12),0)</x:f>
        <x:v>1.252801744845011</x:v>
      </x:c>
      <x:c r="F23" s="123" t="n">
        <x:f>IFERROR('Executive Summary'!$B$13/(-PMT($A23/12,'Assumptions'!$B$35*12,'Assumptions'!$B$10*F$16)*12),0)</x:f>
        <x:v>1.1633159059275102</x:v>
      </x:c>
      <x:c r="G23" s="123" t="n">
        <x:f>IFERROR('Executive Summary'!$B$13/(-PMT($A23/12,'Assumptions'!$B$35*12,'Assumptions'!$B$10*G$16)*12),0)</x:f>
        <x:v>1.0857615121990096</x:v>
      </x:c>
      <x:c r="H23" s="123" t="n">
        <x:f>IFERROR('Executive Summary'!$B$13/(-PMT($A23/12,'Assumptions'!$B$35*12,'Assumptions'!$B$10*H$16)*12),0)</x:f>
        <x:v>1.0179014176865717</x:v>
      </x:c>
    </x:row>
  </x:sheetData>
  <x:mergeCells>
    <x:mergeCell ref="A1:J1"/>
    <x:mergeCell ref="A2:J2"/>
    <x:mergeCell ref="A4:H4"/>
    <x:mergeCell ref="A15:H15"/>
  </x:mergeCells>
  <x:conditionalFormatting sqref="B6:H1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17:H2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34" customHeight="1">
      <x:c r="A1" s="26" t="str">
        <x:v>Monte Carlo — Reproducible Committee Case</x:v>
      </x:c>
    </x:row>
    <x:row r="2">
      <x:c r="A2" s="27" t="str">
        <x:v>1,000 deterministic pseudo-random triangular draws; refresh assumptions, not the formulas.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85" t="str">
        <x:v>Metric</x:v>
      </x:c>
      <x:c r="B3" s="86" t="str">
        <x:v>P10</x:v>
      </x:c>
      <x:c r="C3" s="86" t="str">
        <x:v>P25</x:v>
      </x:c>
      <x:c r="D3" s="86" t="str">
        <x:v>P50</x:v>
      </x:c>
      <x:c r="E3" s="86" t="str">
        <x:v>P75</x:v>
      </x:c>
      <x:c r="F3" s="86" t="str">
        <x:v>P90</x:v>
      </x:c>
      <x:c r="G3" s="86" t="str">
        <x:v>Mean</x:v>
      </x:c>
      <x:c r="H3" s="87" t="str">
        <x:v>Probability &gt; 0</x:v>
      </x:c>
    </x:row>
    <x:row r="4">
      <x:c r="A4" t="str">
        <x:v>Annualized return</x:v>
      </x:c>
      <x:c r="B4" s="127" t="n">
        <x:f>PERCENTILE($P$8:$P$1007,0.10)</x:f>
        <x:v>0.16132300361856</x:v>
      </x:c>
      <x:c r="C4" s="127" t="n">
        <x:f>PERCENTILE($P$8:$P$1007,0.25)</x:f>
        <x:v>0.18046759364844</x:v>
      </x:c>
      <x:c r="D4" s="127" t="n">
        <x:f>PERCENTILE($P$8:$P$1007,0.50)</x:f>
        <x:v>0.20153850641678</x:v>
      </x:c>
      <x:c r="E4" s="127" t="n">
        <x:f>PERCENTILE($P$8:$P$1007,0.75)</x:f>
        <x:v>0.22062187745685</x:v>
      </x:c>
      <x:c r="F4" s="127" t="n">
        <x:f>PERCENTILE($P$8:$P$1007,0.90)</x:f>
        <x:v>0.23937668792106</x:v>
      </x:c>
      <x:c r="G4" s="127" t="n">
        <x:f>AVERAGE($P$8:$P$1007)</x:f>
        <x:v>0.20047857854955844</x:v>
      </x:c>
      <x:c r="H4" s="127" t="n">
        <x:f>COUNTIF($P$8:$P$1007,"&gt;0")/COUNT($P$8:$P$1007)</x:f>
        <x:v>1</x:v>
      </x:c>
    </x:row>
    <x:row r="5">
      <x:c r="A5" t="str">
        <x:v>NPV</x:v>
      </x:c>
      <x:c r="B5" s="88" t="n">
        <x:f>PERCENTILE($Q$8:$Q$1007,0.10)</x:f>
        <x:v>396053.22854776174</x:v>
      </x:c>
      <x:c r="C5" s="88" t="n">
        <x:f>PERCENTILE($Q$8:$Q$1007,0.25)</x:f>
        <x:v>540978.8457224803</x:v>
      </x:c>
      <x:c r="D5" s="88" t="n">
        <x:f>PERCENTILE($Q$8:$Q$1007,0.50)</x:f>
        <x:v>718953.2127793782</x:v>
      </x:c>
      <x:c r="E5" s="88" t="n">
        <x:f>PERCENTILE($Q$8:$Q$1007,0.75)</x:f>
        <x:v>897010.6596141403</x:v>
      </x:c>
      <x:c r="F5" s="88" t="n">
        <x:f>PERCENTILE($Q$8:$Q$1007,0.90)</x:f>
        <x:v>1071142.462494415</x:v>
      </x:c>
      <x:c r="G5" s="88" t="n">
        <x:f>AVERAGE($Q$8:$Q$1007)</x:f>
        <x:v>725787.6681183365</x:v>
      </x:c>
      <x:c r="H5" s="127" t="n">
        <x:f>COUNTIF($Q$8:$Q$1007,"&gt;0")/COUNT($Q$8:$Q$1007)</x:f>
        <x:v>1</x:v>
      </x:c>
    </x:row>
    <x:row r="7">
      <x:c r="A7" s="128" t="str">
        <x:v>Iteration</x:v>
      </x:c>
      <x:c r="B7" s="129" t="str">
        <x:v>U Rent</x:v>
      </x:c>
      <x:c r="C7" s="129" t="str">
        <x:v>U Vacancy</x:v>
      </x:c>
      <x:c r="D7" s="129" t="str">
        <x:v>U Opex</x:v>
      </x:c>
      <x:c r="E7" s="129" t="str">
        <x:v>U Exit Cap</x:v>
      </x:c>
      <x:c r="F7" s="129" t="str">
        <x:v>U Interest</x:v>
      </x:c>
      <x:c r="G7" s="129" t="str">
        <x:v>Rent Change</x:v>
      </x:c>
      <x:c r="H7" s="129" t="str">
        <x:v>Vacancy</x:v>
      </x:c>
      <x:c r="I7" s="129" t="str">
        <x:v>Opex Change</x:v>
      </x:c>
      <x:c r="J7" s="129" t="str">
        <x:v>Exit Cap</x:v>
      </x:c>
      <x:c r="K7" s="129" t="str">
        <x:v>Interest Rate</x:v>
      </x:c>
      <x:c r="L7" s="129" t="str">
        <x:v>NOI</x:v>
      </x:c>
      <x:c r="M7" s="129" t="str">
        <x:v>Loan Amount</x:v>
      </x:c>
      <x:c r="N7" s="129" t="str">
        <x:v>Annual Debt Service</x:v>
      </x:c>
      <x:c r="O7" s="129" t="str">
        <x:v>Net Exit Equity</x:v>
      </x:c>
      <x:c r="P7" s="129" t="str">
        <x:v>Annualized Return</x:v>
      </x:c>
      <x:c r="Q7" s="130" t="str">
        <x:v>NPV</x:v>
      </x:c>
    </x:row>
    <x:row r="8">
      <x:c r="A8" s="131" t="n">
        <x:f>1</x:f>
        <x:v>1</x:v>
      </x:c>
      <x:c r="B8" s="131" t="n">
        <x:f>MOD(ABS(SIN((A8+1)*12.9898+78.233)*43758.5453),1)</x:f>
        <x:v>0.43560487233116874</x:v>
      </x:c>
      <x:c r="C8" s="131" t="n">
        <x:f>MOD(ABS(SIN((A8+2)*12.9898+78.233)*43758.5453),1)</x:f>
        <x:v>0.5452507391673862</x:v>
      </x:c>
      <x:c r="D8" s="131" t="n">
        <x:f>MOD(ABS(SIN((A8+3)*12.9898+78.233)*43758.5453),1)</x:f>
        <x:v>0.7275992627910455</x:v>
      </x:c>
      <x:c r="E8" s="131" t="n">
        <x:f>MOD(ABS(SIN((A8+4)*12.9898+78.233)*43758.5453),1)</x:f>
        <x:v>0.1765512894053245</x:v>
      </x:c>
      <x:c r="F8" s="131" t="n">
        <x:f>MOD(ABS(SIN((A8+5)*12.9898+78.233)*43758.5453),1)</x:f>
        <x:v>0.24715772511262912</x:v>
      </x:c>
      <x:c r="G8" s="132" t="n">
        <x:f>IF(B8&lt;(('Assumptions'!$C$47-'Assumptions'!$B$47)/('Assumptions'!$D$47-'Assumptions'!$B$47)),'Assumptions'!$B$47+SQRT(B8*('Assumptions'!$D$47-'Assumptions'!$B$47)*('Assumptions'!$C$47-'Assumptions'!$B$47)),'Assumptions'!$D$47-SQRT((1-B8)*('Assumptions'!$D$47-'Assumptions'!$B$47)*('Assumptions'!$D$47-'Assumptions'!$C$47)))</x:f>
        <x:v>0.002247332170321442</x:v>
      </x:c>
      <x:c r="H8" s="132" t="n">
        <x:f>IF(C8&lt;(('Assumptions'!$C$48-'Assumptions'!$B$48)/('Assumptions'!$D$48-'Assumptions'!$B$48)),'Assumptions'!$B$48+SQRT(C8*('Assumptions'!$D$48-'Assumptions'!$B$48)*('Assumptions'!$C$48-'Assumptions'!$B$48)),'Assumptions'!$D$48-SQRT((1-C8)*('Assumptions'!$D$48-'Assumptions'!$B$48)*('Assumptions'!$D$48-'Assumptions'!$C$48)))</x:f>
        <x:v>0.0767402695601143</x:v>
      </x:c>
      <x:c r="I8" s="132" t="n">
        <x:f>IF(D8&lt;(('Assumptions'!$C$49-'Assumptions'!$B$49)/('Assumptions'!$D$49-'Assumptions'!$B$49)),'Assumptions'!$B$49+SQRT(D8*('Assumptions'!$D$49-'Assumptions'!$B$49)*('Assumptions'!$C$49-'Assumptions'!$B$49)),'Assumptions'!$D$49-SQRT((1-D8)*('Assumptions'!$D$49-'Assumptions'!$B$49)*('Assumptions'!$D$49-'Assumptions'!$C$49)))</x:f>
        <x:v>0.07329370349369344</x:v>
      </x:c>
      <x:c r="J8" s="132" t="n">
        <x:f>IF(E8&lt;(('Assumptions'!$C$50-'Assumptions'!$B$50)/('Assumptions'!$D$50-'Assumptions'!$B$50)),'Assumptions'!$B$50+SQRT(E8*('Assumptions'!$D$50-'Assumptions'!$B$50)*('Assumptions'!$C$50-'Assumptions'!$B$50)),'Assumptions'!$D$50-SQRT((1-E8)*('Assumptions'!$D$50-'Assumptions'!$B$50)*('Assumptions'!$D$50-'Assumptions'!$C$50)))</x:f>
        <x:v>0.06380270101751606</x:v>
      </x:c>
      <x:c r="K8" s="132" t="n">
        <x:f>IF(F8&lt;(('Assumptions'!$C$51-'Assumptions'!$B$51)/('Assumptions'!$D$51-'Assumptions'!$B$51)),'Assumptions'!$B$51+SQRT(F8*('Assumptions'!$D$51-'Assumptions'!$B$51)*('Assumptions'!$C$51-'Assumptions'!$B$51)),'Assumptions'!$D$51-SQRT((1-F8)*('Assumptions'!$D$51-'Assumptions'!$B$51)*('Assumptions'!$D$51-'Assumptions'!$C$51)))</x:f>
        <x:v>0.06574429344492135</x:v>
      </x:c>
      <x:c r="L8" s="133" t="n">
        <x:f>(('Assumptions'!$B$17*(1+G8)+'Assumptions'!$B$18)*(1-H8-'Assumptions'!$B$20)-SUM('Assumptions'!$B$21:$B$25)*(1+I8))-(('Assumptions'!$B$17*(1+G8)+'Assumptions'!$B$18)*(1-H8-'Assumptions'!$B$20)*'Assumptions'!$B$26)</x:f>
        <x:v>196877.99308097002</x:v>
      </x:c>
      <x:c r="M8" s="133" t="n">
        <x:f>'Assumptions'!$B$10*'Assumptions'!$B$33</x:f>
        <x:v>1950000</x:v>
      </x:c>
      <x:c r="N8" s="133" t="n">
        <x:f>-PMT(K8/12,'Assumptions'!$B$35*12,M8)*12</x:f>
        <x:v>149051.16646056884</x:v>
      </x:c>
      <x:c r="O8" s="133" t="n">
        <x:f>(L8*(1+'Assumptions'!$B$29)^('Assumptions'!$B$14/12)/J8)*(1-'Assumptions'!$B$42)-'Debt Schedule'!$F$9</x:f>
        <x:v>3362575.8246401707</x:v>
      </x:c>
      <x:c r="P8" s="132" t="n">
        <x:f>((O8+(L8-N8-'Assumptions'!$B$27-'Assumptions'!$B$28)*('Assumptions'!$B$14/12))/ABS('Monthly Cash Flow'!$S$5))^(1/('Assumptions'!$B$14/12))-1</x:f>
        <x:v>0.21316268971722985</x:v>
      </x:c>
      <x:c r="Q8" s="133" t="n">
        <x:f>-ABS('Monthly Cash Flow'!$S$5)+((L8-N8-'Assumptions'!$B$27-'Assumptions'!$B$28)*(1-(1+'Assumptions'!$B$43)^-('Assumptions'!$B$14/12))/'Assumptions'!$B$43)+(O8/(1+'Assumptions'!$B$43)^('Assumptions'!$B$14/12))</x:f>
        <x:v>823064.8607213744</x:v>
      </x:c>
    </x:row>
    <x:row r="9">
      <x:c r="A9" s="131" t="n">
        <x:f>2</x:f>
        <x:v>2</x:v>
      </x:c>
      <x:c r="B9" s="131" t="n">
        <x:f>MOD(ABS(SIN((A9+1)*12.9898+78.233)*43758.5453),1)</x:f>
        <x:v>0.5452507391673862</x:v>
      </x:c>
      <x:c r="C9" s="131" t="n">
        <x:f>MOD(ABS(SIN((A9+2)*12.9898+78.233)*43758.5453),1)</x:f>
        <x:v>0.7275992627910455</x:v>
      </x:c>
      <x:c r="D9" s="131" t="n">
        <x:f>MOD(ABS(SIN((A9+3)*12.9898+78.233)*43758.5453),1)</x:f>
        <x:v>0.1765512894053245</x:v>
      </x:c>
      <x:c r="E9" s="131" t="n">
        <x:f>MOD(ABS(SIN((A9+4)*12.9898+78.233)*43758.5453),1)</x:f>
        <x:v>0.24715772511262912</x:v>
      </x:c>
      <x:c r="F9" s="131" t="n">
        <x:f>MOD(ABS(SIN((A9+5)*12.9898+78.233)*43758.5453),1)</x:f>
        <x:v>0.4962441097195551</x:v>
      </x:c>
      <x:c r="G9" s="132" t="n">
        <x:f>IF(B9&lt;(('Assumptions'!$C$47-'Assumptions'!$B$47)/('Assumptions'!$D$47-'Assumptions'!$B$47)),'Assumptions'!$B$47+SQRT(B9*('Assumptions'!$D$47-'Assumptions'!$B$47)*('Assumptions'!$C$47-'Assumptions'!$B$47)),'Assumptions'!$D$47-SQRT((1-B9)*('Assumptions'!$D$47-'Assumptions'!$B$47)*('Assumptions'!$D$47-'Assumptions'!$C$47)))</x:f>
        <x:v>0.01439413332866886</x:v>
      </x:c>
      <x:c r="H9" s="132" t="n">
        <x:f>IF(C9&lt;(('Assumptions'!$C$48-'Assumptions'!$B$48)/('Assumptions'!$D$48-'Assumptions'!$B$48)),'Assumptions'!$B$48+SQRT(C9*('Assumptions'!$D$48-'Assumptions'!$B$48)*('Assumptions'!$C$48-'Assumptions'!$B$48)),'Assumptions'!$D$48-SQRT((1-C9)*('Assumptions'!$D$48-'Assumptions'!$B$48)*('Assumptions'!$D$48-'Assumptions'!$C$48)))</x:f>
        <x:v>0.09103954159284455</x:v>
      </x:c>
      <x:c r="I9" s="132" t="n">
        <x:f>IF(D9&lt;(('Assumptions'!$C$49-'Assumptions'!$B$49)/('Assumptions'!$D$49-'Assumptions'!$B$49)),'Assumptions'!$B$49+SQRT(D9*('Assumptions'!$D$49-'Assumptions'!$B$49)*('Assumptions'!$C$49-'Assumptions'!$B$49)),'Assumptions'!$D$49-SQRT((1-D9)*('Assumptions'!$D$49-'Assumptions'!$B$49)*('Assumptions'!$D$49-'Assumptions'!$C$49)))</x:f>
        <x:v>0.013666393549015526</x:v>
      </x:c>
      <x:c r="J9" s="132" t="n">
        <x:f>IF(E9&lt;(('Assumptions'!$C$50-'Assumptions'!$B$50)/('Assumptions'!$D$50-'Assumptions'!$B$50)),'Assumptions'!$B$50+SQRT(E9*('Assumptions'!$D$50-'Assumptions'!$B$50)*('Assumptions'!$C$50-'Assumptions'!$B$50)),'Assumptions'!$D$50-SQRT((1-E9)*('Assumptions'!$D$50-'Assumptions'!$B$50)*('Assumptions'!$D$50-'Assumptions'!$C$50)))</x:f>
        <x:v>0.06495724400501564</x:v>
      </x:c>
      <x:c r="K9" s="132" t="n">
        <x:f>IF(F9&lt;(('Assumptions'!$C$51-'Assumptions'!$B$51)/('Assumptions'!$D$51-'Assumptions'!$B$51)),'Assumptions'!$B$51+SQRT(F9*('Assumptions'!$D$51-'Assumptions'!$B$51)*('Assumptions'!$C$51-'Assumptions'!$B$51)),'Assumptions'!$D$51-SQRT((1-F9)*('Assumptions'!$D$51-'Assumptions'!$B$51)*('Assumptions'!$D$51-'Assumptions'!$C$51)))</x:f>
        <x:v>0.06942975523000798</x:v>
      </x:c>
      <x:c r="L9" s="133" t="n">
        <x:f>(('Assumptions'!$B$17*(1+G9)+'Assumptions'!$B$18)*(1-H9-'Assumptions'!$B$20)-SUM('Assumptions'!$B$21:$B$25)*(1+I9))-(('Assumptions'!$B$17*(1+G9)+'Assumptions'!$B$18)*(1-H9-'Assumptions'!$B$20)*'Assumptions'!$B$26)</x:f>
        <x:v>202964.78547358213</x:v>
      </x:c>
      <x:c r="M9" s="133" t="n">
        <x:f>'Assumptions'!$B$10*'Assumptions'!$B$33</x:f>
        <x:v>1950000</x:v>
      </x:c>
      <x:c r="N9" s="133" t="n">
        <x:f>-PMT(K9/12,'Assumptions'!$B$35*12,M9)*12</x:f>
        <x:v>154785.6570331319</x:v>
      </x:c>
      <x:c r="O9" s="133" t="n">
        <x:f>(L9*(1+'Assumptions'!$B$29)^('Assumptions'!$B$14/12)/J9)*(1-'Assumptions'!$B$42)-'Debt Schedule'!$F$9</x:f>
        <x:v>3404921.3194849226</x:v>
      </x:c>
      <x:c r="P9" s="132" t="n">
        <x:f>((O9+(L9-N9-'Assumptions'!$B$27-'Assumptions'!$B$28)*('Assumptions'!$B$14/12))/ABS('Monthly Cash Flow'!$S$5))^(1/('Assumptions'!$B$14/12))-1</x:f>
        <x:v>0.21629250326243055</x:v>
      </x:c>
      <x:c r="Q9" s="133" t="n">
        <x:f>-ABS('Monthly Cash Flow'!$S$5)+((L9-N9-'Assumptions'!$B$27-'Assumptions'!$B$28)*(1-(1+'Assumptions'!$B$43)^-('Assumptions'!$B$14/12))/'Assumptions'!$B$43)+(O9/(1+'Assumptions'!$B$43)^('Assumptions'!$B$14/12))</x:f>
        <x:v>850693.582484253</x:v>
      </x:c>
    </x:row>
    <x:row r="10">
      <x:c r="A10" s="131" t="n">
        <x:f>3</x:f>
        <x:v>3</x:v>
      </x:c>
      <x:c r="B10" s="131" t="n">
        <x:f>MOD(ABS(SIN((A10+1)*12.9898+78.233)*43758.5453),1)</x:f>
        <x:v>0.7275992627910455</x:v>
      </x:c>
      <x:c r="C10" s="131" t="n">
        <x:f>MOD(ABS(SIN((A10+2)*12.9898+78.233)*43758.5453),1)</x:f>
        <x:v>0.1765512894053245</x:v>
      </x:c>
      <x:c r="D10" s="131" t="n">
        <x:f>MOD(ABS(SIN((A10+3)*12.9898+78.233)*43758.5453),1)</x:f>
        <x:v>0.24715772511262912</x:v>
      </x:c>
      <x:c r="E10" s="131" t="n">
        <x:f>MOD(ABS(SIN((A10+4)*12.9898+78.233)*43758.5453),1)</x:f>
        <x:v>0.4962441097195551</x:v>
      </x:c>
      <x:c r="F10" s="131" t="n">
        <x:f>MOD(ABS(SIN((A10+5)*12.9898+78.233)*43758.5453),1)</x:f>
        <x:v>0.47656197257083477</x:v>
      </x:c>
      <x:c r="G10" s="132" t="n">
        <x:f>IF(B10&lt;(('Assumptions'!$C$47-'Assumptions'!$B$47)/('Assumptions'!$D$47-'Assumptions'!$B$47)),'Assumptions'!$B$47+SQRT(B10*('Assumptions'!$D$47-'Assumptions'!$B$47)*('Assumptions'!$C$47-'Assumptions'!$B$47)),'Assumptions'!$D$47-SQRT((1-B10)*('Assumptions'!$D$47-'Assumptions'!$B$47)*('Assumptions'!$D$47-'Assumptions'!$C$47)))</x:f>
        <x:v>0.03398173135151701</x:v>
      </x:c>
      <x:c r="H10" s="132" t="n">
        <x:f>IF(C10&lt;(('Assumptions'!$C$48-'Assumptions'!$B$48)/('Assumptions'!$D$48-'Assumptions'!$B$48)),'Assumptions'!$B$48+SQRT(C10*('Assumptions'!$D$48-'Assumptions'!$B$48)*('Assumptions'!$C$48-'Assumptions'!$B$48)),'Assumptions'!$D$48-SQRT((1-C10)*('Assumptions'!$D$48-'Assumptions'!$B$48)*('Assumptions'!$D$48-'Assumptions'!$C$48)))</x:f>
        <x:v>0.054137507225013336</x:v>
      </x:c>
      <x:c r="I10" s="132" t="n">
        <x:f>IF(D10&lt;(('Assumptions'!$C$49-'Assumptions'!$B$49)/('Assumptions'!$D$49-'Assumptions'!$B$49)),'Assumptions'!$B$49+SQRT(D10*('Assumptions'!$D$49-'Assumptions'!$B$49)*('Assumptions'!$C$49-'Assumptions'!$B$49)),'Assumptions'!$D$49-SQRT((1-D10)*('Assumptions'!$D$49-'Assumptions'!$B$49)*('Assumptions'!$D$49-'Assumptions'!$C$49)))</x:f>
        <x:v>0.021665302004501966</x:v>
      </x:c>
      <x:c r="J10" s="132" t="n">
        <x:f>IF(E10&lt;(('Assumptions'!$C$50-'Assumptions'!$B$50)/('Assumptions'!$D$50-'Assumptions'!$B$50)),'Assumptions'!$B$50+SQRT(E10*('Assumptions'!$D$50-'Assumptions'!$B$50)*('Assumptions'!$C$50-'Assumptions'!$B$50)),'Assumptions'!$D$50-SQRT((1-E10)*('Assumptions'!$D$50-'Assumptions'!$B$50)*('Assumptions'!$D$50-'Assumptions'!$C$50)))</x:f>
        <x:v>0.06809700272446578</x:v>
      </x:c>
      <x:c r="K10" s="132" t="n">
        <x:f>IF(F10&lt;(('Assumptions'!$C$51-'Assumptions'!$B$51)/('Assumptions'!$D$51-'Assumptions'!$B$51)),'Assumptions'!$B$51+SQRT(F10*('Assumptions'!$D$51-'Assumptions'!$B$51)*('Assumptions'!$C$51-'Assumptions'!$B$51)),'Assumptions'!$D$51-SQRT((1-F10)*('Assumptions'!$D$51-'Assumptions'!$B$51)*('Assumptions'!$D$51-'Assumptions'!$C$51)))</x:f>
        <x:v>0.06912849878870037</x:v>
      </x:c>
      <x:c r="L10" s="133" t="n">
        <x:f>(('Assumptions'!$B$17*(1+G10)+'Assumptions'!$B$18)*(1-H10-'Assumptions'!$B$20)-SUM('Assumptions'!$B$21:$B$25)*(1+I10))-(('Assumptions'!$B$17*(1+G10)+'Assumptions'!$B$18)*(1-H10-'Assumptions'!$B$20)*'Assumptions'!$B$26)</x:f>
        <x:v>221866.80325725378</x:v>
      </x:c>
      <x:c r="M10" s="133" t="n">
        <x:f>'Assumptions'!$B$10*'Assumptions'!$B$33</x:f>
        <x:v>1950000</x:v>
      </x:c>
      <x:c r="N10" s="133" t="n">
        <x:f>-PMT(K10/12,'Assumptions'!$B$35*12,M10)*12</x:f>
        <x:v>154313.60477977115</x:v>
      </x:c>
      <x:c r="O10" s="133" t="n">
        <x:f>(L10*(1+'Assumptions'!$B$29)^('Assumptions'!$B$14/12)/J10)*(1-'Assumptions'!$B$42)-'Debt Schedule'!$F$9</x:f>
        <x:v>3550408.3485784964</x:v>
      </x:c>
      <x:c r="P10" s="132" t="n">
        <x:f>((O10+(L10-N10-'Assumptions'!$B$27-'Assumptions'!$B$28)*('Assumptions'!$B$14/12))/ABS('Monthly Cash Flow'!$S$5))^(1/('Assumptions'!$B$14/12))-1</x:f>
        <x:v>0.23293981527484697</x:v>
      </x:c>
      <x:c r="Q10" s="133" t="n">
        <x:f>-ABS('Monthly Cash Flow'!$S$5)+((L10-N10-'Assumptions'!$B$27-'Assumptions'!$B$28)*(1-(1+'Assumptions'!$B$43)^-('Assumptions'!$B$14/12))/'Assumptions'!$B$43)+(O10/(1+'Assumptions'!$B$43)^('Assumptions'!$B$14/12))</x:f>
        <x:v>1014472.5494429555</x:v>
      </x:c>
    </x:row>
    <x:row r="11">
      <x:c r="A11" s="131" t="n">
        <x:f>4</x:f>
        <x:v>4</x:v>
      </x:c>
      <x:c r="B11" s="131" t="n">
        <x:f>MOD(ABS(SIN((A11+1)*12.9898+78.233)*43758.5453),1)</x:f>
        <x:v>0.1765512894053245</x:v>
      </x:c>
      <x:c r="C11" s="131" t="n">
        <x:f>MOD(ABS(SIN((A11+2)*12.9898+78.233)*43758.5453),1)</x:f>
        <x:v>0.24715772511262912</x:v>
      </x:c>
      <x:c r="D11" s="131" t="n">
        <x:f>MOD(ABS(SIN((A11+3)*12.9898+78.233)*43758.5453),1)</x:f>
        <x:v>0.4962441097195551</x:v>
      </x:c>
      <x:c r="E11" s="131" t="n">
        <x:f>MOD(ABS(SIN((A11+4)*12.9898+78.233)*43758.5453),1)</x:f>
        <x:v>0.47656197257083477</x:v>
      </x:c>
      <x:c r="F11" s="131" t="n">
        <x:f>MOD(ABS(SIN((A11+5)*12.9898+78.233)*43758.5453),1)</x:f>
        <x:v>0.5217770384515461</x:v>
      </x:c>
      <x:c r="G11" s="132" t="n">
        <x:f>IF(B11&lt;(('Assumptions'!$C$47-'Assumptions'!$B$47)/('Assumptions'!$D$47-'Assumptions'!$B$47)),'Assumptions'!$B$47+SQRT(B11*('Assumptions'!$D$47-'Assumptions'!$B$47)*('Assumptions'!$C$47-'Assumptions'!$B$47)),'Assumptions'!$D$47-SQRT((1-B11)*('Assumptions'!$D$47-'Assumptions'!$B$47)*('Assumptions'!$D$47-'Assumptions'!$C$47)))</x:f>
        <x:v>-0.034905983794761994</x:v>
      </x:c>
      <x:c r="H11" s="132" t="n">
        <x:f>IF(C11&lt;(('Assumptions'!$C$48-'Assumptions'!$B$48)/('Assumptions'!$D$48-'Assumptions'!$B$48)),'Assumptions'!$B$48+SQRT(C11*('Assumptions'!$D$48-'Assumptions'!$B$48)*('Assumptions'!$C$48-'Assumptions'!$B$48)),'Assumptions'!$D$48-SQRT((1-C11)*('Assumptions'!$D$48-'Assumptions'!$B$48)*('Assumptions'!$D$48-'Assumptions'!$C$48)))</x:f>
        <x:v>0.05855907023822163</x:v>
      </x:c>
      <x:c r="I11" s="132" t="n">
        <x:f>IF(D11&lt;(('Assumptions'!$C$49-'Assumptions'!$B$49)/('Assumptions'!$D$49-'Assumptions'!$B$49)),'Assumptions'!$B$49+SQRT(D11*('Assumptions'!$D$49-'Assumptions'!$B$49)*('Assumptions'!$C$49-'Assumptions'!$B$49)),'Assumptions'!$D$49-SQRT((1-D11)*('Assumptions'!$D$49-'Assumptions'!$B$49)*('Assumptions'!$D$49-'Assumptions'!$C$49)))</x:f>
        <x:v>0.04568735824427794</x:v>
      </x:c>
      <x:c r="J11" s="132" t="n">
        <x:f>IF(E11&lt;(('Assumptions'!$C$50-'Assumptions'!$B$50)/('Assumptions'!$D$50-'Assumptions'!$B$50)),'Assumptions'!$B$50+SQRT(E11*('Assumptions'!$D$50-'Assumptions'!$B$50)*('Assumptions'!$C$50-'Assumptions'!$B$50)),'Assumptions'!$D$50-SQRT((1-E11)*('Assumptions'!$D$50-'Assumptions'!$B$50)*('Assumptions'!$D$50-'Assumptions'!$C$50)))</x:f>
        <x:v>0.0678667009756434</x:v>
      </x:c>
      <x:c r="K11" s="132" t="n">
        <x:f>IF(F11&lt;(('Assumptions'!$C$51-'Assumptions'!$B$51)/('Assumptions'!$D$51-'Assumptions'!$B$51)),'Assumptions'!$B$51+SQRT(F11*('Assumptions'!$D$51-'Assumptions'!$B$51)*('Assumptions'!$C$51-'Assumptions'!$B$51)),'Assumptions'!$D$51-SQRT((1-F11)*('Assumptions'!$D$51-'Assumptions'!$B$51)*('Assumptions'!$D$51-'Assumptions'!$C$51)))</x:f>
        <x:v>0.0698294759403245</x:v>
      </x:c>
      <x:c r="L11" s="133" t="n">
        <x:f>(('Assumptions'!$B$17*(1+G11)+'Assumptions'!$B$18)*(1-H11-'Assumptions'!$B$20)-SUM('Assumptions'!$B$21:$B$25)*(1+I11))-(('Assumptions'!$B$17*(1+G11)+'Assumptions'!$B$18)*(1-H11-'Assumptions'!$B$20)*'Assumptions'!$B$26)</x:f>
        <x:v>195008.2323459604</x:v>
      </x:c>
      <x:c r="M11" s="133" t="n">
        <x:f>'Assumptions'!$B$10*'Assumptions'!$B$33</x:f>
        <x:v>1950000</x:v>
      </x:c>
      <x:c r="N11" s="133" t="n">
        <x:f>-PMT(K11/12,'Assumptions'!$B$35*12,M11)*12</x:f>
        <x:v>155412.89142257813</x:v>
      </x:c>
      <x:c r="O11" s="133" t="n">
        <x:f>(L11*(1+'Assumptions'!$B$29)^('Assumptions'!$B$14/12)/J11)*(1-'Assumptions'!$B$42)-'Debt Schedule'!$F$9</x:f>
        <x:v>3131195.5008389647</x:v>
      </x:c>
      <x:c r="P11" s="132" t="n">
        <x:f>((O11+(L11-N11-'Assumptions'!$B$27-'Assumptions'!$B$28)*('Assumptions'!$B$14/12))/ABS('Monthly Cash Flow'!$S$5))^(1/('Assumptions'!$B$14/12))-1</x:f>
        <x:v>0.19306878145926398</x:v>
      </x:c>
      <x:c r="Q11" s="133" t="n">
        <x:f>-ABS('Monthly Cash Flow'!$S$5)+((L11-N11-'Assumptions'!$B$27-'Assumptions'!$B$28)*(1-(1+'Assumptions'!$B$43)^-('Assumptions'!$B$14/12))/'Assumptions'!$B$43)+(O11/(1+'Assumptions'!$B$43)^('Assumptions'!$B$14/12))</x:f>
        <x:v>648192.0768640398</x:v>
      </x:c>
    </x:row>
    <x:row r="12">
      <x:c r="A12" s="131" t="n">
        <x:f>5</x:f>
        <x:v>5</x:v>
      </x:c>
      <x:c r="B12" s="131" t="n">
        <x:f>MOD(ABS(SIN((A12+1)*12.9898+78.233)*43758.5453),1)</x:f>
        <x:v>0.24715772511262912</x:v>
      </x:c>
      <x:c r="C12" s="131" t="n">
        <x:f>MOD(ABS(SIN((A12+2)*12.9898+78.233)*43758.5453),1)</x:f>
        <x:v>0.4962441097195551</x:v>
      </x:c>
      <x:c r="D12" s="131" t="n">
        <x:f>MOD(ABS(SIN((A12+3)*12.9898+78.233)*43758.5453),1)</x:f>
        <x:v>0.47656197257083477</x:v>
      </x:c>
      <x:c r="E12" s="131" t="n">
        <x:f>MOD(ABS(SIN((A12+4)*12.9898+78.233)*43758.5453),1)</x:f>
        <x:v>0.5217770384515461</x:v>
      </x:c>
      <x:c r="F12" s="131" t="n">
        <x:f>MOD(ABS(SIN((A12+5)*12.9898+78.233)*43758.5453),1)</x:f>
        <x:v>0.019895097451808397</x:v>
      </x:c>
      <x:c r="G12" s="132" t="n">
        <x:f>IF(B12&lt;(('Assumptions'!$C$47-'Assumptions'!$B$47)/('Assumptions'!$D$47-'Assumptions'!$B$47)),'Assumptions'!$B$47+SQRT(B12*('Assumptions'!$D$47-'Assumptions'!$B$47)*('Assumptions'!$C$47-'Assumptions'!$B$47)),'Assumptions'!$D$47-SQRT((1-B12)*('Assumptions'!$D$47-'Assumptions'!$B$47)*('Assumptions'!$D$47-'Assumptions'!$C$47)))</x:f>
        <x:v>-0.022981915093251648</x:v>
      </x:c>
      <x:c r="H12" s="132" t="n">
        <x:f>IF(C12&lt;(('Assumptions'!$C$48-'Assumptions'!$B$48)/('Assumptions'!$D$48-'Assumptions'!$B$48)),'Assumptions'!$B$48+SQRT(C12*('Assumptions'!$D$48-'Assumptions'!$B$48)*('Assumptions'!$C$48-'Assumptions'!$B$48)),'Assumptions'!$D$48-SQRT((1-C12)*('Assumptions'!$D$48-'Assumptions'!$B$48)*('Assumptions'!$D$48-'Assumptions'!$C$48)))</x:f>
        <x:v>0.073418832734264</x:v>
      </x:c>
      <x:c r="I12" s="132" t="n">
        <x:f>IF(D12&lt;(('Assumptions'!$C$49-'Assumptions'!$B$49)/('Assumptions'!$D$49-'Assumptions'!$B$49)),'Assumptions'!$B$49+SQRT(D12*('Assumptions'!$D$49-'Assumptions'!$B$49)*('Assumptions'!$C$49-'Assumptions'!$B$49)),'Assumptions'!$D$49-SQRT((1-D12)*('Assumptions'!$D$49-'Assumptions'!$B$49)*('Assumptions'!$D$49-'Assumptions'!$C$49)))</x:f>
        <x:v>0.04366909483847149</x:v>
      </x:c>
      <x:c r="J12" s="132" t="n">
        <x:f>IF(E12&lt;(('Assumptions'!$C$50-'Assumptions'!$B$50)/('Assumptions'!$D$50-'Assumptions'!$B$50)),'Assumptions'!$B$50+SQRT(E12*('Assumptions'!$D$50-'Assumptions'!$B$50)*('Assumptions'!$C$50-'Assumptions'!$B$50)),'Assumptions'!$D$50-SQRT((1-E12)*('Assumptions'!$D$50-'Assumptions'!$B$50)*('Assumptions'!$D$50-'Assumptions'!$C$50)))</x:f>
        <x:v>0.06840257753052419</x:v>
      </x:c>
      <x:c r="K12" s="132" t="n">
        <x:f>IF(F12&lt;(('Assumptions'!$C$51-'Assumptions'!$B$51)/('Assumptions'!$D$51-'Assumptions'!$B$51)),'Assumptions'!$B$51+SQRT(F12*('Assumptions'!$D$51-'Assumptions'!$B$51)*('Assumptions'!$C$51-'Assumptions'!$B$51)),'Assumptions'!$D$51-SQRT((1-F12)*('Assumptions'!$D$51-'Assumptions'!$B$51)*('Assumptions'!$D$51-'Assumptions'!$C$51)))</x:f>
        <x:v>0.059839049336642414</x:v>
      </x:c>
      <x:c r="L12" s="133" t="n">
        <x:f>(('Assumptions'!$B$17*(1+G12)+'Assumptions'!$B$18)*(1-H12-'Assumptions'!$B$20)-SUM('Assumptions'!$B$21:$B$25)*(1+I12))-(('Assumptions'!$B$17*(1+G12)+'Assumptions'!$B$18)*(1-H12-'Assumptions'!$B$20)*'Assumptions'!$B$26)</x:f>
        <x:v>193826.67640945534</x:v>
      </x:c>
      <x:c r="M12" s="133" t="n">
        <x:f>'Assumptions'!$B$10*'Assumptions'!$B$33</x:f>
        <x:v>1950000</x:v>
      </x:c>
      <x:c r="N12" s="133" t="n">
        <x:f>-PMT(K12/12,'Assumptions'!$B$35*12,M12)*12</x:f>
        <x:v>140052.7754714174</x:v>
      </x:c>
      <x:c r="O12" s="133" t="n">
        <x:f>(L12*(1+'Assumptions'!$B$29)^('Assumptions'!$B$14/12)/J12)*(1-'Assumptions'!$B$42)-'Debt Schedule'!$F$9</x:f>
        <x:v>3087841.921202605</x:v>
      </x:c>
      <x:c r="P12" s="132" t="n">
        <x:f>((O12+(L12-N12-'Assumptions'!$B$27-'Assumptions'!$B$28)*('Assumptions'!$B$14/12))/ABS('Monthly Cash Flow'!$S$5))^(1/('Assumptions'!$B$14/12))-1</x:f>
        <x:v>0.1951614196878615</x:v>
      </x:c>
      <x:c r="Q12" s="133" t="n">
        <x:f>-ABS('Monthly Cash Flow'!$S$5)+((L12-N12-'Assumptions'!$B$27-'Assumptions'!$B$28)*(1-(1+'Assumptions'!$B$43)^-('Assumptions'!$B$14/12))/'Assumptions'!$B$43)+(O12/(1+'Assumptions'!$B$43)^('Assumptions'!$B$14/12))</x:f>
        <x:v>675020.8125497012</x:v>
      </x:c>
    </x:row>
    <x:row r="13">
      <x:c r="A13" s="131" t="n">
        <x:f>6</x:f>
        <x:v>6</x:v>
      </x:c>
      <x:c r="B13" s="131" t="n">
        <x:f>MOD(ABS(SIN((A13+1)*12.9898+78.233)*43758.5453),1)</x:f>
        <x:v>0.4962441097195551</x:v>
      </x:c>
      <x:c r="C13" s="131" t="n">
        <x:f>MOD(ABS(SIN((A13+2)*12.9898+78.233)*43758.5453),1)</x:f>
        <x:v>0.47656197257083477</x:v>
      </x:c>
      <x:c r="D13" s="131" t="n">
        <x:f>MOD(ABS(SIN((A13+3)*12.9898+78.233)*43758.5453),1)</x:f>
        <x:v>0.5217770384515461</x:v>
      </x:c>
      <x:c r="E13" s="131" t="n">
        <x:f>MOD(ABS(SIN((A13+4)*12.9898+78.233)*43758.5453),1)</x:f>
        <x:v>0.019895097451808397</x:v>
      </x:c>
      <x:c r="F13" s="131" t="n">
        <x:f>MOD(ABS(SIN((A13+5)*12.9898+78.233)*43758.5453),1)</x:f>
        <x:v>0.5923396520374808</x:v>
      </x:c>
      <x:c r="G13" s="132" t="n">
        <x:f>IF(B13&lt;(('Assumptions'!$C$47-'Assumptions'!$B$47)/('Assumptions'!$D$47-'Assumptions'!$B$47)),'Assumptions'!$B$47+SQRT(B13*('Assumptions'!$D$47-'Assumptions'!$B$47)*('Assumptions'!$C$47-'Assumptions'!$B$47)),'Assumptions'!$D$47-SQRT((1-B13)*('Assumptions'!$D$47-'Assumptions'!$B$47)*('Assumptions'!$D$47-'Assumptions'!$C$47)))</x:f>
        <x:v>0.009132298762874608</x:v>
      </x:c>
      <x:c r="H13" s="132" t="n">
        <x:f>IF(C13&lt;(('Assumptions'!$C$48-'Assumptions'!$B$48)/('Assumptions'!$D$48-'Assumptions'!$B$48)),'Assumptions'!$B$48+SQRT(C13*('Assumptions'!$D$48-'Assumptions'!$B$48)*('Assumptions'!$C$48-'Assumptions'!$B$48)),'Assumptions'!$D$48-SQRT((1-C13)*('Assumptions'!$D$48-'Assumptions'!$B$48)*('Assumptions'!$D$48-'Assumptions'!$C$48)))</x:f>
        <x:v>0.07213060600405619</x:v>
      </x:c>
      <x:c r="I13" s="132" t="n">
        <x:f>IF(D13&lt;(('Assumptions'!$C$49-'Assumptions'!$B$49)/('Assumptions'!$D$49-'Assumptions'!$B$49)),'Assumptions'!$B$49+SQRT(D13*('Assumptions'!$D$49-'Assumptions'!$B$49)*('Assumptions'!$C$49-'Assumptions'!$B$49)),'Assumptions'!$D$49-SQRT((1-D13)*('Assumptions'!$D$49-'Assumptions'!$B$49)*('Assumptions'!$D$49-'Assumptions'!$C$49)))</x:f>
        <x:v>0.048365281672813176</x:v>
      </x:c>
      <x:c r="J13" s="132" t="n">
        <x:f>IF(E13&lt;(('Assumptions'!$C$50-'Assumptions'!$B$50)/('Assumptions'!$D$50-'Assumptions'!$B$50)),'Assumptions'!$B$50+SQRT(E13*('Assumptions'!$D$50-'Assumptions'!$B$50)*('Assumptions'!$C$50-'Assumptions'!$B$50)),'Assumptions'!$D$50-SQRT((1-E13)*('Assumptions'!$D$50-'Assumptions'!$B$50)*('Assumptions'!$D$50-'Assumptions'!$C$50)))</x:f>
        <x:v>0.059615749731574345</x:v>
      </x:c>
      <x:c r="K13" s="132" t="n">
        <x:f>IF(F13&lt;(('Assumptions'!$C$51-'Assumptions'!$B$51)/('Assumptions'!$D$51-'Assumptions'!$B$51)),'Assumptions'!$B$51+SQRT(F13*('Assumptions'!$D$51-'Assumptions'!$B$51)*('Assumptions'!$C$51-'Assumptions'!$B$51)),'Assumptions'!$D$51-SQRT((1-F13)*('Assumptions'!$D$51-'Assumptions'!$B$51)*('Assumptions'!$D$51-'Assumptions'!$C$51)))</x:f>
        <x:v>0.07099333935383019</x:v>
      </x:c>
      <x:c r="L13" s="133" t="n">
        <x:f>(('Assumptions'!$B$17*(1+G13)+'Assumptions'!$B$18)*(1-H13-'Assumptions'!$B$20)-SUM('Assumptions'!$B$21:$B$25)*(1+I13))-(('Assumptions'!$B$17*(1+G13)+'Assumptions'!$B$18)*(1-H13-'Assumptions'!$B$20)*'Assumptions'!$B$26)</x:f>
        <x:v>203879.32840528042</x:v>
      </x:c>
      <x:c r="M13" s="133" t="n">
        <x:f>'Assumptions'!$B$10*'Assumptions'!$B$33</x:f>
        <x:v>1950000</x:v>
      </x:c>
      <x:c r="N13" s="133" t="n">
        <x:f>-PMT(K13/12,'Assumptions'!$B$35*12,M13)*12</x:f>
        <x:v>157244.9692478406</x:v>
      </x:c>
      <x:c r="O13" s="133" t="n">
        <x:f>(L13*(1+'Assumptions'!$B$29)^('Assumptions'!$B$14/12)/J13)*(1-'Assumptions'!$B$42)-'Debt Schedule'!$F$9</x:f>
        <x:v>3726714.828278212</x:v>
      </x:c>
      <x:c r="P13" s="132" t="n">
        <x:f>((O13+(L13-N13-'Assumptions'!$B$27-'Assumptions'!$B$28)*('Assumptions'!$B$14/12))/ABS('Monthly Cash Flow'!$S$5))^(1/('Assumptions'!$B$14/12))-1</x:f>
        <x:v>0.23769757181926088</x:v>
      </x:c>
      <x:c r="Q13" s="133" t="n">
        <x:f>-ABS('Monthly Cash Flow'!$S$5)+((L13-N13-'Assumptions'!$B$27-'Assumptions'!$B$28)*(1-(1+'Assumptions'!$B$43)^-('Assumptions'!$B$14/12))/'Assumptions'!$B$43)+(O13/(1+'Assumptions'!$B$43)^('Assumptions'!$B$14/12))</x:f>
        <x:v>1044646.1427562053</x:v>
      </x:c>
    </x:row>
    <x:row r="14">
      <x:c r="A14" s="131" t="n">
        <x:f>7</x:f>
        <x:v>7</x:v>
      </x:c>
      <x:c r="B14" s="131" t="n">
        <x:f>MOD(ABS(SIN((A14+1)*12.9898+78.233)*43758.5453),1)</x:f>
        <x:v>0.47656197257083477</x:v>
      </x:c>
      <x:c r="C14" s="131" t="n">
        <x:f>MOD(ABS(SIN((A14+2)*12.9898+78.233)*43758.5453),1)</x:f>
        <x:v>0.5217770384515461</x:v>
      </x:c>
      <x:c r="D14" s="131" t="n">
        <x:f>MOD(ABS(SIN((A14+3)*12.9898+78.233)*43758.5453),1)</x:f>
        <x:v>0.019895097451808397</x:v>
      </x:c>
      <x:c r="E14" s="131" t="n">
        <x:f>MOD(ABS(SIN((A14+4)*12.9898+78.233)*43758.5453),1)</x:f>
        <x:v>0.5923396520374808</x:v>
      </x:c>
      <x:c r="F14" s="131" t="n">
        <x:f>MOD(ABS(SIN((A14+5)*12.9898+78.233)*43758.5453),1)</x:f>
        <x:v>0.6111177305574529</x:v>
      </x:c>
      <x:c r="G14" s="132" t="n">
        <x:f>IF(B14&lt;(('Assumptions'!$C$47-'Assumptions'!$B$47)/('Assumptions'!$D$47-'Assumptions'!$B$47)),'Assumptions'!$B$47+SQRT(B14*('Assumptions'!$D$47-'Assumptions'!$B$47)*('Assumptions'!$C$47-'Assumptions'!$B$47)),'Assumptions'!$D$47-SQRT((1-B14)*('Assumptions'!$D$47-'Assumptions'!$B$47)*('Assumptions'!$D$47-'Assumptions'!$C$47)))</x:f>
        <x:v>0.006946189000356789</x:v>
      </x:c>
      <x:c r="H14" s="132" t="n">
        <x:f>IF(C14&lt;(('Assumptions'!$C$48-'Assumptions'!$B$48)/('Assumptions'!$D$48-'Assumptions'!$B$48)),'Assumptions'!$B$48+SQRT(C14*('Assumptions'!$D$48-'Assumptions'!$B$48)*('Assumptions'!$C$48-'Assumptions'!$B$48)),'Assumptions'!$D$48-SQRT((1-C14)*('Assumptions'!$D$48-'Assumptions'!$B$48)*('Assumptions'!$D$48-'Assumptions'!$C$48)))</x:f>
        <x:v>0.07512811038958096</x:v>
      </x:c>
      <x:c r="I14" s="132" t="n">
        <x:f>IF(D14&lt;(('Assumptions'!$C$49-'Assumptions'!$B$49)/('Assumptions'!$D$49-'Assumptions'!$B$49)),'Assumptions'!$B$49+SQRT(D14*('Assumptions'!$D$49-'Assumptions'!$B$49)*('Assumptions'!$C$49-'Assumptions'!$B$49)),'Assumptions'!$D$49-SQRT((1-D14)*('Assumptions'!$D$49-'Assumptions'!$B$49)*('Assumptions'!$D$49-'Assumptions'!$C$49)))</x:f>
        <x:v>-0.01534165587525212</x:v>
      </x:c>
      <x:c r="J14" s="132" t="n">
        <x:f>IF(E14&lt;(('Assumptions'!$C$50-'Assumptions'!$B$50)/('Assumptions'!$D$50-'Assumptions'!$B$50)),'Assumptions'!$B$50+SQRT(E14*('Assumptions'!$D$50-'Assumptions'!$B$50)*('Assumptions'!$C$50-'Assumptions'!$B$50)),'Assumptions'!$D$50-SQRT((1-E14)*('Assumptions'!$D$50-'Assumptions'!$B$50)*('Assumptions'!$D$50-'Assumptions'!$C$50)))</x:f>
        <x:v>0.06929231711038945</x:v>
      </x:c>
      <x:c r="K14" s="132" t="n">
        <x:f>IF(F14&lt;(('Assumptions'!$C$51-'Assumptions'!$B$51)/('Assumptions'!$D$51-'Assumptions'!$B$51)),'Assumptions'!$B$51+SQRT(F14*('Assumptions'!$D$51-'Assumptions'!$B$51)*('Assumptions'!$C$51-'Assumptions'!$B$51)),'Assumptions'!$D$51-SQRT((1-F14)*('Assumptions'!$D$51-'Assumptions'!$B$51)*('Assumptions'!$D$51-'Assumptions'!$C$51)))</x:f>
        <x:v>0.07131973713084337</x:v>
      </x:c>
      <x:c r="L14" s="133" t="n">
        <x:f>(('Assumptions'!$B$17*(1+G14)+'Assumptions'!$B$18)*(1-H14-'Assumptions'!$B$20)-SUM('Assumptions'!$B$21:$B$25)*(1+I14))-(('Assumptions'!$B$17*(1+G14)+'Assumptions'!$B$18)*(1-H14-'Assumptions'!$B$20)*'Assumptions'!$B$26)</x:f>
        <x:v>210118.00407038434</x:v>
      </x:c>
      <x:c r="M14" s="133" t="n">
        <x:f>'Assumptions'!$B$10*'Assumptions'!$B$33</x:f>
        <x:v>1950000</x:v>
      </x:c>
      <x:c r="N14" s="133" t="n">
        <x:f>-PMT(K14/12,'Assumptions'!$B$35*12,M14)*12</x:f>
        <x:v>157760.29285542425</x:v>
      </x:c>
      <x:c r="O14" s="133" t="n">
        <x:f>(L14*(1+'Assumptions'!$B$29)^('Assumptions'!$B$14/12)/J14)*(1-'Assumptions'!$B$42)-'Debt Schedule'!$F$9</x:f>
        <x:v>3304396.546848627</x:v>
      </x:c>
      <x:c r="P14" s="132" t="n">
        <x:f>((O14+(L14-N14-'Assumptions'!$B$27-'Assumptions'!$B$28)*('Assumptions'!$B$14/12))/ABS('Monthly Cash Flow'!$S$5))^(1/('Assumptions'!$B$14/12))-1</x:f>
        <x:v>0.2106181696990228</x:v>
      </x:c>
      <x:c r="Q14" s="133" t="n">
        <x:f>-ABS('Monthly Cash Flow'!$S$5)+((L14-N14-'Assumptions'!$B$27-'Assumptions'!$B$28)*(1-(1+'Assumptions'!$B$43)^-('Assumptions'!$B$14/12))/'Assumptions'!$B$43)+(O14/(1+'Assumptions'!$B$43)^('Assumptions'!$B$14/12))</x:f>
        <x:v>804115.7239551935</x:v>
      </x:c>
    </x:row>
    <x:row r="15">
      <x:c r="A15" s="131" t="n">
        <x:f>8</x:f>
        <x:v>8</x:v>
      </x:c>
      <x:c r="B15" s="131" t="n">
        <x:f>MOD(ABS(SIN((A15+1)*12.9898+78.233)*43758.5453),1)</x:f>
        <x:v>0.5217770384515461</x:v>
      </x:c>
      <x:c r="C15" s="131" t="n">
        <x:f>MOD(ABS(SIN((A15+2)*12.9898+78.233)*43758.5453),1)</x:f>
        <x:v>0.019895097451808397</x:v>
      </x:c>
      <x:c r="D15" s="131" t="n">
        <x:f>MOD(ABS(SIN((A15+3)*12.9898+78.233)*43758.5453),1)</x:f>
        <x:v>0.5923396520374808</x:v>
      </x:c>
      <x:c r="E15" s="131" t="n">
        <x:f>MOD(ABS(SIN((A15+4)*12.9898+78.233)*43758.5453),1)</x:f>
        <x:v>0.6111177305574529</x:v>
      </x:c>
      <x:c r="F15" s="131" t="n">
        <x:f>MOD(ABS(SIN((A15+5)*12.9898+78.233)*43758.5453),1)</x:f>
        <x:v>0.4013227664036094</x:v>
      </x:c>
      <x:c r="G15" s="132" t="n">
        <x:f>IF(B15&lt;(('Assumptions'!$C$47-'Assumptions'!$B$47)/('Assumptions'!$D$47-'Assumptions'!$B$47)),'Assumptions'!$B$47+SQRT(B15*('Assumptions'!$D$47-'Assumptions'!$B$47)*('Assumptions'!$C$47-'Assumptions'!$B$47)),'Assumptions'!$D$47-SQRT((1-B15)*('Assumptions'!$D$47-'Assumptions'!$B$47)*('Assumptions'!$D$47-'Assumptions'!$C$47)))</x:f>
        <x:v>0.011904642096908141</x:v>
      </x:c>
      <x:c r="H15" s="132" t="n">
        <x:f>IF(C15&lt;(('Assumptions'!$C$48-'Assumptions'!$B$48)/('Assumptions'!$D$48-'Assumptions'!$B$48)),'Assumptions'!$B$48+SQRT(C15*('Assumptions'!$D$48-'Assumptions'!$B$48)*('Assumptions'!$C$48-'Assumptions'!$B$48)),'Assumptions'!$D$48-SQRT((1-C15)*('Assumptions'!$D$48-'Assumptions'!$B$48)*('Assumptions'!$D$48-'Assumptions'!$C$48)))</x:f>
        <x:v>0.038102704584949874</x:v>
      </x:c>
      <x:c r="I15" s="132" t="n">
        <x:f>IF(D15&lt;(('Assumptions'!$C$49-'Assumptions'!$B$49)/('Assumptions'!$D$49-'Assumptions'!$B$49)),'Assumptions'!$B$49+SQRT(D15*('Assumptions'!$D$49-'Assumptions'!$B$49)*('Assumptions'!$C$49-'Assumptions'!$B$49)),'Assumptions'!$D$49-SQRT((1-D15)*('Assumptions'!$D$49-'Assumptions'!$B$49)*('Assumptions'!$D$49-'Assumptions'!$C$49)))</x:f>
        <x:v>0.05616256868397125</x:v>
      </x:c>
      <x:c r="J15" s="132" t="n">
        <x:f>IF(E15&lt;(('Assumptions'!$C$50-'Assumptions'!$B$50)/('Assumptions'!$D$50-'Assumptions'!$B$50)),'Assumptions'!$B$50+SQRT(E15*('Assumptions'!$D$50-'Assumptions'!$B$50)*('Assumptions'!$C$50-'Assumptions'!$B$50)),'Assumptions'!$D$50-SQRT((1-E15)*('Assumptions'!$D$50-'Assumptions'!$B$50)*('Assumptions'!$D$50-'Assumptions'!$C$50)))</x:f>
        <x:v>0.06954183867590884</x:v>
      </x:c>
      <x:c r="K15" s="132" t="n">
        <x:f>IF(F15&lt;(('Assumptions'!$C$51-'Assumptions'!$B$51)/('Assumptions'!$D$51-'Assumptions'!$B$51)),'Assumptions'!$B$51+SQRT(F15*('Assumptions'!$D$51-'Assumptions'!$B$51)*('Assumptions'!$C$51-'Assumptions'!$B$51)),'Assumptions'!$D$51-SQRT((1-F15)*('Assumptions'!$D$51-'Assumptions'!$B$51)*('Assumptions'!$D$51-'Assumptions'!$C$51)))</x:f>
        <x:v>0.06802609595089383</x:v>
      </x:c>
      <x:c r="L15" s="133" t="n">
        <x:f>(('Assumptions'!$B$17*(1+G15)+'Assumptions'!$B$18)*(1-H15-'Assumptions'!$B$20)-SUM('Assumptions'!$B$21:$B$25)*(1+I15))-(('Assumptions'!$B$17*(1+G15)+'Assumptions'!$B$18)*(1-H15-'Assumptions'!$B$20)*'Assumptions'!$B$26)</x:f>
        <x:v>216264.34493615315</x:v>
      </x:c>
      <x:c r="M15" s="133" t="n">
        <x:f>'Assumptions'!$B$10*'Assumptions'!$B$33</x:f>
        <x:v>1950000</x:v>
      </x:c>
      <x:c r="N15" s="133" t="n">
        <x:f>-PMT(K15/12,'Assumptions'!$B$35*12,M15)*12</x:f>
        <x:v>152591.172113786</x:v>
      </x:c>
      <x:c r="O15" s="133" t="n">
        <x:f>(L15*(1+'Assumptions'!$B$29)^('Assumptions'!$B$14/12)/J15)*(1-'Assumptions'!$B$42)-'Debt Schedule'!$F$9</x:f>
        <x:v>3388853.0109400023</x:v>
      </x:c>
      <x:c r="P15" s="132" t="n">
        <x:f>((O15+(L15-N15-'Assumptions'!$B$27-'Assumptions'!$B$28)*('Assumptions'!$B$14/12))/ABS('Monthly Cash Flow'!$S$5))^(1/('Assumptions'!$B$14/12))-1</x:f>
        <x:v>0.22059661998436453</x:v>
      </x:c>
      <x:c r="Q15" s="133" t="n">
        <x:f>-ABS('Monthly Cash Flow'!$S$5)+((L15-N15-'Assumptions'!$B$27-'Assumptions'!$B$28)*(1-(1+'Assumptions'!$B$43)^-('Assumptions'!$B$14/12))/'Assumptions'!$B$43)+(O15/(1+'Assumptions'!$B$43)^('Assumptions'!$B$14/12))</x:f>
        <x:v>899451.0455308163</x:v>
      </x:c>
    </x:row>
    <x:row r="16">
      <x:c r="A16" s="131" t="n">
        <x:f>9</x:f>
        <x:v>9</x:v>
      </x:c>
      <x:c r="B16" s="131" t="n">
        <x:f>MOD(ABS(SIN((A16+1)*12.9898+78.233)*43758.5453),1)</x:f>
        <x:v>0.019895097451808397</x:v>
      </x:c>
      <x:c r="C16" s="131" t="n">
        <x:f>MOD(ABS(SIN((A16+2)*12.9898+78.233)*43758.5453),1)</x:f>
        <x:v>0.5923396520374808</x:v>
      </x:c>
      <x:c r="D16" s="131" t="n">
        <x:f>MOD(ABS(SIN((A16+3)*12.9898+78.233)*43758.5453),1)</x:f>
        <x:v>0.6111177305574529</x:v>
      </x:c>
      <x:c r="E16" s="131" t="n">
        <x:f>MOD(ABS(SIN((A16+4)*12.9898+78.233)*43758.5453),1)</x:f>
        <x:v>0.4013227664036094</x:v>
      </x:c>
      <x:c r="F16" s="131" t="n">
        <x:f>MOD(ABS(SIN((A16+5)*12.9898+78.233)*43758.5453),1)</x:f>
        <x:v>0.8490637169816182</x:v>
      </x:c>
      <x:c r="G16" s="132" t="n">
        <x:f>IF(B16&lt;(('Assumptions'!$C$47-'Assumptions'!$B$47)/('Assumptions'!$D$47-'Assumptions'!$B$47)),'Assumptions'!$B$47+SQRT(B16*('Assumptions'!$D$47-'Assumptions'!$B$47)*('Assumptions'!$C$47-'Assumptions'!$B$47)),'Assumptions'!$D$47-SQRT((1-B16)*('Assumptions'!$D$47-'Assumptions'!$B$47)*('Assumptions'!$D$47-'Assumptions'!$C$47)))</x:f>
        <x:v>-0.07814863073298606</x:v>
      </x:c>
      <x:c r="H16" s="132" t="n">
        <x:f>IF(C16&lt;(('Assumptions'!$C$48-'Assumptions'!$B$48)/('Assumptions'!$D$48-'Assumptions'!$B$48)),'Assumptions'!$B$48+SQRT(C16*('Assumptions'!$D$48-'Assumptions'!$B$48)*('Assumptions'!$C$48-'Assumptions'!$B$48)),'Assumptions'!$D$48-SQRT((1-C16)*('Assumptions'!$D$48-'Assumptions'!$B$48)*('Assumptions'!$D$48-'Assumptions'!$C$48)))</x:f>
        <x:v>0.08010499969054038</x:v>
      </x:c>
      <x:c r="I16" s="132" t="n">
        <x:f>IF(D16&lt;(('Assumptions'!$C$49-'Assumptions'!$B$49)/('Assumptions'!$D$49-'Assumptions'!$B$49)),'Assumptions'!$B$49+SQRT(D16*('Assumptions'!$D$49-'Assumptions'!$B$49)*('Assumptions'!$C$49-'Assumptions'!$B$49)),'Assumptions'!$D$49-SQRT((1-D16)*('Assumptions'!$D$49-'Assumptions'!$B$49)*('Assumptions'!$D$49-'Assumptions'!$C$49)))</x:f>
        <x:v>0.05834926612427471</x:v>
      </x:c>
      <x:c r="J16" s="132" t="n">
        <x:f>IF(E16&lt;(('Assumptions'!$C$50-'Assumptions'!$B$50)/('Assumptions'!$D$50-'Assumptions'!$B$50)),'Assumptions'!$B$50+SQRT(E16*('Assumptions'!$D$50-'Assumptions'!$B$50)*('Assumptions'!$C$50-'Assumptions'!$B$50)),'Assumptions'!$D$50-SQRT((1-E16)*('Assumptions'!$D$50-'Assumptions'!$B$50)*('Assumptions'!$D$50-'Assumptions'!$C$50)))</x:f>
        <x:v>0.06700250611369507</x:v>
      </x:c>
      <x:c r="K16" s="132" t="n">
        <x:f>IF(F16&lt;(('Assumptions'!$C$51-'Assumptions'!$B$51)/('Assumptions'!$D$51-'Assumptions'!$B$51)),'Assumptions'!$B$51+SQRT(F16*('Assumptions'!$D$51-'Assumptions'!$B$51)*('Assumptions'!$C$51-'Assumptions'!$B$51)),'Assumptions'!$D$51-SQRT((1-F16)*('Assumptions'!$D$51-'Assumptions'!$B$51)*('Assumptions'!$D$51-'Assumptions'!$C$51)))</x:f>
        <x:v>0.07647720197337775</x:v>
      </x:c>
      <x:c r="L16" s="133" t="n">
        <x:f>(('Assumptions'!$B$17*(1+G16)+'Assumptions'!$B$18)*(1-H16-'Assumptions'!$B$20)-SUM('Assumptions'!$B$21:$B$25)*(1+I16))-(('Assumptions'!$B$17*(1+G16)+'Assumptions'!$B$18)*(1-H16-'Assumptions'!$B$20)*'Assumptions'!$B$26)</x:f>
        <x:v>172256.09425879098</x:v>
      </x:c>
      <x:c r="M16" s="133" t="n">
        <x:f>'Assumptions'!$B$10*'Assumptions'!$B$33</x:f>
        <x:v>1950000</x:v>
      </x:c>
      <x:c r="N16" s="133" t="n">
        <x:f>-PMT(K16/12,'Assumptions'!$B$35*12,M16)*12</x:f>
        <x:v>165989.6214960048</x:v>
      </x:c>
      <x:c r="O16" s="133" t="n">
        <x:f>(L16*(1+'Assumptions'!$B$29)^('Assumptions'!$B$14/12)/J16)*(1-'Assumptions'!$B$42)-'Debt Schedule'!$F$9</x:f>
        <x:v>2801544.504066878</x:v>
      </x:c>
      <x:c r="P16" s="132" t="n">
        <x:f>((O16+(L16-N16-'Assumptions'!$B$27-'Assumptions'!$B$28)*('Assumptions'!$B$14/12))/ABS('Monthly Cash Flow'!$S$5))^(1/('Assumptions'!$B$14/12))-1</x:f>
        <x:v>0.15256572083878828</x:v>
      </x:c>
      <x:c r="Q16" s="133" t="n">
        <x:f>-ABS('Monthly Cash Flow'!$S$5)+((L16-N16-'Assumptions'!$B$27-'Assumptions'!$B$28)*(1-(1+'Assumptions'!$B$43)^-('Assumptions'!$B$14/12))/'Assumptions'!$B$43)+(O16/(1+'Assumptions'!$B$43)^('Assumptions'!$B$14/12))</x:f>
        <x:v>317162.1113380003</x:v>
      </x:c>
    </x:row>
    <x:row r="17">
      <x:c r="A17" s="131" t="n">
        <x:f>10</x:f>
        <x:v>10</x:v>
      </x:c>
      <x:c r="B17" s="131" t="n">
        <x:f>MOD(ABS(SIN((A17+1)*12.9898+78.233)*43758.5453),1)</x:f>
        <x:v>0.5923396520374808</x:v>
      </x:c>
      <x:c r="C17" s="131" t="n">
        <x:f>MOD(ABS(SIN((A17+2)*12.9898+78.233)*43758.5453),1)</x:f>
        <x:v>0.6111177305574529</x:v>
      </x:c>
      <x:c r="D17" s="131" t="n">
        <x:f>MOD(ABS(SIN((A17+3)*12.9898+78.233)*43758.5453),1)</x:f>
        <x:v>0.4013227664036094</x:v>
      </x:c>
      <x:c r="E17" s="131" t="n">
        <x:f>MOD(ABS(SIN((A17+4)*12.9898+78.233)*43758.5453),1)</x:f>
        <x:v>0.8490637169816182</x:v>
      </x:c>
      <x:c r="F17" s="131" t="n">
        <x:f>MOD(ABS(SIN((A17+5)*12.9898+78.233)*43758.5453),1)</x:f>
        <x:v>0.3408032159859431</x:v>
      </x:c>
      <x:c r="G17" s="132" t="n">
        <x:f>IF(B17&lt;(('Assumptions'!$C$47-'Assumptions'!$B$47)/('Assumptions'!$D$47-'Assumptions'!$B$47)),'Assumptions'!$B$47+SQRT(B17*('Assumptions'!$D$47-'Assumptions'!$B$47)*('Assumptions'!$C$47-'Assumptions'!$B$47)),'Assumptions'!$D$47-SQRT((1-B17)*('Assumptions'!$D$47-'Assumptions'!$B$47)*('Assumptions'!$D$47-'Assumptions'!$C$47)))</x:f>
        <x:v>0.019231504431083735</x:v>
      </x:c>
      <x:c r="H17" s="132" t="n">
        <x:f>IF(C17&lt;(('Assumptions'!$C$48-'Assumptions'!$B$48)/('Assumptions'!$D$48-'Assumptions'!$B$48)),'Assumptions'!$B$48+SQRT(C17*('Assumptions'!$D$48-'Assumptions'!$B$48)*('Assumptions'!$C$48-'Assumptions'!$B$48)),'Assumptions'!$D$48-SQRT((1-C17)*('Assumptions'!$D$48-'Assumptions'!$B$48)*('Assumptions'!$D$48-'Assumptions'!$C$48)))</x:f>
        <x:v>0.08150073529441235</x:v>
      </x:c>
      <x:c r="I17" s="132" t="n">
        <x:f>IF(D17&lt;(('Assumptions'!$C$49-'Assumptions'!$B$49)/('Assumptions'!$D$49-'Assumptions'!$B$49)),'Assumptions'!$B$49+SQRT(D17*('Assumptions'!$D$49-'Assumptions'!$B$49)*('Assumptions'!$C$49-'Assumptions'!$B$49)),'Assumptions'!$D$49-SQRT((1-D17)*('Assumptions'!$D$49-'Assumptions'!$B$49)*('Assumptions'!$D$49-'Assumptions'!$C$49)))</x:f>
        <x:v>0.03628356211311384</x:v>
      </x:c>
      <x:c r="J17" s="132" t="n">
        <x:f>IF(E17&lt;(('Assumptions'!$C$50-'Assumptions'!$B$50)/('Assumptions'!$D$50-'Assumptions'!$B$50)),'Assumptions'!$B$50+SQRT(E17*('Assumptions'!$D$50-'Assumptions'!$B$50)*('Assumptions'!$C$50-'Assumptions'!$B$50)),'Assumptions'!$D$50-SQRT((1-E17)*('Assumptions'!$D$50-'Assumptions'!$B$50)*('Assumptions'!$D$50-'Assumptions'!$C$50)))</x:f>
        <x:v>0.07348456988381274</x:v>
      </x:c>
      <x:c r="K17" s="132" t="n">
        <x:f>IF(F17&lt;(('Assumptions'!$C$51-'Assumptions'!$B$51)/('Assumptions'!$D$51-'Assumptions'!$B$51)),'Assumptions'!$B$51+SQRT(F17*('Assumptions'!$D$51-'Assumptions'!$B$51)*('Assumptions'!$C$51-'Assumptions'!$B$51)),'Assumptions'!$D$51-SQRT((1-F17)*('Assumptions'!$D$51-'Assumptions'!$B$51)*('Assumptions'!$D$51-'Assumptions'!$C$51)))</x:f>
        <x:v>0.06718095472544595</x:v>
      </x:c>
      <x:c r="L17" s="133" t="n">
        <x:f>(('Assumptions'!$B$17*(1+G17)+'Assumptions'!$B$18)*(1-H17-'Assumptions'!$B$20)-SUM('Assumptions'!$B$21:$B$25)*(1+I17))-(('Assumptions'!$B$17*(1+G17)+'Assumptions'!$B$18)*(1-H17-'Assumptions'!$B$20)*'Assumptions'!$B$26)</x:f>
        <x:v>205142.74106870574</x:v>
      </x:c>
      <x:c r="M17" s="133" t="n">
        <x:f>'Assumptions'!$B$10*'Assumptions'!$B$33</x:f>
        <x:v>1950000</x:v>
      </x:c>
      <x:c r="N17" s="133" t="n">
        <x:f>-PMT(K17/12,'Assumptions'!$B$35*12,M17)*12</x:f>
        <x:v>151276.02812615907</x:v>
      </x:c>
      <x:c r="O17" s="133" t="n">
        <x:f>(L17*(1+'Assumptions'!$B$29)^('Assumptions'!$B$14/12)/J17)*(1-'Assumptions'!$B$42)-'Debt Schedule'!$F$9</x:f>
        <x:v>3042103.422938105</x:v>
      </x:c>
      <x:c r="P17" s="132" t="n">
        <x:f>((O17+(L17-N17-'Assumptions'!$B$27-'Assumptions'!$B$28)*('Assumptions'!$B$14/12))/ABS('Monthly Cash Flow'!$S$5))^(1/('Assumptions'!$B$14/12))-1</x:f>
        <x:v>0.19171331317511897</x:v>
      </x:c>
      <x:c r="Q17" s="133" t="n">
        <x:f>-ABS('Monthly Cash Flow'!$S$5)+((L17-N17-'Assumptions'!$B$27-'Assumptions'!$B$28)*(1-(1+'Assumptions'!$B$43)^-('Assumptions'!$B$14/12))/'Assumptions'!$B$43)+(O17/(1+'Assumptions'!$B$43)^('Assumptions'!$B$14/12))</x:f>
        <x:v>646972.6342113032</x:v>
      </x:c>
    </x:row>
    <x:row r="18">
      <x:c r="A18" s="131" t="n">
        <x:f>11</x:f>
        <x:v>11</x:v>
      </x:c>
      <x:c r="B18" s="131" t="n">
        <x:f>MOD(ABS(SIN((A18+1)*12.9898+78.233)*43758.5453),1)</x:f>
        <x:v>0.6111177305574529</x:v>
      </x:c>
      <x:c r="C18" s="131" t="n">
        <x:f>MOD(ABS(SIN((A18+2)*12.9898+78.233)*43758.5453),1)</x:f>
        <x:v>0.4013227664036094</x:v>
      </x:c>
      <x:c r="D18" s="131" t="n">
        <x:f>MOD(ABS(SIN((A18+3)*12.9898+78.233)*43758.5453),1)</x:f>
        <x:v>0.8490637169816182</x:v>
      </x:c>
      <x:c r="E18" s="131" t="n">
        <x:f>MOD(ABS(SIN((A18+4)*12.9898+78.233)*43758.5453),1)</x:f>
        <x:v>0.3408032159859431</x:v>
      </x:c>
      <x:c r="F18" s="131" t="n">
        <x:f>MOD(ABS(SIN((A18+5)*12.9898+78.233)*43758.5453),1)</x:f>
        <x:v>0.577594377036803</x:v>
      </x:c>
      <x:c r="G18" s="132" t="n">
        <x:f>IF(B18&lt;(('Assumptions'!$C$47-'Assumptions'!$B$47)/('Assumptions'!$D$47-'Assumptions'!$B$47)),'Assumptions'!$B$47+SQRT(B18*('Assumptions'!$D$47-'Assumptions'!$B$47)*('Assumptions'!$C$47-'Assumptions'!$B$47)),'Assumptions'!$D$47-SQRT((1-B18)*('Assumptions'!$D$47-'Assumptions'!$B$47)*('Assumptions'!$D$47-'Assumptions'!$C$47)))</x:f>
        <x:v>0.021119607562584006</x:v>
      </x:c>
      <x:c r="H18" s="132" t="n">
        <x:f>IF(C18&lt;(('Assumptions'!$C$48-'Assumptions'!$B$48)/('Assumptions'!$D$48-'Assumptions'!$B$48)),'Assumptions'!$B$48+SQRT(C18*('Assumptions'!$D$48-'Assumptions'!$B$48)*('Assumptions'!$C$48-'Assumptions'!$B$48)),'Assumptions'!$D$48-SQRT((1-C18)*('Assumptions'!$D$48-'Assumptions'!$B$48)*('Assumptions'!$D$48-'Assumptions'!$C$48)))</x:f>
        <x:v>0.06741653317973688</x:v>
      </x:c>
      <x:c r="I18" s="132" t="n">
        <x:f>IF(D18&lt;(('Assumptions'!$C$49-'Assumptions'!$B$49)/('Assumptions'!$D$49-'Assumptions'!$B$49)),'Assumptions'!$B$49+SQRT(D18*('Assumptions'!$D$49-'Assumptions'!$B$49)*('Assumptions'!$C$49-'Assumptions'!$B$49)),'Assumptions'!$D$49-SQRT((1-D18)*('Assumptions'!$D$49-'Assumptions'!$B$49)*('Assumptions'!$D$49-'Assumptions'!$C$49)))</x:f>
        <x:v>0.09290163125625175</x:v>
      </x:c>
      <x:c r="J18" s="132" t="n">
        <x:f>IF(E18&lt;(('Assumptions'!$C$50-'Assumptions'!$B$50)/('Assumptions'!$D$50-'Assumptions'!$B$50)),'Assumptions'!$B$50+SQRT(E18*('Assumptions'!$D$50-'Assumptions'!$B$50)*('Assumptions'!$C$50-'Assumptions'!$B$50)),'Assumptions'!$D$50-SQRT((1-E18)*('Assumptions'!$D$50-'Assumptions'!$B$50)*('Assumptions'!$D$50-'Assumptions'!$C$50)))</x:f>
        <x:v>0.066256753028197</x:v>
      </x:c>
      <x:c r="K18" s="132" t="n">
        <x:f>IF(F18&lt;(('Assumptions'!$C$51-'Assumptions'!$B$51)/('Assumptions'!$D$51-'Assumptions'!$B$51)),'Assumptions'!$B$51+SQRT(F18*('Assumptions'!$D$51-'Assumptions'!$B$51)*('Assumptions'!$C$51-'Assumptions'!$B$51)),'Assumptions'!$D$51-SQRT((1-F18)*('Assumptions'!$D$51-'Assumptions'!$B$51)*('Assumptions'!$D$51-'Assumptions'!$C$51)))</x:f>
        <x:v>0.07074227556546844</x:v>
      </x:c>
      <x:c r="L18" s="133" t="n">
        <x:f>(('Assumptions'!$B$17*(1+G18)+'Assumptions'!$B$18)*(1-H18-'Assumptions'!$B$20)-SUM('Assumptions'!$B$21:$B$25)*(1+I18))-(('Assumptions'!$B$17*(1+G18)+'Assumptions'!$B$18)*(1-H18-'Assumptions'!$B$20)*'Assumptions'!$B$26)</x:f>
        <x:v>203815.36092513253</x:v>
      </x:c>
      <x:c r="M18" s="133" t="n">
        <x:f>'Assumptions'!$B$10*'Assumptions'!$B$33</x:f>
        <x:v>1950000</x:v>
      </x:c>
      <x:c r="N18" s="133" t="n">
        <x:f>-PMT(K18/12,'Assumptions'!$B$35*12,M18)*12</x:f>
        <x:v>156849.0387623951</x:v>
      </x:c>
      <x:c r="O18" s="133" t="n">
        <x:f>(L18*(1+'Assumptions'!$B$29)^('Assumptions'!$B$14/12)/J18)*(1-'Assumptions'!$B$42)-'Debt Schedule'!$F$9</x:f>
        <x:v>3352129.1322290907</x:v>
      </x:c>
      <x:c r="P18" s="132" t="n">
        <x:f>((O18+(L18-N18-'Assumptions'!$B$27-'Assumptions'!$B$28)*('Assumptions'!$B$14/12))/ABS('Monthly Cash Flow'!$S$5))^(1/('Assumptions'!$B$14/12))-1</x:f>
        <x:v>0.2121088485094298</x:v>
      </x:c>
      <x:c r="Q18" s="133" t="n">
        <x:f>-ABS('Monthly Cash Flow'!$S$5)+((L18-N18-'Assumptions'!$B$27-'Assumptions'!$B$28)*(1-(1+'Assumptions'!$B$43)^-('Assumptions'!$B$14/12))/'Assumptions'!$B$43)+(O18/(1+'Assumptions'!$B$43)^('Assumptions'!$B$14/12))</x:f>
        <x:v>813316.2977347658</x:v>
      </x:c>
    </x:row>
    <x:row r="19">
      <x:c r="A19" s="131" t="n">
        <x:f>12</x:f>
        <x:v>12</x:v>
      </x:c>
      <x:c r="B19" s="131" t="n">
        <x:f>MOD(ABS(SIN((A19+1)*12.9898+78.233)*43758.5453),1)</x:f>
        <x:v>0.4013227664036094</x:v>
      </x:c>
      <x:c r="C19" s="131" t="n">
        <x:f>MOD(ABS(SIN((A19+2)*12.9898+78.233)*43758.5453),1)</x:f>
        <x:v>0.8490637169816182</x:v>
      </x:c>
      <x:c r="D19" s="131" t="n">
        <x:f>MOD(ABS(SIN((A19+3)*12.9898+78.233)*43758.5453),1)</x:f>
        <x:v>0.3408032159859431</x:v>
      </x:c>
      <x:c r="E19" s="131" t="n">
        <x:f>MOD(ABS(SIN((A19+4)*12.9898+78.233)*43758.5453),1)</x:f>
        <x:v>0.577594377036803</x:v>
      </x:c>
      <x:c r="F19" s="131" t="n">
        <x:f>MOD(ABS(SIN((A19+5)*12.9898+78.233)*43758.5453),1)</x:f>
        <x:v>0.7621944653583341</x:v>
      </x:c>
      <x:c r="G19" s="132" t="n">
        <x:f>IF(B19&lt;(('Assumptions'!$C$47-'Assumptions'!$B$47)/('Assumptions'!$D$47-'Assumptions'!$B$47)),'Assumptions'!$B$47+SQRT(B19*('Assumptions'!$D$47-'Assumptions'!$B$47)*('Assumptions'!$C$47-'Assumptions'!$B$47)),'Assumptions'!$D$47-SQRT((1-B19)*('Assumptions'!$D$47-'Assumptions'!$B$47)*('Assumptions'!$D$47-'Assumptions'!$C$47)))</x:f>
        <x:v>-0.0018585388651329166</x:v>
      </x:c>
      <x:c r="H19" s="132" t="n">
        <x:f>IF(C19&lt;(('Assumptions'!$C$48-'Assumptions'!$B$48)/('Assumptions'!$D$48-'Assumptions'!$B$48)),'Assumptions'!$B$48+SQRT(C19*('Assumptions'!$D$48-'Assumptions'!$B$48)*('Assumptions'!$C$48-'Assumptions'!$B$48)),'Assumptions'!$D$48-SQRT((1-C19)*('Assumptions'!$D$48-'Assumptions'!$B$48)*('Assumptions'!$D$48-'Assumptions'!$C$48)))</x:f>
        <x:v>0.10355498263737882</x:v>
      </x:c>
      <x:c r="I19" s="132" t="n">
        <x:f>IF(D19&lt;(('Assumptions'!$C$49-'Assumptions'!$B$49)/('Assumptions'!$D$49-'Assumptions'!$B$49)),'Assumptions'!$B$49+SQRT(D19*('Assumptions'!$D$49-'Assumptions'!$B$49)*('Assumptions'!$C$49-'Assumptions'!$B$49)),'Assumptions'!$D$49-SQRT((1-D19)*('Assumptions'!$D$49-'Assumptions'!$B$49)*('Assumptions'!$D$49-'Assumptions'!$C$49)))</x:f>
        <x:v>0.030674183284992232</x:v>
      </x:c>
      <x:c r="J19" s="132" t="n">
        <x:f>IF(E19&lt;(('Assumptions'!$C$50-'Assumptions'!$B$50)/('Assumptions'!$D$50-'Assumptions'!$B$50)),'Assumptions'!$B$50+SQRT(E19*('Assumptions'!$D$50-'Assumptions'!$B$50)*('Assumptions'!$C$50-'Assumptions'!$B$50)),'Assumptions'!$D$50-SQRT((1-E19)*('Assumptions'!$D$50-'Assumptions'!$B$50)*('Assumptions'!$D$50-'Assumptions'!$C$50)))</x:f>
        <x:v>0.06910038617847407</x:v>
      </x:c>
      <x:c r="K19" s="132" t="n">
        <x:f>IF(F19&lt;(('Assumptions'!$C$51-'Assumptions'!$B$51)/('Assumptions'!$D$51-'Assumptions'!$B$51)),'Assumptions'!$B$51+SQRT(F19*('Assumptions'!$D$51-'Assumptions'!$B$51)*('Assumptions'!$C$51-'Assumptions'!$B$51)),'Assumptions'!$D$51-SQRT((1-F19)*('Assumptions'!$D$51-'Assumptions'!$B$51)*('Assumptions'!$D$51-'Assumptions'!$C$51)))</x:f>
        <x:v>0.07430215378936948</x:v>
      </x:c>
      <x:c r="L19" s="133" t="n">
        <x:f>(('Assumptions'!$B$17*(1+G19)+'Assumptions'!$B$18)*(1-H19-'Assumptions'!$B$20)-SUM('Assumptions'!$B$21:$B$25)*(1+I19))-(('Assumptions'!$B$17*(1+G19)+'Assumptions'!$B$18)*(1-H19-'Assumptions'!$B$20)*'Assumptions'!$B$26)</x:f>
        <x:v>191238.8473929117</x:v>
      </x:c>
      <x:c r="M19" s="133" t="n">
        <x:f>'Assumptions'!$B$10*'Assumptions'!$B$33</x:f>
        <x:v>1950000</x:v>
      </x:c>
      <x:c r="N19" s="133" t="n">
        <x:f>-PMT(K19/12,'Assumptions'!$B$35*12,M19)*12</x:f>
        <x:v>162499.48033367406</x:v>
      </x:c>
      <x:c r="O19" s="133" t="n">
        <x:f>(L19*(1+'Assumptions'!$B$29)^('Assumptions'!$B$14/12)/J19)*(1-'Assumptions'!$B$42)-'Debt Schedule'!$F$9</x:f>
        <x:v>3015849.187535201</x:v>
      </x:c>
      <x:c r="P19" s="132" t="n">
        <x:f>((O19+(L19-N19-'Assumptions'!$B$27-'Assumptions'!$B$28)*('Assumptions'!$B$14/12))/ABS('Monthly Cash Flow'!$S$5))^(1/('Assumptions'!$B$14/12))-1</x:f>
        <x:v>0.17984405520689295</x:v>
      </x:c>
      <x:c r="Q19" s="133" t="n">
        <x:f>-ABS('Monthly Cash Flow'!$S$5)+((L19-N19-'Assumptions'!$B$27-'Assumptions'!$B$28)*(1-(1+'Assumptions'!$B$43)^-('Assumptions'!$B$14/12))/'Assumptions'!$B$43)+(O19/(1+'Assumptions'!$B$43)^('Assumptions'!$B$14/12))</x:f>
        <x:v>535418.4093042279</x:v>
      </x:c>
    </x:row>
    <x:row r="20">
      <x:c r="A20" s="131" t="n">
        <x:f>13</x:f>
        <x:v>13</x:v>
      </x:c>
      <x:c r="B20" s="131" t="n">
        <x:f>MOD(ABS(SIN((A20+1)*12.9898+78.233)*43758.5453),1)</x:f>
        <x:v>0.8490637169816182</x:v>
      </x:c>
      <x:c r="C20" s="131" t="n">
        <x:f>MOD(ABS(SIN((A20+2)*12.9898+78.233)*43758.5453),1)</x:f>
        <x:v>0.3408032159859431</x:v>
      </x:c>
      <x:c r="D20" s="131" t="n">
        <x:f>MOD(ABS(SIN((A20+3)*12.9898+78.233)*43758.5453),1)</x:f>
        <x:v>0.577594377036803</x:v>
      </x:c>
      <x:c r="E20" s="131" t="n">
        <x:f>MOD(ABS(SIN((A20+4)*12.9898+78.233)*43758.5453),1)</x:f>
        <x:v>0.7621944653583341</x:v>
      </x:c>
      <x:c r="F20" s="131" t="n">
        <x:f>MOD(ABS(SIN((A20+5)*12.9898+78.233)*43758.5453),1)</x:f>
        <x:v>0.012687917158473283</x:v>
      </x:c>
      <x:c r="G20" s="132" t="n">
        <x:f>IF(B20&lt;(('Assumptions'!$C$47-'Assumptions'!$B$47)/('Assumptions'!$D$47-'Assumptions'!$B$47)),'Assumptions'!$B$47+SQRT(B20*('Assumptions'!$D$47-'Assumptions'!$B$47)*('Assumptions'!$C$47-'Assumptions'!$B$47)),'Assumptions'!$D$47-SQRT((1-B20)*('Assumptions'!$D$47-'Assumptions'!$B$47)*('Assumptions'!$D$47-'Assumptions'!$C$47)))</x:f>
        <x:v>0.050857548613300656</x:v>
      </x:c>
      <x:c r="H20" s="132" t="n">
        <x:f>IF(C20&lt;(('Assumptions'!$C$48-'Assumptions'!$B$48)/('Assumptions'!$D$48-'Assumptions'!$B$48)),'Assumptions'!$B$48+SQRT(C20*('Assumptions'!$D$48-'Assumptions'!$B$48)*('Assumptions'!$C$48-'Assumptions'!$B$48)),'Assumptions'!$D$48-SQRT((1-C20)*('Assumptions'!$D$48-'Assumptions'!$B$48)*('Assumptions'!$D$48-'Assumptions'!$C$48)))</x:f>
        <x:v>0.06383615228125814</x:v>
      </x:c>
      <x:c r="I20" s="132" t="n">
        <x:f>IF(D20&lt;(('Assumptions'!$C$49-'Assumptions'!$B$49)/('Assumptions'!$D$49-'Assumptions'!$B$49)),'Assumptions'!$B$49+SQRT(D20*('Assumptions'!$D$49-'Assumptions'!$B$49)*('Assumptions'!$C$49-'Assumptions'!$B$49)),'Assumptions'!$D$49-SQRT((1-D20)*('Assumptions'!$D$49-'Assumptions'!$B$49)*('Assumptions'!$D$49-'Assumptions'!$C$49)))</x:f>
        <x:v>0.054480570269682546</x:v>
      </x:c>
      <x:c r="J20" s="132" t="n">
        <x:f>IF(E20&lt;(('Assumptions'!$C$50-'Assumptions'!$B$50)/('Assumptions'!$D$50-'Assumptions'!$B$50)),'Assumptions'!$B$50+SQRT(E20*('Assumptions'!$D$50-'Assumptions'!$B$50)*('Assumptions'!$C$50-'Assumptions'!$B$50)),'Assumptions'!$D$50-SQRT((1-E20)*('Assumptions'!$D$50-'Assumptions'!$B$50)*('Assumptions'!$D$50-'Assumptions'!$C$50)))</x:f>
        <x:v>0.07182180908648077</x:v>
      </x:c>
      <x:c r="K20" s="132" t="n">
        <x:f>IF(F20&lt;(('Assumptions'!$C$51-'Assumptions'!$B$51)/('Assumptions'!$D$51-'Assumptions'!$B$51)),'Assumptions'!$B$51+SQRT(F20*('Assumptions'!$D$51-'Assumptions'!$B$51)*('Assumptions'!$C$51-'Assumptions'!$B$51)),'Assumptions'!$D$51-SQRT((1-F20)*('Assumptions'!$D$51-'Assumptions'!$B$51)*('Assumptions'!$D$51-'Assumptions'!$C$51)))</x:f>
        <x:v>0.059367933943848164</x:v>
      </x:c>
      <x:c r="L20" s="133" t="n">
        <x:f>(('Assumptions'!$B$17*(1+G20)+'Assumptions'!$B$18)*(1-H20-'Assumptions'!$B$20)-SUM('Assumptions'!$B$21:$B$25)*(1+I20))-(('Assumptions'!$B$17*(1+G20)+'Assumptions'!$B$18)*(1-H20-'Assumptions'!$B$20)*'Assumptions'!$B$26)</x:f>
        <x:v>219500.38256362957</x:v>
      </x:c>
      <x:c r="M20" s="133" t="n">
        <x:f>'Assumptions'!$B$10*'Assumptions'!$B$33</x:f>
        <x:v>1950000</x:v>
      </x:c>
      <x:c r="N20" s="133" t="n">
        <x:f>-PMT(K20/12,'Assumptions'!$B$35*12,M20)*12</x:f>
        <x:v>139345.33990302827</x:v>
      </x:c>
      <x:c r="O20" s="133" t="n">
        <x:f>(L20*(1+'Assumptions'!$B$29)^('Assumptions'!$B$14/12)/J20)*(1-'Assumptions'!$B$42)-'Debt Schedule'!$F$9</x:f>
        <x:v>3330373.318063284</x:v>
      </x:c>
      <x:c r="P20" s="132" t="n">
        <x:f>((O20+(L20-N20-'Assumptions'!$B$27-'Assumptions'!$B$28)*('Assumptions'!$B$14/12))/ABS('Monthly Cash Flow'!$S$5))^(1/('Assumptions'!$B$14/12))-1</x:f>
        <x:v>0.22225771203728195</x:v>
      </x:c>
      <x:c r="Q20" s="133" t="n">
        <x:f>-ABS('Monthly Cash Flow'!$S$5)+((L20-N20-'Assumptions'!$B$27-'Assumptions'!$B$28)*(1-(1+'Assumptions'!$B$43)^-('Assumptions'!$B$14/12))/'Assumptions'!$B$43)+(O20/(1+'Assumptions'!$B$43)^('Assumptions'!$B$14/12))</x:f>
        <x:v>925619.0113756014</x:v>
      </x:c>
    </x:row>
    <x:row r="21">
      <x:c r="A21" s="131" t="n">
        <x:f>14</x:f>
        <x:v>14</x:v>
      </x:c>
      <x:c r="B21" s="131" t="n">
        <x:f>MOD(ABS(SIN((A21+1)*12.9898+78.233)*43758.5453),1)</x:f>
        <x:v>0.3408032159859431</x:v>
      </x:c>
      <x:c r="C21" s="131" t="n">
        <x:f>MOD(ABS(SIN((A21+2)*12.9898+78.233)*43758.5453),1)</x:f>
        <x:v>0.577594377036803</x:v>
      </x:c>
      <x:c r="D21" s="131" t="n">
        <x:f>MOD(ABS(SIN((A21+3)*12.9898+78.233)*43758.5453),1)</x:f>
        <x:v>0.7621944653583341</x:v>
      </x:c>
      <x:c r="E21" s="131" t="n">
        <x:f>MOD(ABS(SIN((A21+4)*12.9898+78.233)*43758.5453),1)</x:f>
        <x:v>0.012687917158473283</x:v>
      </x:c>
      <x:c r="F21" s="131" t="n">
        <x:f>MOD(ABS(SIN((A21+5)*12.9898+78.233)*43758.5453),1)</x:f>
        <x:v>0.2900176249531796</x:v>
      </x:c>
      <x:c r="G21" s="132" t="n">
        <x:f>IF(B21&lt;(('Assumptions'!$C$47-'Assumptions'!$B$47)/('Assumptions'!$D$47-'Assumptions'!$B$47)),'Assumptions'!$B$47+SQRT(B21*('Assumptions'!$D$47-'Assumptions'!$B$47)*('Assumptions'!$C$47-'Assumptions'!$B$47)),'Assumptions'!$D$47-SQRT((1-B21)*('Assumptions'!$D$47-'Assumptions'!$B$47)*('Assumptions'!$D$47-'Assumptions'!$C$47)))</x:f>
        <x:v>-0.009560643613177822</x:v>
      </x:c>
      <x:c r="H21" s="132" t="n">
        <x:f>IF(C21&lt;(('Assumptions'!$C$48-'Assumptions'!$B$48)/('Assumptions'!$D$48-'Assumptions'!$B$48)),'Assumptions'!$B$48+SQRT(C21*('Assumptions'!$D$48-'Assumptions'!$B$48)*('Assumptions'!$C$48-'Assumptions'!$B$48)),'Assumptions'!$D$48-SQRT((1-C21)*('Assumptions'!$D$48-'Assumptions'!$B$48)*('Assumptions'!$D$48-'Assumptions'!$C$48)))</x:f>
        <x:v>0.0790314057725116</x:v>
      </x:c>
      <x:c r="I21" s="132" t="n">
        <x:f>IF(D21&lt;(('Assumptions'!$C$49-'Assumptions'!$B$49)/('Assumptions'!$D$49-'Assumptions'!$B$49)),'Assumptions'!$B$49+SQRT(D21*('Assumptions'!$D$49-'Assumptions'!$B$49)*('Assumptions'!$C$49-'Assumptions'!$B$49)),'Assumptions'!$D$49-SQRT((1-D21)*('Assumptions'!$D$49-'Assumptions'!$B$49)*('Assumptions'!$D$49-'Assumptions'!$C$49)))</x:f>
        <x:v>0.07832992571330777</x:v>
      </x:c>
      <x:c r="J21" s="132" t="n">
        <x:f>IF(E21&lt;(('Assumptions'!$C$50-'Assumptions'!$B$50)/('Assumptions'!$D$50-'Assumptions'!$B$50)),'Assumptions'!$B$50+SQRT(E21*('Assumptions'!$D$50-'Assumptions'!$B$50)*('Assumptions'!$C$50-'Assumptions'!$B$50)),'Assumptions'!$D$50-SQRT((1-E21)*('Assumptions'!$D$50-'Assumptions'!$B$50)*('Assumptions'!$D$50-'Assumptions'!$C$50)))</x:f>
        <x:v>0.059189609824976314</x:v>
      </x:c>
      <x:c r="K21" s="132" t="n">
        <x:f>IF(F21&lt;(('Assumptions'!$C$51-'Assumptions'!$B$51)/('Assumptions'!$D$51-'Assumptions'!$B$51)),'Assumptions'!$B$51+SQRT(F21*('Assumptions'!$D$51-'Assumptions'!$B$51)*('Assumptions'!$C$51-'Assumptions'!$B$51)),'Assumptions'!$D$51-SQRT((1-F21)*('Assumptions'!$D$51-'Assumptions'!$B$51)*('Assumptions'!$D$51-'Assumptions'!$C$51)))</x:f>
        <x:v>0.06643055691780331</x:v>
      </x:c>
      <x:c r="L21" s="133" t="n">
        <x:f>(('Assumptions'!$B$17*(1+G21)+'Assumptions'!$B$18)*(1-H21-'Assumptions'!$B$20)-SUM('Assumptions'!$B$21:$B$25)*(1+I21))-(('Assumptions'!$B$17*(1+G21)+'Assumptions'!$B$18)*(1-H21-'Assumptions'!$B$20)*'Assumptions'!$B$26)</x:f>
        <x:v>191692.72827083958</x:v>
      </x:c>
      <x:c r="M21" s="133" t="n">
        <x:f>'Assumptions'!$B$10*'Assumptions'!$B$33</x:f>
        <x:v>1950000</x:v>
      </x:c>
      <x:c r="N21" s="133" t="n">
        <x:f>-PMT(K21/12,'Assumptions'!$B$35*12,M21)*12</x:f>
        <x:v>150112.2365243813</x:v>
      </x:c>
      <x:c r="O21" s="133" t="n">
        <x:f>(L21*(1+'Assumptions'!$B$29)^('Assumptions'!$B$14/12)/J21)*(1-'Assumptions'!$B$42)-'Debt Schedule'!$F$9</x:f>
        <x:v>3529182.6745764404</x:v>
      </x:c>
      <x:c r="P21" s="132" t="n">
        <x:f>((O21+(L21-N21-'Assumptions'!$B$27-'Assumptions'!$B$28)*('Assumptions'!$B$14/12))/ABS('Monthly Cash Flow'!$S$5))^(1/('Assumptions'!$B$14/12))-1</x:f>
        <x:v>0.22266841030030116</x:v>
      </x:c>
      <x:c r="Q21" s="133" t="n">
        <x:f>-ABS('Monthly Cash Flow'!$S$5)+((L21-N21-'Assumptions'!$B$27-'Assumptions'!$B$28)*(1-(1+'Assumptions'!$B$43)^-('Assumptions'!$B$14/12))/'Assumptions'!$B$43)+(O21/(1+'Assumptions'!$B$43)^('Assumptions'!$B$14/12))</x:f>
        <x:v>902836.0828170837</x:v>
      </x:c>
    </x:row>
    <x:row r="22">
      <x:c r="A22" s="131" t="n">
        <x:f>15</x:f>
        <x:v>15</x:v>
      </x:c>
      <x:c r="B22" s="131" t="n">
        <x:f>MOD(ABS(SIN((A22+1)*12.9898+78.233)*43758.5453),1)</x:f>
        <x:v>0.577594377036803</x:v>
      </x:c>
      <x:c r="C22" s="131" t="n">
        <x:f>MOD(ABS(SIN((A22+2)*12.9898+78.233)*43758.5453),1)</x:f>
        <x:v>0.7621944653583341</x:v>
      </x:c>
      <x:c r="D22" s="131" t="n">
        <x:f>MOD(ABS(SIN((A22+3)*12.9898+78.233)*43758.5453),1)</x:f>
        <x:v>0.012687917158473283</x:v>
      </x:c>
      <x:c r="E22" s="131" t="n">
        <x:f>MOD(ABS(SIN((A22+4)*12.9898+78.233)*43758.5453),1)</x:f>
        <x:v>0.2900176249531796</x:v>
      </x:c>
      <x:c r="F22" s="131" t="n">
        <x:f>MOD(ABS(SIN((A22+5)*12.9898+78.233)*43758.5453),1)</x:f>
        <x:v>0.13444439799059182</x:v>
      </x:c>
      <x:c r="G22" s="132" t="n">
        <x:f>IF(B22&lt;(('Assumptions'!$C$47-'Assumptions'!$B$47)/('Assumptions'!$D$47-'Assumptions'!$B$47)),'Assumptions'!$B$47+SQRT(B22*('Assumptions'!$D$47-'Assumptions'!$B$47)*('Assumptions'!$C$47-'Assumptions'!$B$47)),'Assumptions'!$D$47-SQRT((1-B22)*('Assumptions'!$D$47-'Assumptions'!$B$47)*('Assumptions'!$D$47-'Assumptions'!$C$47)))</x:f>
        <x:v>0.01773812062744705</x:v>
      </x:c>
      <x:c r="H22" s="132" t="n">
        <x:f>IF(C22&lt;(('Assumptions'!$C$48-'Assumptions'!$B$48)/('Assumptions'!$D$48-'Assumptions'!$B$48)),'Assumptions'!$B$48+SQRT(C22*('Assumptions'!$D$48-'Assumptions'!$B$48)*('Assumptions'!$C$48-'Assumptions'!$B$48)),'Assumptions'!$D$48-SQRT((1-C22)*('Assumptions'!$D$48-'Assumptions'!$B$48)*('Assumptions'!$D$48-'Assumptions'!$C$48)))</x:f>
        <x:v>0.09425408537534025</x:v>
      </x:c>
      <x:c r="I22" s="132" t="n">
        <x:f>IF(D22&lt;(('Assumptions'!$C$49-'Assumptions'!$B$49)/('Assumptions'!$D$49-'Assumptions'!$B$49)),'Assumptions'!$B$49+SQRT(D22*('Assumptions'!$D$49-'Assumptions'!$B$49)*('Assumptions'!$C$49-'Assumptions'!$B$49)),'Assumptions'!$D$49-SQRT((1-D22)*('Assumptions'!$D$49-'Assumptions'!$B$49)*('Assumptions'!$D$49-'Assumptions'!$C$49)))</x:f>
        <x:v>-0.018294039752693864</x:v>
      </x:c>
      <x:c r="J22" s="132" t="n">
        <x:f>IF(E22&lt;(('Assumptions'!$C$50-'Assumptions'!$B$50)/('Assumptions'!$D$50-'Assumptions'!$B$50)),'Assumptions'!$B$50+SQRT(E22*('Assumptions'!$D$50-'Assumptions'!$B$50)*('Assumptions'!$C$50-'Assumptions'!$B$50)),'Assumptions'!$D$50-SQRT((1-E22)*('Assumptions'!$D$50-'Assumptions'!$B$50)*('Assumptions'!$D$50-'Assumptions'!$C$50)))</x:f>
        <x:v>0.06557799267234538</x:v>
      </x:c>
      <x:c r="K22" s="132" t="n">
        <x:f>IF(F22&lt;(('Assumptions'!$C$51-'Assumptions'!$B$51)/('Assumptions'!$D$51-'Assumptions'!$B$51)),'Assumptions'!$B$51+SQRT(F22*('Assumptions'!$D$51-'Assumptions'!$B$51)*('Assumptions'!$C$51-'Assumptions'!$B$51)),'Assumptions'!$D$51-SQRT((1-F22)*('Assumptions'!$D$51-'Assumptions'!$B$51)*('Assumptions'!$D$51-'Assumptions'!$C$51)))</x:f>
        <x:v>0.06358047773184088</x:v>
      </x:c>
      <x:c r="L22" s="133" t="n">
        <x:f>(('Assumptions'!$B$17*(1+G22)+'Assumptions'!$B$18)*(1-H22-'Assumptions'!$B$20)-SUM('Assumptions'!$B$21:$B$25)*(1+I22))-(('Assumptions'!$B$17*(1+G22)+'Assumptions'!$B$18)*(1-H22-'Assumptions'!$B$20)*'Assumptions'!$B$26)</x:f>
        <x:v>206844.51275166552</x:v>
      </x:c>
      <x:c r="M22" s="133" t="n">
        <x:f>'Assumptions'!$B$10*'Assumptions'!$B$33</x:f>
        <x:v>1950000</x:v>
      </x:c>
      <x:c r="N22" s="133" t="n">
        <x:f>-PMT(K22/12,'Assumptions'!$B$35*12,M22)*12</x:f>
        <x:v>145726.20774095418</x:v>
      </x:c>
      <x:c r="O22" s="133" t="n">
        <x:f>(L22*(1+'Assumptions'!$B$29)^('Assumptions'!$B$14/12)/J22)*(1-'Assumptions'!$B$42)-'Debt Schedule'!$F$9</x:f>
        <x:v>3437160.897982498</x:v>
      </x:c>
      <x:c r="P22" s="132" t="n">
        <x:f>((O22+(L22-N22-'Assumptions'!$B$27-'Assumptions'!$B$28)*('Assumptions'!$B$14/12))/ABS('Monthly Cash Flow'!$S$5))^(1/('Assumptions'!$B$14/12))-1</x:f>
        <x:v>0.22305996318604637</x:v>
      </x:c>
      <x:c r="Q22" s="133" t="n">
        <x:f>-ABS('Monthly Cash Flow'!$S$5)+((L22-N22-'Assumptions'!$B$27-'Assumptions'!$B$28)*(1-(1+'Assumptions'!$B$43)^-('Assumptions'!$B$14/12))/'Assumptions'!$B$43)+(O22/(1+'Assumptions'!$B$43)^('Assumptions'!$B$14/12))</x:f>
        <x:v>919761.4835694227</x:v>
      </x:c>
    </x:row>
    <x:row r="23">
      <x:c r="A23" s="131" t="n">
        <x:f>16</x:f>
        <x:v>16</x:v>
      </x:c>
      <x:c r="B23" s="131" t="n">
        <x:f>MOD(ABS(SIN((A23+1)*12.9898+78.233)*43758.5453),1)</x:f>
        <x:v>0.7621944653583341</x:v>
      </x:c>
      <x:c r="C23" s="131" t="n">
        <x:f>MOD(ABS(SIN((A23+2)*12.9898+78.233)*43758.5453),1)</x:f>
        <x:v>0.012687917158473283</x:v>
      </x:c>
      <x:c r="D23" s="131" t="n">
        <x:f>MOD(ABS(SIN((A23+3)*12.9898+78.233)*43758.5453),1)</x:f>
        <x:v>0.2900176249531796</x:v>
      </x:c>
      <x:c r="E23" s="131" t="n">
        <x:f>MOD(ABS(SIN((A23+4)*12.9898+78.233)*43758.5453),1)</x:f>
        <x:v>0.13444439799059182</x:v>
      </x:c>
      <x:c r="F23" s="131" t="n">
        <x:f>MOD(ABS(SIN((A23+5)*12.9898+78.233)*43758.5453),1)</x:f>
        <x:v>0.1480405164329568</x:v>
      </x:c>
      <x:c r="G23" s="132" t="n">
        <x:f>IF(B23&lt;(('Assumptions'!$C$47-'Assumptions'!$B$47)/('Assumptions'!$D$47-'Assumptions'!$B$47)),'Assumptions'!$B$47+SQRT(B23*('Assumptions'!$D$47-'Assumptions'!$B$47)*('Assumptions'!$C$47-'Assumptions'!$B$47)),'Assumptions'!$D$47-SQRT((1-B23)*('Assumptions'!$D$47-'Assumptions'!$B$47)*('Assumptions'!$D$47-'Assumptions'!$C$47)))</x:f>
        <x:v>0.03831622130359835</x:v>
      </x:c>
      <x:c r="H23" s="132" t="n">
        <x:f>IF(C23&lt;(('Assumptions'!$C$48-'Assumptions'!$B$48)/('Assumptions'!$D$48-'Assumptions'!$B$48)),'Assumptions'!$B$48+SQRT(C23*('Assumptions'!$D$48-'Assumptions'!$B$48)*('Assumptions'!$C$48-'Assumptions'!$B$48)),'Assumptions'!$D$48-SQRT((1-C23)*('Assumptions'!$D$48-'Assumptions'!$B$48)*('Assumptions'!$D$48-'Assumptions'!$C$48)))</x:f>
        <x:v>0.03647071299185506</x:v>
      </x:c>
      <x:c r="I23" s="132" t="n">
        <x:f>IF(D23&lt;(('Assumptions'!$C$49-'Assumptions'!$B$49)/('Assumptions'!$D$49-'Assumptions'!$B$49)),'Assumptions'!$B$49+SQRT(D23*('Assumptions'!$D$49-'Assumptions'!$B$49)*('Assumptions'!$C$49-'Assumptions'!$B$49)),'Assumptions'!$D$49-SQRT((1-D23)*('Assumptions'!$D$49-'Assumptions'!$B$49)*('Assumptions'!$D$49-'Assumptions'!$C$49)))</x:f>
        <x:v>0.02596597492668505</x:v>
      </x:c>
      <x:c r="J23" s="132" t="n">
        <x:f>IF(E23&lt;(('Assumptions'!$C$50-'Assumptions'!$B$50)/('Assumptions'!$D$50-'Assumptions'!$B$50)),'Assumptions'!$B$50+SQRT(E23*('Assumptions'!$D$50-'Assumptions'!$B$50)*('Assumptions'!$C$50-'Assumptions'!$B$50)),'Assumptions'!$D$50-SQRT((1-E23)*('Assumptions'!$D$50-'Assumptions'!$B$50)*('Assumptions'!$D$50-'Assumptions'!$C$50)))</x:f>
        <x:v>0.06299999904980748</x:v>
      </x:c>
      <x:c r="K23" s="132" t="n">
        <x:f>IF(F23&lt;(('Assumptions'!$C$51-'Assumptions'!$B$51)/('Assumptions'!$D$51-'Assumptions'!$B$51)),'Assumptions'!$B$51+SQRT(F23*('Assumptions'!$D$51-'Assumptions'!$B$51)*('Assumptions'!$C$51-'Assumptions'!$B$51)),'Assumptions'!$D$51-SQRT((1-F23)*('Assumptions'!$D$51-'Assumptions'!$B$51)*('Assumptions'!$D$51-'Assumptions'!$C$51)))</x:f>
        <x:v>0.06388052834952272</x:v>
      </x:c>
      <x:c r="L23" s="133" t="n">
        <x:f>(('Assumptions'!$B$17*(1+G23)+'Assumptions'!$B$18)*(1-H23-'Assumptions'!$B$20)-SUM('Assumptions'!$B$21:$B$25)*(1+I23))-(('Assumptions'!$B$17*(1+G23)+'Assumptions'!$B$18)*(1-H23-'Assumptions'!$B$20)*'Assumptions'!$B$26)</x:f>
        <x:v>229371.7117295225</x:v>
      </x:c>
      <x:c r="M23" s="133" t="n">
        <x:f>'Assumptions'!$B$10*'Assumptions'!$B$33</x:f>
        <x:v>1950000</x:v>
      </x:c>
      <x:c r="N23" s="133" t="n">
        <x:f>-PMT(K23/12,'Assumptions'!$B$35*12,M23)*12</x:f>
        <x:v>146185.38216764777</x:v>
      </x:c>
      <x:c r="O23" s="133" t="n">
        <x:f>(L23*(1+'Assumptions'!$B$29)^('Assumptions'!$B$14/12)/J23)*(1-'Assumptions'!$B$42)-'Debt Schedule'!$F$9</x:f>
        <x:v>3967466.6956913476</x:v>
      </x:c>
      <x:c r="P23" s="132" t="n">
        <x:f>((O23+(L23-N23-'Assumptions'!$B$27-'Assumptions'!$B$28)*('Assumptions'!$B$14/12))/ABS('Monthly Cash Flow'!$S$5))^(1/('Assumptions'!$B$14/12))-1</x:f>
        <x:v>0.2644027538818543</x:v>
      </x:c>
      <x:c r="Q23" s="133" t="n">
        <x:f>-ABS('Monthly Cash Flow'!$S$5)+((L23-N23-'Assumptions'!$B$27-'Assumptions'!$B$28)*(1-(1+'Assumptions'!$B$43)^-('Assumptions'!$B$14/12))/'Assumptions'!$B$43)+(O23/(1+'Assumptions'!$B$43)^('Assumptions'!$B$14/12))</x:f>
        <x:v>1332694.8366042732</x:v>
      </x:c>
    </x:row>
    <x:row r="24">
      <x:c r="A24" s="131" t="n">
        <x:f>17</x:f>
        <x:v>17</x:v>
      </x:c>
      <x:c r="B24" s="131" t="n">
        <x:f>MOD(ABS(SIN((A24+1)*12.9898+78.233)*43758.5453),1)</x:f>
        <x:v>0.012687917158473283</x:v>
      </x:c>
      <x:c r="C24" s="131" t="n">
        <x:f>MOD(ABS(SIN((A24+2)*12.9898+78.233)*43758.5453),1)</x:f>
        <x:v>0.2900176249531796</x:v>
      </x:c>
      <x:c r="D24" s="131" t="n">
        <x:f>MOD(ABS(SIN((A24+3)*12.9898+78.233)*43758.5453),1)</x:f>
        <x:v>0.13444439799059182</x:v>
      </x:c>
      <x:c r="E24" s="131" t="n">
        <x:f>MOD(ABS(SIN((A24+4)*12.9898+78.233)*43758.5453),1)</x:f>
        <x:v>0.1480405164329568</x:v>
      </x:c>
      <x:c r="F24" s="131" t="n">
        <x:f>MOD(ABS(SIN((A24+5)*12.9898+78.233)*43758.5453),1)</x:f>
        <x:v>0.956544042306632</x:v>
      </x:c>
      <x:c r="G24" s="132" t="n">
        <x:f>IF(B24&lt;(('Assumptions'!$C$47-'Assumptions'!$B$47)/('Assumptions'!$D$47-'Assumptions'!$B$47)),'Assumptions'!$B$47+SQRT(B24*('Assumptions'!$D$47-'Assumptions'!$B$47)*('Assumptions'!$C$47-'Assumptions'!$B$47)),'Assumptions'!$D$47-SQRT((1-B24)*('Assumptions'!$D$47-'Assumptions'!$B$47)*('Assumptions'!$D$47-'Assumptions'!$C$47)))</x:f>
        <x:v>-0.08254978476340882</x:v>
      </x:c>
      <x:c r="H24" s="132" t="n">
        <x:f>IF(C24&lt;(('Assumptions'!$C$48-'Assumptions'!$B$48)/('Assumptions'!$D$48-'Assumptions'!$B$48)),'Assumptions'!$B$48+SQRT(C24*('Assumptions'!$D$48-'Assumptions'!$B$48)*('Assumptions'!$C$48-'Assumptions'!$B$48)),'Assumptions'!$D$48-SQRT((1-C24)*('Assumptions'!$D$48-'Assumptions'!$B$48)*('Assumptions'!$D$48-'Assumptions'!$C$48)))</x:f>
        <x:v>0.060956689717522466</x:v>
      </x:c>
      <x:c r="I24" s="132" t="n">
        <x:f>IF(D24&lt;(('Assumptions'!$C$49-'Assumptions'!$B$49)/('Assumptions'!$D$49-'Assumptions'!$B$49)),'Assumptions'!$B$49+SQRT(D24*('Assumptions'!$D$49-'Assumptions'!$B$49)*('Assumptions'!$C$49-'Assumptions'!$B$49)),'Assumptions'!$D$49-SQRT((1-D24)*('Assumptions'!$D$49-'Assumptions'!$B$49)*('Assumptions'!$D$49-'Assumptions'!$C$49)))</x:f>
        <x:v>0.0081051111833884</x:v>
      </x:c>
      <x:c r="J24" s="132" t="n">
        <x:f>IF(E24&lt;(('Assumptions'!$C$50-'Assumptions'!$B$50)/('Assumptions'!$D$50-'Assumptions'!$B$50)),'Assumptions'!$B$50+SQRT(E24*('Assumptions'!$D$50-'Assumptions'!$B$50)*('Assumptions'!$C$50-'Assumptions'!$B$50)),'Assumptions'!$D$50-SQRT((1-E24)*('Assumptions'!$D$50-'Assumptions'!$B$50)*('Assumptions'!$D$50-'Assumptions'!$C$50)))</x:f>
        <x:v>0.0632714050453434</x:v>
      </x:c>
      <x:c r="K24" s="132" t="n">
        <x:f>IF(F24&lt;(('Assumptions'!$C$51-'Assumptions'!$B$51)/('Assumptions'!$D$51-'Assumptions'!$B$51)),'Assumptions'!$B$51+SQRT(F24*('Assumptions'!$D$51-'Assumptions'!$B$51)*('Assumptions'!$C$51-'Assumptions'!$B$51)),'Assumptions'!$D$51-SQRT((1-F24)*('Assumptions'!$D$51-'Assumptions'!$B$51)*('Assumptions'!$D$51-'Assumptions'!$C$51)))</x:f>
        <x:v>0.08042690699417415</x:v>
      </x:c>
      <x:c r="L24" s="133" t="n">
        <x:f>(('Assumptions'!$B$17*(1+G24)+'Assumptions'!$B$18)*(1-H24-'Assumptions'!$B$20)-SUM('Assumptions'!$B$21:$B$25)*(1+I24))-(('Assumptions'!$B$17*(1+G24)+'Assumptions'!$B$18)*(1-H24-'Assumptions'!$B$20)*'Assumptions'!$B$26)</x:f>
        <x:v>183605.12480262105</x:v>
      </x:c>
      <x:c r="M24" s="133" t="n">
        <x:f>'Assumptions'!$B$10*'Assumptions'!$B$33</x:f>
        <x:v>1950000</x:v>
      </x:c>
      <x:c r="N24" s="133" t="n">
        <x:f>-PMT(K24/12,'Assumptions'!$B$35*12,M24)*12</x:f>
        <x:v>172397.81637095145</x:v>
      </x:c>
      <x:c r="O24" s="133" t="n">
        <x:f>(L24*(1+'Assumptions'!$B$29)^('Assumptions'!$B$14/12)/J24)*(1-'Assumptions'!$B$42)-'Debt Schedule'!$F$9</x:f>
        <x:v>3162214.2938563046</x:v>
      </x:c>
      <x:c r="P24" s="132" t="n">
        <x:f>((O24+(L24-N24-'Assumptions'!$B$27-'Assumptions'!$B$28)*('Assumptions'!$B$14/12))/ABS('Monthly Cash Flow'!$S$5))^(1/('Assumptions'!$B$14/12))-1</x:f>
        <x:v>0.1844879719193422</x:v>
      </x:c>
      <x:c r="Q24" s="133" t="n">
        <x:f>-ABS('Monthly Cash Flow'!$S$5)+((L24-N24-'Assumptions'!$B$27-'Assumptions'!$B$28)*(1-(1+'Assumptions'!$B$43)^-('Assumptions'!$B$14/12))/'Assumptions'!$B$43)+(O24/(1+'Assumptions'!$B$43)^('Assumptions'!$B$14/12))</x:f>
        <x:v>559839.3288849429</x:v>
      </x:c>
    </x:row>
    <x:row r="25">
      <x:c r="A25" s="131" t="n">
        <x:f>18</x:f>
        <x:v>18</x:v>
      </x:c>
      <x:c r="B25" s="131" t="n">
        <x:f>MOD(ABS(SIN((A25+1)*12.9898+78.233)*43758.5453),1)</x:f>
        <x:v>0.2900176249531796</x:v>
      </x:c>
      <x:c r="C25" s="131" t="n">
        <x:f>MOD(ABS(SIN((A25+2)*12.9898+78.233)*43758.5453),1)</x:f>
        <x:v>0.13444439799059182</x:v>
      </x:c>
      <x:c r="D25" s="131" t="n">
        <x:f>MOD(ABS(SIN((A25+3)*12.9898+78.233)*43758.5453),1)</x:f>
        <x:v>0.1480405164329568</x:v>
      </x:c>
      <x:c r="E25" s="131" t="n">
        <x:f>MOD(ABS(SIN((A25+4)*12.9898+78.233)*43758.5453),1)</x:f>
        <x:v>0.956544042306632</x:v>
      </x:c>
      <x:c r="F25" s="131" t="n">
        <x:f>MOD(ABS(SIN((A25+5)*12.9898+78.233)*43758.5453),1)</x:f>
        <x:v>0.6280610853734174</x:v>
      </x:c>
      <x:c r="G25" s="132" t="n">
        <x:f>IF(B25&lt;(('Assumptions'!$C$47-'Assumptions'!$B$47)/('Assumptions'!$D$47-'Assumptions'!$B$47)),'Assumptions'!$B$47+SQRT(B25*('Assumptions'!$D$47-'Assumptions'!$B$47)*('Assumptions'!$C$47-'Assumptions'!$B$47)),'Assumptions'!$D$47-SQRT((1-B25)*('Assumptions'!$D$47-'Assumptions'!$B$47)*('Assumptions'!$D$47-'Assumptions'!$C$47)))</x:f>
        <x:v>-0.016570850424588945</x:v>
      </x:c>
      <x:c r="H25" s="132" t="n">
        <x:f>IF(C25&lt;(('Assumptions'!$C$48-'Assumptions'!$B$48)/('Assumptions'!$D$48-'Assumptions'!$B$48)),'Assumptions'!$B$48+SQRT(C25*('Assumptions'!$D$48-'Assumptions'!$B$48)*('Assumptions'!$C$48-'Assumptions'!$B$48)),'Assumptions'!$D$48-SQRT((1-C25)*('Assumptions'!$D$48-'Assumptions'!$B$48)*('Assumptions'!$D$48-'Assumptions'!$C$48)))</x:f>
        <x:v>0.051063392731679126</x:v>
      </x:c>
      <x:c r="I25" s="132" t="n">
        <x:f>IF(D25&lt;(('Assumptions'!$C$49-'Assumptions'!$B$49)/('Assumptions'!$D$49-'Assumptions'!$B$49)),'Assumptions'!$B$49+SQRT(D25*('Assumptions'!$D$49-'Assumptions'!$B$49)*('Assumptions'!$C$49-'Assumptions'!$B$49)),'Assumptions'!$D$49-SQRT((1-D25)*('Assumptions'!$D$49-'Assumptions'!$B$49)*('Assumptions'!$D$49-'Assumptions'!$C$49)))</x:f>
        <x:v>0.009985467078376532</x:v>
      </x:c>
      <x:c r="J25" s="132" t="n">
        <x:f>IF(E25&lt;(('Assumptions'!$C$50-'Assumptions'!$B$50)/('Assumptions'!$D$50-'Assumptions'!$B$50)),'Assumptions'!$B$50+SQRT(E25*('Assumptions'!$D$50-'Assumptions'!$B$50)*('Assumptions'!$C$50-'Assumptions'!$B$50)),'Assumptions'!$D$50-SQRT((1-E25)*('Assumptions'!$D$50-'Assumptions'!$B$50)*('Assumptions'!$D$50-'Assumptions'!$C$50)))</x:f>
        <x:v>0.07650400399009671</x:v>
      </x:c>
      <x:c r="K25" s="132" t="n">
        <x:f>IF(F25&lt;(('Assumptions'!$C$51-'Assumptions'!$B$51)/('Assumptions'!$D$51-'Assumptions'!$B$51)),'Assumptions'!$B$51+SQRT(F25*('Assumptions'!$D$51-'Assumptions'!$B$51)*('Assumptions'!$C$51-'Assumptions'!$B$51)),'Assumptions'!$D$51-SQRT((1-F25)*('Assumptions'!$D$51-'Assumptions'!$B$51)*('Assumptions'!$D$51-'Assumptions'!$C$51)))</x:f>
        <x:v>0.07162107617691009</x:v>
      </x:c>
      <x:c r="L25" s="133" t="n">
        <x:f>(('Assumptions'!$B$17*(1+G25)+'Assumptions'!$B$18)*(1-H25-'Assumptions'!$B$20)-SUM('Assumptions'!$B$21:$B$25)*(1+I25))-(('Assumptions'!$B$17*(1+G25)+'Assumptions'!$B$18)*(1-H25-'Assumptions'!$B$20)*'Assumptions'!$B$26)</x:f>
        <x:v>208085.9643701675</x:v>
      </x:c>
      <x:c r="M25" s="133" t="n">
        <x:f>'Assumptions'!$B$10*'Assumptions'!$B$33</x:f>
        <x:v>1950000</x:v>
      </x:c>
      <x:c r="N25" s="133" t="n">
        <x:f>-PMT(K25/12,'Assumptions'!$B$35*12,M25)*12</x:f>
        <x:v>158236.6438486822</x:v>
      </x:c>
      <x:c r="O25" s="133" t="n">
        <x:f>(L25*(1+'Assumptions'!$B$29)^('Assumptions'!$B$14/12)/J25)*(1-'Assumptions'!$B$42)-'Debt Schedule'!$F$9</x:f>
        <x:v>2963961.780695802</x:v>
      </x:c>
      <x:c r="P25" s="132" t="n">
        <x:f>((O25+(L25-N25-'Assumptions'!$B$27-'Assumptions'!$B$28)*('Assumptions'!$B$14/12))/ABS('Monthly Cash Flow'!$S$5))^(1/('Assumptions'!$B$14/12))-1</x:f>
        <x:v>0.18409193326925344</x:v>
      </x:c>
      <x:c r="Q25" s="133" t="n">
        <x:f>-ABS('Monthly Cash Flow'!$S$5)+((L25-N25-'Assumptions'!$B$27-'Assumptions'!$B$28)*(1-(1+'Assumptions'!$B$43)^-('Assumptions'!$B$14/12))/'Assumptions'!$B$43)+(O25/(1+'Assumptions'!$B$43)^('Assumptions'!$B$14/12))</x:f>
        <x:v>583223.744286916</x:v>
      </x:c>
    </x:row>
    <x:row r="26">
      <x:c r="A26" s="131" t="n">
        <x:f>19</x:f>
        <x:v>19</x:v>
      </x:c>
      <x:c r="B26" s="131" t="n">
        <x:f>MOD(ABS(SIN((A26+1)*12.9898+78.233)*43758.5453),1)</x:f>
        <x:v>0.13444439799059182</x:v>
      </x:c>
      <x:c r="C26" s="131" t="n">
        <x:f>MOD(ABS(SIN((A26+2)*12.9898+78.233)*43758.5453),1)</x:f>
        <x:v>0.1480405164329568</x:v>
      </x:c>
      <x:c r="D26" s="131" t="n">
        <x:f>MOD(ABS(SIN((A26+3)*12.9898+78.233)*43758.5453),1)</x:f>
        <x:v>0.956544042306632</x:v>
      </x:c>
      <x:c r="E26" s="131" t="n">
        <x:f>MOD(ABS(SIN((A26+4)*12.9898+78.233)*43758.5453),1)</x:f>
        <x:v>0.6280610853734174</x:v>
      </x:c>
      <x:c r="F26" s="131" t="n">
        <x:f>MOD(ABS(SIN((A26+5)*12.9898+78.233)*43758.5453),1)</x:f>
        <x:v>0.9335230199467333</x:v>
      </x:c>
      <x:c r="G26" s="132" t="n">
        <x:f>IF(B26&lt;(('Assumptions'!$C$47-'Assumptions'!$B$47)/('Assumptions'!$D$47-'Assumptions'!$B$47)),'Assumptions'!$B$47+SQRT(B26*('Assumptions'!$D$47-'Assumptions'!$B$47)*('Assumptions'!$C$47-'Assumptions'!$B$47)),'Assumptions'!$D$47-SQRT((1-B26)*('Assumptions'!$D$47-'Assumptions'!$B$47)*('Assumptions'!$D$47-'Assumptions'!$C$47)))</x:f>
        <x:v>-0.04319625406917072</x:v>
      </x:c>
      <x:c r="H26" s="132" t="n">
        <x:f>IF(C26&lt;(('Assumptions'!$C$48-'Assumptions'!$B$48)/('Assumptions'!$D$48-'Assumptions'!$B$48)),'Assumptions'!$B$48+SQRT(C26*('Assumptions'!$D$48-'Assumptions'!$B$48)*('Assumptions'!$C$48-'Assumptions'!$B$48)),'Assumptions'!$D$48-SQRT((1-C26)*('Assumptions'!$D$48-'Assumptions'!$B$48)*('Assumptions'!$D$48-'Assumptions'!$C$48)))</x:f>
        <x:v>0.05210279856101389</x:v>
      </x:c>
      <x:c r="I26" s="132" t="n">
        <x:f>IF(D26&lt;(('Assumptions'!$C$49-'Assumptions'!$B$49)/('Assumptions'!$D$49-'Assumptions'!$B$49)),'Assumptions'!$B$49+SQRT(D26*('Assumptions'!$D$49-'Assumptions'!$B$49)*('Assumptions'!$C$49-'Assumptions'!$B$49)),'Assumptions'!$D$49-SQRT((1-D26)*('Assumptions'!$D$49-'Assumptions'!$B$49)*('Assumptions'!$D$49-'Assumptions'!$C$49)))</x:f>
        <x:v>0.1193626259908466</x:v>
      </x:c>
      <x:c r="J26" s="132" t="n">
        <x:f>IF(E26&lt;(('Assumptions'!$C$50-'Assumptions'!$B$50)/('Assumptions'!$D$50-'Assumptions'!$B$50)),'Assumptions'!$B$50+SQRT(E26*('Assumptions'!$D$50-'Assumptions'!$B$50)*('Assumptions'!$C$50-'Assumptions'!$B$50)),'Assumptions'!$D$50-SQRT((1-E26)*('Assumptions'!$D$50-'Assumptions'!$B$50)*('Assumptions'!$D$50-'Assumptions'!$C$50)))</x:f>
        <x:v>0.06977220357365643</x:v>
      </x:c>
      <x:c r="K26" s="132" t="n">
        <x:f>IF(F26&lt;(('Assumptions'!$C$51-'Assumptions'!$B$51)/('Assumptions'!$D$51-'Assumptions'!$B$51)),'Assumptions'!$B$51+SQRT(F26*('Assumptions'!$D$51-'Assumptions'!$B$51)*('Assumptions'!$C$51-'Assumptions'!$B$51)),'Assumptions'!$D$51-SQRT((1-F26)*('Assumptions'!$D$51-'Assumptions'!$B$51)*('Assumptions'!$D$51-'Assumptions'!$C$51)))</x:f>
        <x:v>0.07934384877760199</x:v>
      </x:c>
      <x:c r="L26" s="133" t="n">
        <x:f>(('Assumptions'!$B$17*(1+G26)+'Assumptions'!$B$18)*(1-H26-'Assumptions'!$B$20)-SUM('Assumptions'!$B$21:$B$25)*(1+I26))-(('Assumptions'!$B$17*(1+G26)+'Assumptions'!$B$18)*(1-H26-'Assumptions'!$B$20)*'Assumptions'!$B$26)</x:f>
        <x:v>185302.9295934278</x:v>
      </x:c>
      <x:c r="M26" s="133" t="n">
        <x:f>'Assumptions'!$B$10*'Assumptions'!$B$33</x:f>
        <x:v>1950000</x:v>
      </x:c>
      <x:c r="N26" s="133" t="n">
        <x:f>-PMT(K26/12,'Assumptions'!$B$35*12,M26)*12</x:f>
        <x:v>170631.7670002685</x:v>
      </x:c>
      <x:c r="O26" s="133" t="n">
        <x:f>(L26*(1+'Assumptions'!$B$29)^('Assumptions'!$B$14/12)/J26)*(1-'Assumptions'!$B$42)-'Debt Schedule'!$F$9</x:f>
        <x:v>2894101.9331023414</x:v>
      </x:c>
      <x:c r="P26" s="132" t="n">
        <x:f>((O26+(L26-N26-'Assumptions'!$B$27-'Assumptions'!$B$28)*('Assumptions'!$B$14/12))/ABS('Monthly Cash Flow'!$S$5))^(1/('Assumptions'!$B$14/12))-1</x:f>
        <x:v>0.16411474132623183</x:v>
      </x:c>
      <x:c r="Q26" s="133" t="n">
        <x:f>-ABS('Monthly Cash Flow'!$S$5)+((L26-N26-'Assumptions'!$B$27-'Assumptions'!$B$28)*(1-(1+'Assumptions'!$B$43)^-('Assumptions'!$B$14/12))/'Assumptions'!$B$43)+(O26/(1+'Assumptions'!$B$43)^('Assumptions'!$B$14/12))</x:f>
        <x:v>406493.3796436142</x:v>
      </x:c>
    </x:row>
    <x:row r="27">
      <x:c r="A27" s="131" t="n">
        <x:f>20</x:f>
        <x:v>20</x:v>
      </x:c>
      <x:c r="B27" s="131" t="n">
        <x:f>MOD(ABS(SIN((A27+1)*12.9898+78.233)*43758.5453),1)</x:f>
        <x:v>0.1480405164329568</x:v>
      </x:c>
      <x:c r="C27" s="131" t="n">
        <x:f>MOD(ABS(SIN((A27+2)*12.9898+78.233)*43758.5453),1)</x:f>
        <x:v>0.956544042306632</x:v>
      </x:c>
      <x:c r="D27" s="131" t="n">
        <x:f>MOD(ABS(SIN((A27+3)*12.9898+78.233)*43758.5453),1)</x:f>
        <x:v>0.6280610853734174</x:v>
      </x:c>
      <x:c r="E27" s="131" t="n">
        <x:f>MOD(ABS(SIN((A27+4)*12.9898+78.233)*43758.5453),1)</x:f>
        <x:v>0.9335230199467333</x:v>
      </x:c>
      <x:c r="F27" s="131" t="n">
        <x:f>MOD(ABS(SIN((A27+5)*12.9898+78.233)*43758.5453),1)</x:f>
        <x:v>0.22815179672033992</x:v>
      </x:c>
      <x:c r="G27" s="132" t="n">
        <x:f>IF(B27&lt;(('Assumptions'!$C$47-'Assumptions'!$B$47)/('Assumptions'!$D$47-'Assumptions'!$B$47)),'Assumptions'!$B$47+SQRT(B27*('Assumptions'!$D$47-'Assumptions'!$B$47)*('Assumptions'!$C$47-'Assumptions'!$B$47)),'Assumptions'!$D$47-SQRT((1-B27)*('Assumptions'!$D$47-'Assumptions'!$B$47)*('Assumptions'!$D$47-'Assumptions'!$C$47)))</x:f>
        <x:v>-0.04039318500044678</x:v>
      </x:c>
      <x:c r="H27" s="132" t="n">
        <x:f>IF(C27&lt;(('Assumptions'!$C$48-'Assumptions'!$B$48)/('Assumptions'!$D$48-'Assumptions'!$B$48)),'Assumptions'!$B$48+SQRT(C27*('Assumptions'!$D$48-'Assumptions'!$B$48)*('Assumptions'!$C$48-'Assumptions'!$B$48)),'Assumptions'!$D$48-SQRT((1-C27)*('Assumptions'!$D$48-'Assumptions'!$B$48)*('Assumptions'!$D$48-'Assumptions'!$C$48)))</x:f>
        <x:v>0.12044463174211138</x:v>
      </x:c>
      <x:c r="I27" s="132" t="n">
        <x:f>IF(D27&lt;(('Assumptions'!$C$49-'Assumptions'!$B$49)/('Assumptions'!$D$49-'Assumptions'!$B$49)),'Assumptions'!$B$49+SQRT(D27*('Assumptions'!$D$49-'Assumptions'!$B$49)*('Assumptions'!$C$49-'Assumptions'!$B$49)),'Assumptions'!$D$49-SQRT((1-D27)*('Assumptions'!$D$49-'Assumptions'!$B$49)*('Assumptions'!$D$49-'Assumptions'!$C$49)))</x:f>
        <x:v>0.0603680829395344</x:v>
      </x:c>
      <x:c r="J27" s="132" t="n">
        <x:f>IF(E27&lt;(('Assumptions'!$C$50-'Assumptions'!$B$50)/('Assumptions'!$D$50-'Assumptions'!$B$50)),'Assumptions'!$B$50+SQRT(E27*('Assumptions'!$D$50-'Assumptions'!$B$50)*('Assumptions'!$C$50-'Assumptions'!$B$50)),'Assumptions'!$D$50-SQRT((1-E27)*('Assumptions'!$D$50-'Assumptions'!$B$50)*('Assumptions'!$D$50-'Assumptions'!$C$50)))</x:f>
        <x:v>0.07567603762273753</x:v>
      </x:c>
      <x:c r="K27" s="132" t="n">
        <x:f>IF(F27&lt;(('Assumptions'!$C$51-'Assumptions'!$B$51)/('Assumptions'!$D$51-'Assumptions'!$B$51)),'Assumptions'!$B$51+SQRT(F27*('Assumptions'!$D$51-'Assumptions'!$B$51)*('Assumptions'!$C$51-'Assumptions'!$B$51)),'Assumptions'!$D$51-SQRT((1-F27)*('Assumptions'!$D$51-'Assumptions'!$B$51)*('Assumptions'!$D$51-'Assumptions'!$C$51)))</x:f>
        <x:v>0.06542096863382842</x:v>
      </x:c>
      <x:c r="L27" s="133" t="n">
        <x:f>(('Assumptions'!$B$17*(1+G27)+'Assumptions'!$B$18)*(1-H27-'Assumptions'!$B$20)-SUM('Assumptions'!$B$21:$B$25)*(1+I27))-(('Assumptions'!$B$17*(1+G27)+'Assumptions'!$B$18)*(1-H27-'Assumptions'!$B$20)*'Assumptions'!$B$26)</x:f>
        <x:v>169798.98087045684</x:v>
      </x:c>
      <x:c r="M27" s="133" t="n">
        <x:f>'Assumptions'!$B$10*'Assumptions'!$B$33</x:f>
        <x:v>1950000</x:v>
      </x:c>
      <x:c r="N27" s="133" t="n">
        <x:f>-PMT(K27/12,'Assumptions'!$B$35*12,M27)*12</x:f>
        <x:v>148552.34096494984</x:v>
      </x:c>
      <x:c r="O27" s="133" t="n">
        <x:f>(L27*(1+'Assumptions'!$B$29)^('Assumptions'!$B$14/12)/J27)*(1-'Assumptions'!$B$42)-'Debt Schedule'!$F$9</x:f>
        <x:v>2445066.4807025595</x:v>
      </x:c>
      <x:c r="P27" s="132" t="n">
        <x:f>((O27+(L27-N27-'Assumptions'!$B$27-'Assumptions'!$B$28)*('Assumptions'!$B$14/12))/ABS('Monthly Cash Flow'!$S$5))^(1/('Assumptions'!$B$14/12))-1</x:f>
        <x:v>0.12678533488008137</x:v>
      </x:c>
      <x:c r="Q27" s="133" t="n">
        <x:f>-ABS('Monthly Cash Flow'!$S$5)+((L27-N27-'Assumptions'!$B$27-'Assumptions'!$B$28)*(1-(1+'Assumptions'!$B$43)^-('Assumptions'!$B$14/12))/'Assumptions'!$B$43)+(O27/(1+'Assumptions'!$B$43)^('Assumptions'!$B$14/12))</x:f>
        <x:v>152603.92483726866</x:v>
      </x:c>
    </x:row>
    <x:row r="28">
      <x:c r="A28" s="131" t="n">
        <x:f>21</x:f>
        <x:v>21</x:v>
      </x:c>
      <x:c r="B28" s="131" t="n">
        <x:f>MOD(ABS(SIN((A28+1)*12.9898+78.233)*43758.5453),1)</x:f>
        <x:v>0.956544042306632</x:v>
      </x:c>
      <x:c r="C28" s="131" t="n">
        <x:f>MOD(ABS(SIN((A28+2)*12.9898+78.233)*43758.5453),1)</x:f>
        <x:v>0.6280610853734174</x:v>
      </x:c>
      <x:c r="D28" s="131" t="n">
        <x:f>MOD(ABS(SIN((A28+3)*12.9898+78.233)*43758.5453),1)</x:f>
        <x:v>0.9335230199467333</x:v>
      </x:c>
      <x:c r="E28" s="131" t="n">
        <x:f>MOD(ABS(SIN((A28+4)*12.9898+78.233)*43758.5453),1)</x:f>
        <x:v>0.22815179672033992</x:v>
      </x:c>
      <x:c r="F28" s="131" t="n">
        <x:f>MOD(ABS(SIN((A28+5)*12.9898+78.233)*43758.5453),1)</x:f>
        <x:v>0.7658517716845381</x:v>
      </x:c>
      <x:c r="G28" s="132" t="n">
        <x:f>IF(B28&lt;(('Assumptions'!$C$47-'Assumptions'!$B$47)/('Assumptions'!$D$47-'Assumptions'!$B$47)),'Assumptions'!$B$47+SQRT(B28*('Assumptions'!$D$47-'Assumptions'!$B$47)*('Assumptions'!$C$47-'Assumptions'!$B$47)),'Assumptions'!$D$47-SQRT((1-B28)*('Assumptions'!$D$47-'Assumptions'!$B$47)*('Assumptions'!$D$47-'Assumptions'!$C$47)))</x:f>
        <x:v>0.07363154682022688</x:v>
      </x:c>
      <x:c r="H28" s="132" t="n">
        <x:f>IF(C28&lt;(('Assumptions'!$C$48-'Assumptions'!$B$48)/('Assumptions'!$D$48-'Assumptions'!$B$48)),'Assumptions'!$B$48+SQRT(C28*('Assumptions'!$D$48-'Assumptions'!$B$48)*('Assumptions'!$C$48-'Assumptions'!$B$48)),'Assumptions'!$D$48-SQRT((1-C28)*('Assumptions'!$D$48-'Assumptions'!$B$48)*('Assumptions'!$D$48-'Assumptions'!$C$48)))</x:f>
        <x:v>0.0827893152574283</x:v>
      </x:c>
      <x:c r="I28" s="132" t="n">
        <x:f>IF(D28&lt;(('Assumptions'!$C$49-'Assumptions'!$B$49)/('Assumptions'!$D$49-'Assumptions'!$B$49)),'Assumptions'!$B$49+SQRT(D28*('Assumptions'!$D$49-'Assumptions'!$B$49)*('Assumptions'!$C$49-'Assumptions'!$B$49)),'Assumptions'!$D$49-SQRT((1-D28)*('Assumptions'!$D$49-'Assumptions'!$B$49)*('Assumptions'!$D$49-'Assumptions'!$C$49)))</x:f>
        <x:v>0.11210669229071495</x:v>
      </x:c>
      <x:c r="J28" s="132" t="n">
        <x:f>IF(E28&lt;(('Assumptions'!$C$50-'Assumptions'!$B$50)/('Assumptions'!$D$50-'Assumptions'!$B$50)),'Assumptions'!$B$50+SQRT(E28*('Assumptions'!$D$50-'Assumptions'!$B$50)*('Assumptions'!$C$50-'Assumptions'!$B$50)),'Assumptions'!$D$50-SQRT((1-E28)*('Assumptions'!$D$50-'Assumptions'!$B$50)*('Assumptions'!$D$50-'Assumptions'!$C$50)))</x:f>
        <x:v>0.06466478570943168</x:v>
      </x:c>
      <x:c r="K28" s="132" t="n">
        <x:f>IF(F28&lt;(('Assumptions'!$C$51-'Assumptions'!$B$51)/('Assumptions'!$D$51-'Assumptions'!$B$51)),'Assumptions'!$B$51+SQRT(F28*('Assumptions'!$D$51-'Assumptions'!$B$51)*('Assumptions'!$C$51-'Assumptions'!$B$51)),'Assumptions'!$D$51-SQRT((1-F28)*('Assumptions'!$D$51-'Assumptions'!$B$51)*('Assumptions'!$D$51-'Assumptions'!$C$51)))</x:f>
        <x:v>0.07438473576038657</x:v>
      </x:c>
      <x:c r="L28" s="133" t="n">
        <x:f>(('Assumptions'!$B$17*(1+G28)+'Assumptions'!$B$18)*(1-H28-'Assumptions'!$B$20)-SUM('Assumptions'!$B$21:$B$25)*(1+I28))-(('Assumptions'!$B$17*(1+G28)+'Assumptions'!$B$18)*(1-H28-'Assumptions'!$B$20)*'Assumptions'!$B$26)</x:f>
        <x:v>212169.01711961435</x:v>
      </x:c>
      <x:c r="M28" s="133" t="n">
        <x:f>'Assumptions'!$B$10*'Assumptions'!$B$33</x:f>
        <x:v>1950000</x:v>
      </x:c>
      <x:c r="N28" s="133" t="n">
        <x:f>-PMT(K28/12,'Assumptions'!$B$35*12,M28)*12</x:f>
        <x:v>162631.47797044326</x:v>
      </x:c>
      <x:c r="O28" s="133" t="n">
        <x:f>(L28*(1+'Assumptions'!$B$29)^('Assumptions'!$B$14/12)/J28)*(1-'Assumptions'!$B$42)-'Debt Schedule'!$F$9</x:f>
        <x:v>3575428.5106641985</x:v>
      </x:c>
      <x:c r="P28" s="132" t="n">
        <x:f>((O28+(L28-N28-'Assumptions'!$B$27-'Assumptions'!$B$28)*('Assumptions'!$B$14/12))/ABS('Monthly Cash Flow'!$S$5))^(1/('Assumptions'!$B$14/12))-1</x:f>
        <x:v>0.22855906792865444</x:v>
      </x:c>
      <x:c r="Q28" s="133" t="n">
        <x:f>-ABS('Monthly Cash Flow'!$S$5)+((L28-N28-'Assumptions'!$B$27-'Assumptions'!$B$28)*(1-(1+'Assumptions'!$B$43)^-('Assumptions'!$B$14/12))/'Assumptions'!$B$43)+(O28/(1+'Assumptions'!$B$43)^('Assumptions'!$B$14/12))</x:f>
        <x:v>961714.578564431</x:v>
      </x:c>
    </x:row>
    <x:row r="29">
      <x:c r="A29" s="131" t="n">
        <x:f>22</x:f>
        <x:v>22</x:v>
      </x:c>
      <x:c r="B29" s="131" t="n">
        <x:f>MOD(ABS(SIN((A29+1)*12.9898+78.233)*43758.5453),1)</x:f>
        <x:v>0.6280610853734174</x:v>
      </x:c>
      <x:c r="C29" s="131" t="n">
        <x:f>MOD(ABS(SIN((A29+2)*12.9898+78.233)*43758.5453),1)</x:f>
        <x:v>0.9335230199467333</x:v>
      </x:c>
      <x:c r="D29" s="131" t="n">
        <x:f>MOD(ABS(SIN((A29+3)*12.9898+78.233)*43758.5453),1)</x:f>
        <x:v>0.22815179672033992</x:v>
      </x:c>
      <x:c r="E29" s="131" t="n">
        <x:f>MOD(ABS(SIN((A29+4)*12.9898+78.233)*43758.5453),1)</x:f>
        <x:v>0.7658517716845381</x:v>
      </x:c>
      <x:c r="F29" s="131" t="n">
        <x:f>MOD(ABS(SIN((A29+5)*12.9898+78.233)*43758.5453),1)</x:f>
        <x:v>0.15483330078131985</x:v>
      </x:c>
      <x:c r="G29" s="132" t="n">
        <x:f>IF(B29&lt;(('Assumptions'!$C$47-'Assumptions'!$B$47)/('Assumptions'!$D$47-'Assumptions'!$B$47)),'Assumptions'!$B$47+SQRT(B29*('Assumptions'!$D$47-'Assumptions'!$B$47)*('Assumptions'!$C$47-'Assumptions'!$B$47)),'Assumptions'!$D$47-SQRT((1-B29)*('Assumptions'!$D$47-'Assumptions'!$B$47)*('Assumptions'!$D$47-'Assumptions'!$C$47)))</x:f>
        <x:v>0.022857128430260512</x:v>
      </x:c>
      <x:c r="H29" s="132" t="n">
        <x:f>IF(C29&lt;(('Assumptions'!$C$48-'Assumptions'!$B$48)/('Assumptions'!$D$48-'Assumptions'!$B$48)),'Assumptions'!$B$48+SQRT(C29*('Assumptions'!$D$48-'Assumptions'!$B$48)*('Assumptions'!$C$48-'Assumptions'!$B$48)),'Assumptions'!$D$48-SQRT((1-C29)*('Assumptions'!$D$48-'Assumptions'!$B$48)*('Assumptions'!$D$48-'Assumptions'!$C$48)))</x:f>
        <x:v>0.11581327999771886</x:v>
      </x:c>
      <x:c r="I29" s="132" t="n">
        <x:f>IF(D29&lt;(('Assumptions'!$C$49-'Assumptions'!$B$49)/('Assumptions'!$D$49-'Assumptions'!$B$49)),'Assumptions'!$B$49+SQRT(D29*('Assumptions'!$D$49-'Assumptions'!$B$49)*('Assumptions'!$C$49-'Assumptions'!$B$49)),'Assumptions'!$D$49-SQRT((1-D29)*('Assumptions'!$D$49-'Assumptions'!$B$49)*('Assumptions'!$D$49-'Assumptions'!$C$49)))</x:f>
        <x:v>0.019639091496316395</x:v>
      </x:c>
      <x:c r="J29" s="132" t="n">
        <x:f>IF(E29&lt;(('Assumptions'!$C$50-'Assumptions'!$B$50)/('Assumptions'!$D$50-'Assumptions'!$B$50)),'Assumptions'!$B$50+SQRT(E29*('Assumptions'!$D$50-'Assumptions'!$B$50)*('Assumptions'!$C$50-'Assumptions'!$B$50)),'Assumptions'!$D$50-SQRT((1-E29)*('Assumptions'!$D$50-'Assumptions'!$B$50)*('Assumptions'!$D$50-'Assumptions'!$C$50)))</x:f>
        <x:v>0.07188494059086913</x:v>
      </x:c>
      <x:c r="K29" s="132" t="n">
        <x:f>IF(F29&lt;(('Assumptions'!$C$51-'Assumptions'!$B$51)/('Assumptions'!$D$51-'Assumptions'!$B$51)),'Assumptions'!$B$51+SQRT(F29*('Assumptions'!$D$51-'Assumptions'!$B$51)*('Assumptions'!$C$51-'Assumptions'!$B$51)),'Assumptions'!$D$51-SQRT((1-F29)*('Assumptions'!$D$51-'Assumptions'!$B$51)*('Assumptions'!$D$51-'Assumptions'!$C$51)))</x:f>
        <x:v>0.06402527070050454</x:v>
      </x:c>
      <x:c r="L29" s="133" t="n">
        <x:f>(('Assumptions'!$B$17*(1+G29)+'Assumptions'!$B$18)*(1-H29-'Assumptions'!$B$20)-SUM('Assumptions'!$B$21:$B$25)*(1+I29))-(('Assumptions'!$B$17*(1+G29)+'Assumptions'!$B$18)*(1-H29-'Assumptions'!$B$20)*'Assumptions'!$B$26)</x:f>
        <x:v>195655.9226200071</x:v>
      </x:c>
      <x:c r="M29" s="133" t="n">
        <x:f>'Assumptions'!$B$10*'Assumptions'!$B$33</x:f>
        <x:v>1950000</x:v>
      </x:c>
      <x:c r="N29" s="133" t="n">
        <x:f>-PMT(K29/12,'Assumptions'!$B$35*12,M29)*12</x:f>
        <x:v>146407.10355373155</x:v>
      </x:c>
      <x:c r="O29" s="133" t="n">
        <x:f>(L29*(1+'Assumptions'!$B$29)^('Assumptions'!$B$14/12)/J29)*(1-'Assumptions'!$B$42)-'Debt Schedule'!$F$9</x:f>
        <x:v>2965985.733722731</x:v>
      </x:c>
      <x:c r="P29" s="132" t="n">
        <x:f>((O29+(L29-N29-'Assumptions'!$B$27-'Assumptions'!$B$28)*('Assumptions'!$B$14/12))/ABS('Monthly Cash Flow'!$S$5))^(1/('Assumptions'!$B$14/12))-1</x:f>
        <x:v>0.1840150153404716</x:v>
      </x:c>
      <x:c r="Q29" s="133" t="n">
        <x:f>-ABS('Monthly Cash Flow'!$S$5)+((L29-N29-'Assumptions'!$B$27-'Assumptions'!$B$28)*(1-(1+'Assumptions'!$B$43)^-('Assumptions'!$B$14/12))/'Assumptions'!$B$43)+(O29/(1+'Assumptions'!$B$43)^('Assumptions'!$B$14/12))</x:f>
        <x:v>582204.0869067865</x:v>
      </x:c>
    </x:row>
    <x:row r="30">
      <x:c r="A30" s="131" t="n">
        <x:f>23</x:f>
        <x:v>23</x:v>
      </x:c>
      <x:c r="B30" s="131" t="n">
        <x:f>MOD(ABS(SIN((A30+1)*12.9898+78.233)*43758.5453),1)</x:f>
        <x:v>0.9335230199467333</x:v>
      </x:c>
      <x:c r="C30" s="131" t="n">
        <x:f>MOD(ABS(SIN((A30+2)*12.9898+78.233)*43758.5453),1)</x:f>
        <x:v>0.22815179672033992</x:v>
      </x:c>
      <x:c r="D30" s="131" t="n">
        <x:f>MOD(ABS(SIN((A30+3)*12.9898+78.233)*43758.5453),1)</x:f>
        <x:v>0.7658517716845381</x:v>
      </x:c>
      <x:c r="E30" s="131" t="n">
        <x:f>MOD(ABS(SIN((A30+4)*12.9898+78.233)*43758.5453),1)</x:f>
        <x:v>0.15483330078131985</x:v>
      </x:c>
      <x:c r="F30" s="131" t="n">
        <x:f>MOD(ABS(SIN((A30+5)*12.9898+78.233)*43758.5453),1)</x:f>
        <x:v>0.9118973205404473</x:v>
      </x:c>
      <x:c r="G30" s="132" t="n">
        <x:f>IF(B30&lt;(('Assumptions'!$C$47-'Assumptions'!$B$47)/('Assumptions'!$D$47-'Assumptions'!$B$47)),'Assumptions'!$B$47+SQRT(B30*('Assumptions'!$D$47-'Assumptions'!$B$47)*('Assumptions'!$C$47-'Assumptions'!$B$47)),'Assumptions'!$D$47-SQRT((1-B30)*('Assumptions'!$D$47-'Assumptions'!$B$47)*('Assumptions'!$D$47-'Assumptions'!$C$47)))</x:f>
        <x:v>0.0673866334020502</x:v>
      </x:c>
      <x:c r="H30" s="132" t="n">
        <x:f>IF(C30&lt;(('Assumptions'!$C$48-'Assumptions'!$B$48)/('Assumptions'!$D$48-'Assumptions'!$B$48)),'Assumptions'!$B$48+SQRT(C30*('Assumptions'!$D$48-'Assumptions'!$B$48)*('Assumptions'!$C$48-'Assumptions'!$B$48)),'Assumptions'!$D$48-SQRT((1-C30)*('Assumptions'!$D$48-'Assumptions'!$B$48)*('Assumptions'!$D$48-'Assumptions'!$C$48)))</x:f>
        <x:v>0.05743904023790048</x:v>
      </x:c>
      <x:c r="I30" s="132" t="n">
        <x:f>IF(D30&lt;(('Assumptions'!$C$49-'Assumptions'!$B$49)/('Assumptions'!$D$49-'Assumptions'!$B$49)),'Assumptions'!$B$49+SQRT(D30*('Assumptions'!$D$49-'Assumptions'!$B$49)*('Assumptions'!$C$49-'Assumptions'!$B$49)),'Assumptions'!$D$49-SQRT((1-D30)*('Assumptions'!$D$49-'Assumptions'!$B$49)*('Assumptions'!$D$49-'Assumptions'!$C$49)))</x:f>
        <x:v>0.07888318249799153</x:v>
      </x:c>
      <x:c r="J30" s="132" t="n">
        <x:f>IF(E30&lt;(('Assumptions'!$C$50-'Assumptions'!$B$50)/('Assumptions'!$D$50-'Assumptions'!$B$50)),'Assumptions'!$B$50+SQRT(E30*('Assumptions'!$D$50-'Assumptions'!$B$50)*('Assumptions'!$C$50-'Assumptions'!$B$50)),'Assumptions'!$D$50-SQRT((1-E30)*('Assumptions'!$D$50-'Assumptions'!$B$50)*('Assumptions'!$D$50-'Assumptions'!$C$50)))</x:f>
        <x:v>0.06340232942792903</x:v>
      </x:c>
      <x:c r="K30" s="132" t="n">
        <x:f>IF(F30&lt;(('Assumptions'!$C$51-'Assumptions'!$B$51)/('Assumptions'!$D$51-'Assumptions'!$B$51)),'Assumptions'!$B$51+SQRT(F30*('Assumptions'!$D$51-'Assumptions'!$B$51)*('Assumptions'!$C$51-'Assumptions'!$B$51)),'Assumptions'!$D$51-SQRT((1-F30)*('Assumptions'!$D$51-'Assumptions'!$B$51)*('Assumptions'!$D$51-'Assumptions'!$C$51)))</x:f>
        <x:v>0.078488516721214</x:v>
      </x:c>
      <x:c r="L30" s="133" t="n">
        <x:f>(('Assumptions'!$B$17*(1+G30)+'Assumptions'!$B$18)*(1-H30-'Assumptions'!$B$20)-SUM('Assumptions'!$B$21:$B$25)*(1+I30))-(('Assumptions'!$B$17*(1+G30)+'Assumptions'!$B$18)*(1-H30-'Assumptions'!$B$20)*'Assumptions'!$B$26)</x:f>
        <x:v>224186.68488442677</x:v>
      </x:c>
      <x:c r="M30" s="133" t="n">
        <x:f>'Assumptions'!$B$10*'Assumptions'!$B$33</x:f>
        <x:v>1950000</x:v>
      </x:c>
      <x:c r="N30" s="133" t="n">
        <x:f>-PMT(K30/12,'Assumptions'!$B$35*12,M30)*12</x:f>
        <x:v>169241.73235686996</x:v>
      </x:c>
      <x:c r="O30" s="133" t="n">
        <x:f>(L30*(1+'Assumptions'!$B$29)^('Assumptions'!$B$14/12)/J30)*(1-'Assumptions'!$B$42)-'Debt Schedule'!$F$9</x:f>
        <x:v>3853173.6152075427</x:v>
      </x:c>
      <x:c r="P30" s="132" t="n">
        <x:f>((O30+(L30-N30-'Assumptions'!$B$27-'Assumptions'!$B$28)*('Assumptions'!$B$14/12))/ABS('Monthly Cash Flow'!$S$5))^(1/('Assumptions'!$B$14/12))-1</x:f>
        <x:v>0.24856638327099012</x:v>
      </x:c>
      <x:c r="Q30" s="133" t="n">
        <x:f>-ABS('Monthly Cash Flow'!$S$5)+((L30-N30-'Assumptions'!$B$27-'Assumptions'!$B$28)*(1-(1+'Assumptions'!$B$43)^-('Assumptions'!$B$14/12))/'Assumptions'!$B$43)+(O30/(1+'Assumptions'!$B$43)^('Assumptions'!$B$14/12))</x:f>
        <x:v>1154670.7874421943</x:v>
      </x:c>
    </x:row>
    <x:row r="31">
      <x:c r="A31" s="131" t="n">
        <x:f>24</x:f>
        <x:v>24</x:v>
      </x:c>
      <x:c r="B31" s="131" t="n">
        <x:f>MOD(ABS(SIN((A31+1)*12.9898+78.233)*43758.5453),1)</x:f>
        <x:v>0.22815179672033992</x:v>
      </x:c>
      <x:c r="C31" s="131" t="n">
        <x:f>MOD(ABS(SIN((A31+2)*12.9898+78.233)*43758.5453),1)</x:f>
        <x:v>0.7658517716845381</x:v>
      </x:c>
      <x:c r="D31" s="131" t="n">
        <x:f>MOD(ABS(SIN((A31+3)*12.9898+78.233)*43758.5453),1)</x:f>
        <x:v>0.15483330078131985</x:v>
      </x:c>
      <x:c r="E31" s="131" t="n">
        <x:f>MOD(ABS(SIN((A31+4)*12.9898+78.233)*43758.5453),1)</x:f>
        <x:v>0.9118973205404473</x:v>
      </x:c>
      <x:c r="F31" s="131" t="n">
        <x:f>MOD(ABS(SIN((A31+5)*12.9898+78.233)*43758.5453),1)</x:f>
        <x:v>0.17799386336264433</x:v>
      </x:c>
      <x:c r="G31" s="132" t="n">
        <x:f>IF(B31&lt;(('Assumptions'!$C$47-'Assumptions'!$B$47)/('Assumptions'!$D$47-'Assumptions'!$B$47)),'Assumptions'!$B$47+SQRT(B31*('Assumptions'!$D$47-'Assumptions'!$B$47)*('Assumptions'!$C$47-'Assumptions'!$B$47)),'Assumptions'!$D$47-SQRT((1-B31)*('Assumptions'!$D$47-'Assumptions'!$B$47)*('Assumptions'!$D$47-'Assumptions'!$C$47)))</x:f>
        <x:v>-0.026002411381936513</x:v>
      </x:c>
      <x:c r="H31" s="132" t="n">
        <x:f>IF(C31&lt;(('Assumptions'!$C$48-'Assumptions'!$B$48)/('Assumptions'!$D$48-'Assumptions'!$B$48)),'Assumptions'!$B$48+SQRT(C31*('Assumptions'!$D$48-'Assumptions'!$B$48)*('Assumptions'!$C$48-'Assumptions'!$B$48)),'Assumptions'!$D$48-SQRT((1-C31)*('Assumptions'!$D$48-'Assumptions'!$B$48)*('Assumptions'!$D$48-'Assumptions'!$C$48)))</x:f>
        <x:v>0.09460722073747782</x:v>
      </x:c>
      <x:c r="I31" s="132" t="n">
        <x:f>IF(D31&lt;(('Assumptions'!$C$49-'Assumptions'!$B$49)/('Assumptions'!$D$49-'Assumptions'!$B$49)),'Assumptions'!$B$49+SQRT(D31*('Assumptions'!$D$49-'Assumptions'!$B$49)*('Assumptions'!$C$49-'Assumptions'!$B$49)),'Assumptions'!$D$49-SQRT((1-D31)*('Assumptions'!$D$49-'Assumptions'!$B$49)*('Assumptions'!$D$49-'Assumptions'!$C$49)))</x:f>
        <x:v>0.010892537808728064</x:v>
      </x:c>
      <x:c r="J31" s="132" t="n">
        <x:f>IF(E31&lt;(('Assumptions'!$C$50-'Assumptions'!$B$50)/('Assumptions'!$D$50-'Assumptions'!$B$50)),'Assumptions'!$B$50+SQRT(E31*('Assumptions'!$D$50-'Assumptions'!$B$50)*('Assumptions'!$C$50-'Assumptions'!$B$50)),'Assumptions'!$D$50-SQRT((1-E31)*('Assumptions'!$D$50-'Assumptions'!$B$50)*('Assumptions'!$D$50-'Assumptions'!$C$50)))</x:f>
        <x:v>0.07502216125231048</x:v>
      </x:c>
      <x:c r="K31" s="132" t="n">
        <x:f>IF(F31&lt;(('Assumptions'!$C$51-'Assumptions'!$B$51)/('Assumptions'!$D$51-'Assumptions'!$B$51)),'Assumptions'!$B$51+SQRT(F31*('Assumptions'!$D$51-'Assumptions'!$B$51)*('Assumptions'!$C$51-'Assumptions'!$B$51)),'Assumptions'!$D$51-SQRT((1-F31)*('Assumptions'!$D$51-'Assumptions'!$B$51)*('Assumptions'!$D$51-'Assumptions'!$C$51)))</x:f>
        <x:v>0.06449630705620667</x:v>
      </x:c>
      <x:c r="L31" s="133" t="n">
        <x:f>(('Assumptions'!$B$17*(1+G31)+'Assumptions'!$B$18)*(1-H31-'Assumptions'!$B$20)-SUM('Assumptions'!$B$21:$B$25)*(1+I31))-(('Assumptions'!$B$17*(1+G31)+'Assumptions'!$B$18)*(1-H31-'Assumptions'!$B$20)*'Assumptions'!$B$26)</x:f>
        <x:v>189501.28442084158</x:v>
      </x:c>
      <x:c r="M31" s="133" t="n">
        <x:f>'Assumptions'!$B$10*'Assumptions'!$B$33</x:f>
        <x:v>1950000</x:v>
      </x:c>
      <x:c r="N31" s="133" t="n">
        <x:f>-PMT(K31/12,'Assumptions'!$B$35*12,M31)*12</x:f>
        <x:v>147129.6360264017</x:v>
      </x:c>
      <x:c r="O31" s="133" t="n">
        <x:f>(L31*(1+'Assumptions'!$B$29)^('Assumptions'!$B$14/12)/J31)*(1-'Assumptions'!$B$42)-'Debt Schedule'!$F$9</x:f>
        <x:v>2752558.5382243893</x:v>
      </x:c>
      <x:c r="P31" s="132" t="n">
        <x:f>((O31+(L31-N31-'Assumptions'!$B$27-'Assumptions'!$B$28)*('Assumptions'!$B$14/12))/ABS('Monthly Cash Flow'!$S$5))^(1/('Assumptions'!$B$14/12))-1</x:f>
        <x:v>0.16385879594179986</x:v>
      </x:c>
      <x:c r="Q31" s="133" t="n">
        <x:f>-ABS('Monthly Cash Flow'!$S$5)+((L31-N31-'Assumptions'!$B$27-'Assumptions'!$B$28)*(1-(1+'Assumptions'!$B$43)^-('Assumptions'!$B$14/12))/'Assumptions'!$B$43)+(O31/(1+'Assumptions'!$B$43)^('Assumptions'!$B$14/12))</x:f>
        <x:v>423612.70270739286</x:v>
      </x:c>
    </x:row>
    <x:row r="32">
      <x:c r="A32" s="131" t="n">
        <x:f>25</x:f>
        <x:v>25</x:v>
      </x:c>
      <x:c r="B32" s="131" t="n">
        <x:f>MOD(ABS(SIN((A32+1)*12.9898+78.233)*43758.5453),1)</x:f>
        <x:v>0.7658517716845381</x:v>
      </x:c>
      <x:c r="C32" s="131" t="n">
        <x:f>MOD(ABS(SIN((A32+2)*12.9898+78.233)*43758.5453),1)</x:f>
        <x:v>0.15483330078131985</x:v>
      </x:c>
      <x:c r="D32" s="131" t="n">
        <x:f>MOD(ABS(SIN((A32+3)*12.9898+78.233)*43758.5453),1)</x:f>
        <x:v>0.9118973205404473</x:v>
      </x:c>
      <x:c r="E32" s="131" t="n">
        <x:f>MOD(ABS(SIN((A32+4)*12.9898+78.233)*43758.5453),1)</x:f>
        <x:v>0.17799386336264433</x:v>
      </x:c>
      <x:c r="F32" s="131" t="n">
        <x:f>MOD(ABS(SIN((A32+5)*12.9898+78.233)*43758.5453),1)</x:f>
        <x:v>0.34370464831044956</x:v>
      </x:c>
      <x:c r="G32" s="132" t="n">
        <x:f>IF(B32&lt;(('Assumptions'!$C$47-'Assumptions'!$B$47)/('Assumptions'!$D$47-'Assumptions'!$B$47)),'Assumptions'!$B$47+SQRT(B32*('Assumptions'!$D$47-'Assumptions'!$B$47)*('Assumptions'!$C$47-'Assumptions'!$B$47)),'Assumptions'!$D$47-SQRT((1-B32)*('Assumptions'!$D$47-'Assumptions'!$B$47)*('Assumptions'!$D$47-'Assumptions'!$C$47)))</x:f>
        <x:v>0.038792388928766464</x:v>
      </x:c>
      <x:c r="H32" s="132" t="n">
        <x:f>IF(C32&lt;(('Assumptions'!$C$48-'Assumptions'!$B$48)/('Assumptions'!$D$48-'Assumptions'!$B$48)),'Assumptions'!$B$48+SQRT(C32*('Assumptions'!$D$48-'Assumptions'!$B$48)*('Assumptions'!$C$48-'Assumptions'!$B$48)),'Assumptions'!$D$48-SQRT((1-C32)*('Assumptions'!$D$48-'Assumptions'!$B$48)*('Assumptions'!$D$48-'Assumptions'!$C$48)))</x:f>
        <x:v>0.05260420077282883</x:v>
      </x:c>
      <x:c r="I32" s="132" t="n">
        <x:f>IF(D32&lt;(('Assumptions'!$C$49-'Assumptions'!$B$49)/('Assumptions'!$D$49-'Assumptions'!$B$49)),'Assumptions'!$B$49+SQRT(D32*('Assumptions'!$D$49-'Assumptions'!$B$49)*('Assumptions'!$C$49-'Assumptions'!$B$49)),'Assumptions'!$D$49-SQRT((1-D32)*('Assumptions'!$D$49-'Assumptions'!$B$49)*('Assumptions'!$D$49-'Assumptions'!$C$49)))</x:f>
        <x:v>0.10637640688427488</x:v>
      </x:c>
      <x:c r="J32" s="132" t="n">
        <x:f>IF(E32&lt;(('Assumptions'!$C$50-'Assumptions'!$B$50)/('Assumptions'!$D$50-'Assumptions'!$B$50)),'Assumptions'!$B$50+SQRT(E32*('Assumptions'!$D$50-'Assumptions'!$B$50)*('Assumptions'!$C$50-'Assumptions'!$B$50)),'Assumptions'!$D$50-SQRT((1-E32)*('Assumptions'!$D$50-'Assumptions'!$B$50)*('Assumptions'!$D$50-'Assumptions'!$C$50)))</x:f>
        <x:v>0.06382839784278731</x:v>
      </x:c>
      <x:c r="K32" s="132" t="n">
        <x:f>IF(F32&lt;(('Assumptions'!$C$51-'Assumptions'!$B$51)/('Assumptions'!$D$51-'Assumptions'!$B$51)),'Assumptions'!$B$51+SQRT(F32*('Assumptions'!$D$51-'Assumptions'!$B$51)*('Assumptions'!$C$51-'Assumptions'!$B$51)),'Assumptions'!$D$51-SQRT((1-F32)*('Assumptions'!$D$51-'Assumptions'!$B$51)*('Assumptions'!$D$51-'Assumptions'!$C$51)))</x:f>
        <x:v>0.06722207685041492</x:v>
      </x:c>
      <x:c r="L32" s="133" t="n">
        <x:f>(('Assumptions'!$B$17*(1+G32)+'Assumptions'!$B$18)*(1-H32-'Assumptions'!$B$20)-SUM('Assumptions'!$B$21:$B$25)*(1+I32))-(('Assumptions'!$B$17*(1+G32)+'Assumptions'!$B$18)*(1-H32-'Assumptions'!$B$20)*'Assumptions'!$B$26)</x:f>
        <x:v>213326.0973858068</x:v>
      </x:c>
      <x:c r="M32" s="133" t="n">
        <x:f>'Assumptions'!$B$10*'Assumptions'!$B$33</x:f>
        <x:v>1950000</x:v>
      </x:c>
      <x:c r="N32" s="133" t="n">
        <x:f>-PMT(K32/12,'Assumptions'!$B$35*12,M32)*12</x:f>
        <x:v>151339.91129822287</x:v>
      </x:c>
      <x:c r="O32" s="133" t="n">
        <x:f>(L32*(1+'Assumptions'!$B$29)^('Assumptions'!$B$14/12)/J32)*(1-'Assumptions'!$B$42)-'Debt Schedule'!$F$9</x:f>
        <x:v>3642034.221182851</x:v>
      </x:c>
      <x:c r="P32" s="132" t="n">
        <x:f>((O32+(L32-N32-'Assumptions'!$B$27-'Assumptions'!$B$28)*('Assumptions'!$B$14/12))/ABS('Monthly Cash Flow'!$S$5))^(1/('Assumptions'!$B$14/12))-1</x:f>
        <x:v>0.23717560607115007</x:v>
      </x:c>
      <x:c r="Q32" s="133" t="n">
        <x:f>-ABS('Monthly Cash Flow'!$S$5)+((L32-N32-'Assumptions'!$B$27-'Assumptions'!$B$28)*(1-(1+'Assumptions'!$B$43)^-('Assumptions'!$B$14/12))/'Assumptions'!$B$43)+(O32/(1+'Assumptions'!$B$43)^('Assumptions'!$B$14/12))</x:f>
        <x:v>1050261.65057414</x:v>
      </x:c>
    </x:row>
    <x:row r="33">
      <x:c r="A33" s="131" t="n">
        <x:f>26</x:f>
        <x:v>26</x:v>
      </x:c>
      <x:c r="B33" s="131" t="n">
        <x:f>MOD(ABS(SIN((A33+1)*12.9898+78.233)*43758.5453),1)</x:f>
        <x:v>0.15483330078131985</x:v>
      </x:c>
      <x:c r="C33" s="131" t="n">
        <x:f>MOD(ABS(SIN((A33+2)*12.9898+78.233)*43758.5453),1)</x:f>
        <x:v>0.9118973205404473</x:v>
      </x:c>
      <x:c r="D33" s="131" t="n">
        <x:f>MOD(ABS(SIN((A33+3)*12.9898+78.233)*43758.5453),1)</x:f>
        <x:v>0.17799386336264433</x:v>
      </x:c>
      <x:c r="E33" s="131" t="n">
        <x:f>MOD(ABS(SIN((A33+4)*12.9898+78.233)*43758.5453),1)</x:f>
        <x:v>0.34370464831044956</x:v>
      </x:c>
      <x:c r="F33" s="131" t="n">
        <x:f>MOD(ABS(SIN((A33+5)*12.9898+78.233)*43758.5453),1)</x:f>
        <x:v>0.436318477974055</x:v>
      </x:c>
      <x:c r="G33" s="132" t="n">
        <x:f>IF(B33&lt;(('Assumptions'!$C$47-'Assumptions'!$B$47)/('Assumptions'!$D$47-'Assumptions'!$B$47)),'Assumptions'!$B$47+SQRT(B33*('Assumptions'!$D$47-'Assumptions'!$B$47)*('Assumptions'!$C$47-'Assumptions'!$B$47)),'Assumptions'!$D$47-SQRT((1-B33)*('Assumptions'!$D$47-'Assumptions'!$B$47)*('Assumptions'!$D$47-'Assumptions'!$C$47)))</x:f>
        <x:v>-0.03904100379146917</x:v>
      </x:c>
      <x:c r="H33" s="132" t="n">
        <x:f>IF(C33&lt;(('Assumptions'!$C$48-'Assumptions'!$B$48)/('Assumptions'!$D$48-'Assumptions'!$B$48)),'Assumptions'!$B$48+SQRT(C33*('Assumptions'!$D$48-'Assumptions'!$B$48)*('Assumptions'!$C$48-'Assumptions'!$B$48)),'Assumptions'!$D$48-SQRT((1-C33)*('Assumptions'!$D$48-'Assumptions'!$B$48)*('Assumptions'!$D$48-'Assumptions'!$C$48)))</x:f>
        <x:v>0.11215572627551468</x:v>
      </x:c>
      <x:c r="I33" s="132" t="n">
        <x:f>IF(D33&lt;(('Assumptions'!$C$49-'Assumptions'!$B$49)/('Assumptions'!$D$49-'Assumptions'!$B$49)),'Assumptions'!$B$49+SQRT(D33*('Assumptions'!$D$49-'Assumptions'!$B$49)*('Assumptions'!$C$49-'Assumptions'!$B$49)),'Assumptions'!$D$49-SQRT((1-D33)*('Assumptions'!$D$49-'Assumptions'!$B$49)*('Assumptions'!$D$49-'Assumptions'!$C$49)))</x:f>
        <x:v>0.013844426376867544</x:v>
      </x:c>
      <x:c r="J33" s="132" t="n">
        <x:f>IF(E33&lt;(('Assumptions'!$C$50-'Assumptions'!$B$50)/('Assumptions'!$D$50-'Assumptions'!$B$50)),'Assumptions'!$B$50+SQRT(E33*('Assumptions'!$D$50-'Assumptions'!$B$50)*('Assumptions'!$C$50-'Assumptions'!$B$50)),'Assumptions'!$D$50-SQRT((1-E33)*('Assumptions'!$D$50-'Assumptions'!$B$50)*('Assumptions'!$D$50-'Assumptions'!$C$50)))</x:f>
        <x:v>0.06629394938977086</x:v>
      </x:c>
      <x:c r="K33" s="132" t="n">
        <x:f>IF(F33&lt;(('Assumptions'!$C$51-'Assumptions'!$B$51)/('Assumptions'!$D$51-'Assumptions'!$B$51)),'Assumptions'!$B$51+SQRT(F33*('Assumptions'!$D$51-'Assumptions'!$B$51)*('Assumptions'!$C$51-'Assumptions'!$B$51)),'Assumptions'!$D$51-SQRT((1-F33)*('Assumptions'!$D$51-'Assumptions'!$B$51)*('Assumptions'!$D$51-'Assumptions'!$C$51)))</x:f>
        <x:v>0.06852967114854758</x:v>
      </x:c>
      <x:c r="L33" s="133" t="n">
        <x:f>(('Assumptions'!$B$17*(1+G33)+'Assumptions'!$B$18)*(1-H33-'Assumptions'!$B$20)-SUM('Assumptions'!$B$21:$B$25)*(1+I33))-(('Assumptions'!$B$17*(1+G33)+'Assumptions'!$B$18)*(1-H33-'Assumptions'!$B$20)*'Assumptions'!$B$26)</x:f>
        <x:v>178963.35621419962</x:v>
      </x:c>
      <x:c r="M33" s="133" t="n">
        <x:f>'Assumptions'!$B$10*'Assumptions'!$B$33</x:f>
        <x:v>1950000</x:v>
      </x:c>
      <x:c r="N33" s="133" t="n">
        <x:f>-PMT(K33/12,'Assumptions'!$B$35*12,M33)*12</x:f>
        <x:v>153377.00331800894</x:v>
      </x:c>
      <x:c r="O33" s="133" t="n">
        <x:f>(L33*(1+'Assumptions'!$B$29)^('Assumptions'!$B$14/12)/J33)*(1-'Assumptions'!$B$42)-'Debt Schedule'!$F$9</x:f>
        <x:v>2941739.422035379</x:v>
      </x:c>
      <x:c r="P33" s="132" t="n">
        <x:f>((O33+(L33-N33-'Assumptions'!$B$27-'Assumptions'!$B$28)*('Assumptions'!$B$14/12))/ABS('Monthly Cash Flow'!$S$5))^(1/('Assumptions'!$B$14/12))-1</x:f>
        <x:v>0.1725895418853418</x:v>
      </x:c>
      <x:c r="Q33" s="133" t="n">
        <x:f>-ABS('Monthly Cash Flow'!$S$5)+((L33-N33-'Assumptions'!$B$27-'Assumptions'!$B$28)*(1-(1+'Assumptions'!$B$43)^-('Assumptions'!$B$14/12))/'Assumptions'!$B$43)+(O33/(1+'Assumptions'!$B$43)^('Assumptions'!$B$14/12))</x:f>
        <x:v>477449.6712854386</x:v>
      </x:c>
    </x:row>
    <x:row r="34">
      <x:c r="A34" s="131" t="n">
        <x:f>27</x:f>
        <x:v>27</x:v>
      </x:c>
      <x:c r="B34" s="131" t="n">
        <x:f>MOD(ABS(SIN((A34+1)*12.9898+78.233)*43758.5453),1)</x:f>
        <x:v>0.9118973205404473</x:v>
      </x:c>
      <x:c r="C34" s="131" t="n">
        <x:f>MOD(ABS(SIN((A34+2)*12.9898+78.233)*43758.5453),1)</x:f>
        <x:v>0.17799386336264433</x:v>
      </x:c>
      <x:c r="D34" s="131" t="n">
        <x:f>MOD(ABS(SIN((A34+3)*12.9898+78.233)*43758.5453),1)</x:f>
        <x:v>0.34370464831044956</x:v>
      </x:c>
      <x:c r="E34" s="131" t="n">
        <x:f>MOD(ABS(SIN((A34+4)*12.9898+78.233)*43758.5453),1)</x:f>
        <x:v>0.436318477974055</x:v>
      </x:c>
      <x:c r="F34" s="131" t="n">
        <x:f>MOD(ABS(SIN((A34+5)*12.9898+78.233)*43758.5453),1)</x:f>
        <x:v>0.632248228041135</x:v>
      </x:c>
      <x:c r="G34" s="132" t="n">
        <x:f>IF(B34&lt;(('Assumptions'!$C$47-'Assumptions'!$B$47)/('Assumptions'!$D$47-'Assumptions'!$B$47)),'Assumptions'!$B$47+SQRT(B34*('Assumptions'!$D$47-'Assumptions'!$B$47)*('Assumptions'!$C$47-'Assumptions'!$B$47)),'Assumptions'!$D$47-SQRT((1-B34)*('Assumptions'!$D$47-'Assumptions'!$B$47)*('Assumptions'!$D$47-'Assumptions'!$C$47)))</x:f>
        <x:v>0.062454788969126256</x:v>
      </x:c>
      <x:c r="H34" s="132" t="n">
        <x:f>IF(C34&lt;(('Assumptions'!$C$48-'Assumptions'!$B$48)/('Assumptions'!$D$48-'Assumptions'!$B$48)),'Assumptions'!$B$48+SQRT(C34*('Assumptions'!$D$48-'Assumptions'!$B$48)*('Assumptions'!$C$48-'Assumptions'!$B$48)),'Assumptions'!$D$48-SQRT((1-C34)*('Assumptions'!$D$48-'Assumptions'!$B$48)*('Assumptions'!$D$48-'Assumptions'!$C$48)))</x:f>
        <x:v>0.05423591857340518</x:v>
      </x:c>
      <x:c r="I34" s="132" t="n">
        <x:f>IF(D34&lt;(('Assumptions'!$C$49-'Assumptions'!$B$49)/('Assumptions'!$D$49-'Assumptions'!$B$49)),'Assumptions'!$B$49+SQRT(D34*('Assumptions'!$D$49-'Assumptions'!$B$49)*('Assumptions'!$C$49-'Assumptions'!$B$49)),'Assumptions'!$D$49-SQRT((1-D34)*('Assumptions'!$D$49-'Assumptions'!$B$49)*('Assumptions'!$D$49-'Assumptions'!$C$49)))</x:f>
        <x:v>0.03093707715458062</x:v>
      </x:c>
      <x:c r="J34" s="132" t="n">
        <x:f>IF(E34&lt;(('Assumptions'!$C$50-'Assumptions'!$B$50)/('Assumptions'!$D$50-'Assumptions'!$B$50)),'Assumptions'!$B$50+SQRT(E34*('Assumptions'!$D$50-'Assumptions'!$B$50)*('Assumptions'!$C$50-'Assumptions'!$B$50)),'Assumptions'!$D$50-SQRT((1-E34)*('Assumptions'!$D$50-'Assumptions'!$B$50)*('Assumptions'!$D$50-'Assumptions'!$C$50)))</x:f>
        <x:v>0.06740816115856835</x:v>
      </x:c>
      <x:c r="K34" s="132" t="n">
        <x:f>IF(F34&lt;(('Assumptions'!$C$51-'Assumptions'!$B$51)/('Assumptions'!$D$51-'Assumptions'!$B$51)),'Assumptions'!$B$51+SQRT(F34*('Assumptions'!$D$51-'Assumptions'!$B$51)*('Assumptions'!$C$51-'Assumptions'!$B$51)),'Assumptions'!$D$51-SQRT((1-F34)*('Assumptions'!$D$51-'Assumptions'!$B$51)*('Assumptions'!$D$51-'Assumptions'!$C$51)))</x:f>
        <x:v>0.07169659666644645</x:v>
      </x:c>
      <x:c r="L34" s="133" t="n">
        <x:f>(('Assumptions'!$B$17*(1+G34)+'Assumptions'!$B$18)*(1-H34-'Assumptions'!$B$20)-SUM('Assumptions'!$B$21:$B$25)*(1+I34))-(('Assumptions'!$B$17*(1+G34)+'Assumptions'!$B$18)*(1-H34-'Assumptions'!$B$20)*'Assumptions'!$B$26)</x:f>
        <x:v>229869.88105502707</x:v>
      </x:c>
      <x:c r="M34" s="133" t="n">
        <x:f>'Assumptions'!$B$10*'Assumptions'!$B$33</x:f>
        <x:v>1950000</x:v>
      </x:c>
      <x:c r="N34" s="133" t="n">
        <x:f>-PMT(K34/12,'Assumptions'!$B$35*12,M34)*12</x:f>
        <x:v>158356.11380979378</x:v>
      </x:c>
      <x:c r="O34" s="133" t="n">
        <x:f>(L34*(1+'Assumptions'!$B$29)^('Assumptions'!$B$14/12)/J34)*(1-'Assumptions'!$B$42)-'Debt Schedule'!$F$9</x:f>
        <x:v>3716067.278056969</x:v>
      </x:c>
      <x:c r="P34" s="132" t="n">
        <x:f>((O34+(L34-N34-'Assumptions'!$B$27-'Assumptions'!$B$28)*('Assumptions'!$B$14/12))/ABS('Monthly Cash Flow'!$S$5))^(1/('Assumptions'!$B$14/12))-1</x:f>
        <x:v>0.24509747749245192</x:v>
      </x:c>
      <x:c r="Q34" s="133" t="n">
        <x:f>-ABS('Monthly Cash Flow'!$S$5)+((L34-N34-'Assumptions'!$B$27-'Assumptions'!$B$28)*(1-(1+'Assumptions'!$B$43)^-('Assumptions'!$B$14/12))/'Assumptions'!$B$43)+(O34/(1+'Assumptions'!$B$43)^('Assumptions'!$B$14/12))</x:f>
        <x:v>1132347.3827954135</x:v>
      </x:c>
    </x:row>
    <x:row r="35">
      <x:c r="A35" s="131" t="n">
        <x:f>28</x:f>
        <x:v>28</x:v>
      </x:c>
      <x:c r="B35" s="131" t="n">
        <x:f>MOD(ABS(SIN((A35+1)*12.9898+78.233)*43758.5453),1)</x:f>
        <x:v>0.17799386336264433</x:v>
      </x:c>
      <x:c r="C35" s="131" t="n">
        <x:f>MOD(ABS(SIN((A35+2)*12.9898+78.233)*43758.5453),1)</x:f>
        <x:v>0.34370464831044956</x:v>
      </x:c>
      <x:c r="D35" s="131" t="n">
        <x:f>MOD(ABS(SIN((A35+3)*12.9898+78.233)*43758.5453),1)</x:f>
        <x:v>0.436318477974055</x:v>
      </x:c>
      <x:c r="E35" s="131" t="n">
        <x:f>MOD(ABS(SIN((A35+4)*12.9898+78.233)*43758.5453),1)</x:f>
        <x:v>0.632248228041135</x:v>
      </x:c>
      <x:c r="F35" s="131" t="n">
        <x:f>MOD(ABS(SIN((A35+5)*12.9898+78.233)*43758.5453),1)</x:f>
        <x:v>0.5956784998561488</x:v>
      </x:c>
      <x:c r="G35" s="132" t="n">
        <x:f>IF(B35&lt;(('Assumptions'!$C$47-'Assumptions'!$B$47)/('Assumptions'!$D$47-'Assumptions'!$B$47)),'Assumptions'!$B$47+SQRT(B35*('Assumptions'!$D$47-'Assumptions'!$B$47)*('Assumptions'!$C$47-'Assumptions'!$B$47)),'Assumptions'!$D$47-SQRT((1-B35)*('Assumptions'!$D$47-'Assumptions'!$B$47)*('Assumptions'!$D$47-'Assumptions'!$C$47)))</x:f>
        <x:v>-0.03464058812455957</x:v>
      </x:c>
      <x:c r="H35" s="132" t="n">
        <x:f>IF(C35&lt;(('Assumptions'!$C$48-'Assumptions'!$B$48)/('Assumptions'!$D$48-'Assumptions'!$B$48)),'Assumptions'!$B$48+SQRT(C35*('Assumptions'!$D$48-'Assumptions'!$B$48)*('Assumptions'!$C$48-'Assumptions'!$B$48)),'Assumptions'!$D$48-SQRT((1-C35)*('Assumptions'!$D$48-'Assumptions'!$B$48)*('Assumptions'!$D$48-'Assumptions'!$C$48)))</x:f>
        <x:v>0.06400395342606273</x:v>
      </x:c>
      <x:c r="I35" s="132" t="n">
        <x:f>IF(D35&lt;(('Assumptions'!$C$49-'Assumptions'!$B$49)/('Assumptions'!$D$49-'Assumptions'!$B$49)),'Assumptions'!$B$49+SQRT(D35*('Assumptions'!$D$49-'Assumptions'!$B$49)*('Assumptions'!$C$49-'Assumptions'!$B$49)),'Assumptions'!$D$49-SQRT((1-D35)*('Assumptions'!$D$49-'Assumptions'!$B$49)*('Assumptions'!$D$49-'Assumptions'!$C$49)))</x:f>
        <x:v>0.03965725725830262</x:v>
      </x:c>
      <x:c r="J35" s="132" t="n">
        <x:f>IF(E35&lt;(('Assumptions'!$C$50-'Assumptions'!$B$50)/('Assumptions'!$D$50-'Assumptions'!$B$50)),'Assumptions'!$B$50+SQRT(E35*('Assumptions'!$D$50-'Assumptions'!$B$50)*('Assumptions'!$C$50-'Assumptions'!$B$50)),'Assumptions'!$D$50-SQRT((1-E35)*('Assumptions'!$D$50-'Assumptions'!$B$50)*('Assumptions'!$D$50-'Assumptions'!$C$50)))</x:f>
        <x:v>0.06982993678173874</x:v>
      </x:c>
      <x:c r="K35" s="132" t="n">
        <x:f>IF(F35&lt;(('Assumptions'!$C$51-'Assumptions'!$B$51)/('Assumptions'!$D$51-'Assumptions'!$B$51)),'Assumptions'!$B$51+SQRT(F35*('Assumptions'!$D$51-'Assumptions'!$B$51)*('Assumptions'!$C$51-'Assumptions'!$B$51)),'Assumptions'!$D$51-SQRT((1-F35)*('Assumptions'!$D$51-'Assumptions'!$B$51)*('Assumptions'!$D$51-'Assumptions'!$C$51)))</x:f>
        <x:v>0.07105081644166125</x:v>
      </x:c>
      <x:c r="L35" s="133" t="n">
        <x:f>(('Assumptions'!$B$17*(1+G35)+'Assumptions'!$B$18)*(1-H35-'Assumptions'!$B$20)-SUM('Assumptions'!$B$21:$B$25)*(1+I35))-(('Assumptions'!$B$17*(1+G35)+'Assumptions'!$B$18)*(1-H35-'Assumptions'!$B$20)*'Assumptions'!$B$26)</x:f>
        <x:v>193942.80329686493</x:v>
      </x:c>
      <x:c r="M35" s="133" t="n">
        <x:f>'Assumptions'!$B$10*'Assumptions'!$B$33</x:f>
        <x:v>1950000</x:v>
      </x:c>
      <x:c r="N35" s="133" t="n">
        <x:f>-PMT(K35/12,'Assumptions'!$B$35*12,M35)*12</x:f>
        <x:v>157335.66690056733</x:v>
      </x:c>
      <x:c r="O35" s="133" t="n">
        <x:f>(L35*(1+'Assumptions'!$B$29)^('Assumptions'!$B$14/12)/J35)*(1-'Assumptions'!$B$42)-'Debt Schedule'!$F$9</x:f>
        <x:v>3026537.0652439324</x:v>
      </x:c>
      <x:c r="P35" s="132" t="n">
        <x:f>((O35+(L35-N35-'Assumptions'!$B$27-'Assumptions'!$B$28)*('Assumptions'!$B$14/12))/ABS('Monthly Cash Flow'!$S$5))^(1/('Assumptions'!$B$14/12))-1</x:f>
        <x:v>0.18380605814998785</x:v>
      </x:c>
      <x:c r="Q35" s="133" t="n">
        <x:f>-ABS('Monthly Cash Flow'!$S$5)+((L35-N35-'Assumptions'!$B$27-'Assumptions'!$B$28)*(1-(1+'Assumptions'!$B$43)^-('Assumptions'!$B$14/12))/'Assumptions'!$B$43)+(O35/(1+'Assumptions'!$B$43)^('Assumptions'!$B$14/12))</x:f>
        <x:v>571879.7763795122</x:v>
      </x:c>
    </x:row>
    <x:row r="36">
      <x:c r="A36" s="131" t="n">
        <x:f>29</x:f>
        <x:v>29</x:v>
      </x:c>
      <x:c r="B36" s="131" t="n">
        <x:f>MOD(ABS(SIN((A36+1)*12.9898+78.233)*43758.5453),1)</x:f>
        <x:v>0.34370464831044956</x:v>
      </x:c>
      <x:c r="C36" s="131" t="n">
        <x:f>MOD(ABS(SIN((A36+2)*12.9898+78.233)*43758.5453),1)</x:f>
        <x:v>0.436318477974055</x:v>
      </x:c>
      <x:c r="D36" s="131" t="n">
        <x:f>MOD(ABS(SIN((A36+3)*12.9898+78.233)*43758.5453),1)</x:f>
        <x:v>0.632248228041135</x:v>
      </x:c>
      <x:c r="E36" s="131" t="n">
        <x:f>MOD(ABS(SIN((A36+4)*12.9898+78.233)*43758.5453),1)</x:f>
        <x:v>0.5956784998561488</x:v>
      </x:c>
      <x:c r="F36" s="131" t="n">
        <x:f>MOD(ABS(SIN((A36+5)*12.9898+78.233)*43758.5453),1)</x:f>
        <x:v>0.42984639299538685</x:v>
      </x:c>
      <x:c r="G36" s="132" t="n">
        <x:f>IF(B36&lt;(('Assumptions'!$C$47-'Assumptions'!$B$47)/('Assumptions'!$D$47-'Assumptions'!$B$47)),'Assumptions'!$B$47+SQRT(B36*('Assumptions'!$D$47-'Assumptions'!$B$47)*('Assumptions'!$C$47-'Assumptions'!$B$47)),'Assumptions'!$D$47-SQRT((1-B36)*('Assumptions'!$D$47-'Assumptions'!$B$47)*('Assumptions'!$D$47-'Assumptions'!$C$47)))</x:f>
        <x:v>-0.009176481242737636</x:v>
      </x:c>
      <x:c r="H36" s="132" t="n">
        <x:f>IF(C36&lt;(('Assumptions'!$C$48-'Assumptions'!$B$48)/('Assumptions'!$D$48-'Assumptions'!$B$48)),'Assumptions'!$B$48+SQRT(C36*('Assumptions'!$D$48-'Assumptions'!$B$48)*('Assumptions'!$C$48-'Assumptions'!$B$48)),'Assumptions'!$D$48-SQRT((1-C36)*('Assumptions'!$D$48-'Assumptions'!$B$48)*('Assumptions'!$D$48-'Assumptions'!$C$48)))</x:f>
        <x:v>0.06956991130327667</x:v>
      </x:c>
      <x:c r="I36" s="132" t="n">
        <x:f>IF(D36&lt;(('Assumptions'!$C$49-'Assumptions'!$B$49)/('Assumptions'!$D$49-'Assumptions'!$B$49)),'Assumptions'!$B$49+SQRT(D36*('Assumptions'!$D$49-'Assumptions'!$B$49)*('Assumptions'!$C$49-'Assumptions'!$B$49)),'Assumptions'!$D$49-SQRT((1-D36)*('Assumptions'!$D$49-'Assumptions'!$B$49)*('Assumptions'!$D$49-'Assumptions'!$C$49)))</x:f>
        <x:v>0.06087403142567546</x:v>
      </x:c>
      <x:c r="J36" s="132" t="n">
        <x:f>IF(E36&lt;(('Assumptions'!$C$50-'Assumptions'!$B$50)/('Assumptions'!$D$50-'Assumptions'!$B$50)),'Assumptions'!$B$50+SQRT(E36*('Assumptions'!$D$50-'Assumptions'!$B$50)*('Assumptions'!$C$50-'Assumptions'!$B$50)),'Assumptions'!$D$50-SQRT((1-E36)*('Assumptions'!$D$50-'Assumptions'!$B$50)*('Assumptions'!$D$50-'Assumptions'!$C$50)))</x:f>
        <x:v>0.06933625666496712</x:v>
      </x:c>
      <x:c r="K36" s="132" t="n">
        <x:f>IF(F36&lt;(('Assumptions'!$C$51-'Assumptions'!$B$51)/('Assumptions'!$D$51-'Assumptions'!$B$51)),'Assumptions'!$B$51+SQRT(F36*('Assumptions'!$D$51-'Assumptions'!$B$51)*('Assumptions'!$C$51-'Assumptions'!$B$51)),'Assumptions'!$D$51-SQRT((1-F36)*('Assumptions'!$D$51-'Assumptions'!$B$51)*('Assumptions'!$D$51-'Assumptions'!$C$51)))</x:f>
        <x:v>0.06843538641045406</x:v>
      </x:c>
      <x:c r="L36" s="133" t="n">
        <x:f>(('Assumptions'!$B$17*(1+G36)+'Assumptions'!$B$18)*(1-H36-'Assumptions'!$B$20)-SUM('Assumptions'!$B$21:$B$25)*(1+I36))-(('Assumptions'!$B$17*(1+G36)+'Assumptions'!$B$18)*(1-H36-'Assumptions'!$B$20)*'Assumptions'!$B$26)</x:f>
        <x:v>197416.49808272437</x:v>
      </x:c>
      <x:c r="M36" s="133" t="n">
        <x:f>'Assumptions'!$B$10*'Assumptions'!$B$33</x:f>
        <x:v>1950000</x:v>
      </x:c>
      <x:c r="N36" s="133" t="n">
        <x:f>-PMT(K36/12,'Assumptions'!$B$35*12,M36)*12</x:f>
        <x:v>153229.7468401353</x:v>
      </x:c>
      <x:c r="O36" s="133" t="n">
        <x:f>(L36*(1+'Assumptions'!$B$29)^('Assumptions'!$B$14/12)/J36)*(1-'Assumptions'!$B$42)-'Debt Schedule'!$F$9</x:f>
        <x:v>3102680.3108496913</x:v>
      </x:c>
      <x:c r="P36" s="132" t="n">
        <x:f>((O36+(L36-N36-'Assumptions'!$B$27-'Assumptions'!$B$28)*('Assumptions'!$B$14/12))/ABS('Monthly Cash Flow'!$S$5))^(1/('Assumptions'!$B$14/12))-1</x:f>
        <x:v>0.19264464642014212</x:v>
      </x:c>
      <x:c r="Q36" s="133" t="n">
        <x:f>-ABS('Monthly Cash Flow'!$S$5)+((L36-N36-'Assumptions'!$B$27-'Assumptions'!$B$28)*(1-(1+'Assumptions'!$B$43)^-('Assumptions'!$B$14/12))/'Assumptions'!$B$43)+(O36/(1+'Assumptions'!$B$43)^('Assumptions'!$B$14/12))</x:f>
        <x:v>647891.4448595915</x:v>
      </x:c>
    </x:row>
    <x:row r="37">
      <x:c r="A37" s="131" t="n">
        <x:f>30</x:f>
        <x:v>30</x:v>
      </x:c>
      <x:c r="B37" s="131" t="n">
        <x:f>MOD(ABS(SIN((A37+1)*12.9898+78.233)*43758.5453),1)</x:f>
        <x:v>0.436318477974055</x:v>
      </x:c>
      <x:c r="C37" s="131" t="n">
        <x:f>MOD(ABS(SIN((A37+2)*12.9898+78.233)*43758.5453),1)</x:f>
        <x:v>0.632248228041135</x:v>
      </x:c>
      <x:c r="D37" s="131" t="n">
        <x:f>MOD(ABS(SIN((A37+3)*12.9898+78.233)*43758.5453),1)</x:f>
        <x:v>0.5956784998561488</x:v>
      </x:c>
      <x:c r="E37" s="131" t="n">
        <x:f>MOD(ABS(SIN((A37+4)*12.9898+78.233)*43758.5453),1)</x:f>
        <x:v>0.42984639299538685</x:v>
      </x:c>
      <x:c r="F37" s="131" t="n">
        <x:f>MOD(ABS(SIN((A37+5)*12.9898+78.233)*43758.5453),1)</x:f>
        <x:v>0.8854235418475582</x:v>
      </x:c>
      <x:c r="G37" s="132" t="n">
        <x:f>IF(B37&lt;(('Assumptions'!$C$47-'Assumptions'!$B$47)/('Assumptions'!$D$47-'Assumptions'!$B$47)),'Assumptions'!$B$47+SQRT(B37*('Assumptions'!$D$47-'Assumptions'!$B$47)*('Assumptions'!$C$47-'Assumptions'!$B$47)),'Assumptions'!$D$47-SQRT((1-B37)*('Assumptions'!$D$47-'Assumptions'!$B$47)*('Assumptions'!$D$47-'Assumptions'!$C$47)))</x:f>
        <x:v>0.0023310484231316847</x:v>
      </x:c>
      <x:c r="H37" s="132" t="n">
        <x:f>IF(C37&lt;(('Assumptions'!$C$48-'Assumptions'!$B$48)/('Assumptions'!$D$48-'Assumptions'!$B$48)),'Assumptions'!$B$48+SQRT(C37*('Assumptions'!$D$48-'Assumptions'!$B$48)*('Assumptions'!$C$48-'Assumptions'!$B$48)),'Assumptions'!$D$48-SQRT((1-C37)*('Assumptions'!$D$48-'Assumptions'!$B$48)*('Assumptions'!$D$48-'Assumptions'!$C$48)))</x:f>
        <x:v>0.08311225445460146</x:v>
      </x:c>
      <x:c r="I37" s="132" t="n">
        <x:f>IF(D37&lt;(('Assumptions'!$C$49-'Assumptions'!$B$49)/('Assumptions'!$D$49-'Assumptions'!$B$49)),'Assumptions'!$B$49+SQRT(D37*('Assumptions'!$D$49-'Assumptions'!$B$49)*('Assumptions'!$C$49-'Assumptions'!$B$49)),'Assumptions'!$D$49-SQRT((1-D37)*('Assumptions'!$D$49-'Assumptions'!$B$49)*('Assumptions'!$D$49-'Assumptions'!$C$49)))</x:f>
        <x:v>0.056547635647313965</x:v>
      </x:c>
      <x:c r="J37" s="132" t="n">
        <x:f>IF(E37&lt;(('Assumptions'!$C$50-'Assumptions'!$B$50)/('Assumptions'!$D$50-'Assumptions'!$B$50)),'Assumptions'!$B$50+SQRT(E37*('Assumptions'!$D$50-'Assumptions'!$B$50)*('Assumptions'!$C$50-'Assumptions'!$B$50)),'Assumptions'!$D$50-SQRT((1-E37)*('Assumptions'!$D$50-'Assumptions'!$B$50)*('Assumptions'!$D$50-'Assumptions'!$C$50)))</x:f>
        <x:v>0.06733440076588107</x:v>
      </x:c>
      <x:c r="K37" s="132" t="n">
        <x:f>IF(F37&lt;(('Assumptions'!$C$51-'Assumptions'!$B$51)/('Assumptions'!$D$51-'Assumptions'!$B$51)),'Assumptions'!$B$51+SQRT(F37*('Assumptions'!$D$51-'Assumptions'!$B$51)*('Assumptions'!$C$51-'Assumptions'!$B$51)),'Assumptions'!$D$51-SQRT((1-F37)*('Assumptions'!$D$51-'Assumptions'!$B$51)*('Assumptions'!$D$51-'Assumptions'!$C$51)))</x:f>
        <x:v>0.0775743740677393</x:v>
      </x:c>
      <x:c r="L37" s="133" t="n">
        <x:f>(('Assumptions'!$B$17*(1+G37)+'Assumptions'!$B$18)*(1-H37-'Assumptions'!$B$20)-SUM('Assumptions'!$B$21:$B$25)*(1+I37))-(('Assumptions'!$B$17*(1+G37)+'Assumptions'!$B$18)*(1-H37-'Assumptions'!$B$20)*'Assumptions'!$B$26)</x:f>
        <x:v>196697.02115247995</x:v>
      </x:c>
      <x:c r="M37" s="133" t="n">
        <x:f>'Assumptions'!$B$10*'Assumptions'!$B$33</x:f>
        <x:v>1950000</x:v>
      </x:c>
      <x:c r="N37" s="133" t="n">
        <x:f>-PMT(K37/12,'Assumptions'!$B$35*12,M37)*12</x:f>
        <x:v>167760.74578712726</x:v>
      </x:c>
      <x:c r="O37" s="133" t="n">
        <x:f>(L37*(1+'Assumptions'!$B$29)^('Assumptions'!$B$14/12)/J37)*(1-'Assumptions'!$B$42)-'Debt Schedule'!$F$9</x:f>
        <x:v>3183279.4121466707</x:v>
      </x:c>
      <x:c r="P37" s="132" t="n">
        <x:f>((O37+(L37-N37-'Assumptions'!$B$27-'Assumptions'!$B$28)*('Assumptions'!$B$14/12))/ABS('Monthly Cash Flow'!$S$5))^(1/('Assumptions'!$B$14/12))-1</x:f>
        <x:v>0.1929763910789697</x:v>
      </x:c>
      <x:c r="Q37" s="133" t="n">
        <x:f>-ABS('Monthly Cash Flow'!$S$5)+((L37-N37-'Assumptions'!$B$27-'Assumptions'!$B$28)*(1-(1+'Assumptions'!$B$43)^-('Assumptions'!$B$14/12))/'Assumptions'!$B$43)+(O37/(1+'Assumptions'!$B$43)^('Assumptions'!$B$14/12))</x:f>
        <x:v>640125.8432916803</x:v>
      </x:c>
    </x:row>
    <x:row r="38">
      <x:c r="A38" s="131" t="n">
        <x:f>31</x:f>
        <x:v>31</x:v>
      </x:c>
      <x:c r="B38" s="131" t="n">
        <x:f>MOD(ABS(SIN((A38+1)*12.9898+78.233)*43758.5453),1)</x:f>
        <x:v>0.632248228041135</x:v>
      </x:c>
      <x:c r="C38" s="131" t="n">
        <x:f>MOD(ABS(SIN((A38+2)*12.9898+78.233)*43758.5453),1)</x:f>
        <x:v>0.5956784998561488</x:v>
      </x:c>
      <x:c r="D38" s="131" t="n">
        <x:f>MOD(ABS(SIN((A38+3)*12.9898+78.233)*43758.5453),1)</x:f>
        <x:v>0.42984639299538685</x:v>
      </x:c>
      <x:c r="E38" s="131" t="n">
        <x:f>MOD(ABS(SIN((A38+4)*12.9898+78.233)*43758.5453),1)</x:f>
        <x:v>0.8854235418475582</x:v>
      </x:c>
      <x:c r="F38" s="131" t="n">
        <x:f>MOD(ABS(SIN((A38+5)*12.9898+78.233)*43758.5453),1)</x:f>
        <x:v>0.3603721939252864</x:v>
      </x:c>
      <x:c r="G38" s="132" t="n">
        <x:f>IF(B38&lt;(('Assumptions'!$C$47-'Assumptions'!$B$47)/('Assumptions'!$D$47-'Assumptions'!$B$47)),'Assumptions'!$B$47+SQRT(B38*('Assumptions'!$D$47-'Assumptions'!$B$47)*('Assumptions'!$C$47-'Assumptions'!$B$47)),'Assumptions'!$D$47-SQRT((1-B38)*('Assumptions'!$D$47-'Assumptions'!$B$47)*('Assumptions'!$D$47-'Assumptions'!$C$47)))</x:f>
        <x:v>0.023292579554896775</x:v>
      </x:c>
      <x:c r="H38" s="132" t="n">
        <x:f>IF(C38&lt;(('Assumptions'!$C$48-'Assumptions'!$B$48)/('Assumptions'!$D$48-'Assumptions'!$B$48)),'Assumptions'!$B$48+SQRT(C38*('Assumptions'!$D$48-'Assumptions'!$B$48)*('Assumptions'!$C$48-'Assumptions'!$B$48)),'Assumptions'!$D$48-SQRT((1-C38)*('Assumptions'!$D$48-'Assumptions'!$B$48)*('Assumptions'!$D$48-'Assumptions'!$C$48)))</x:f>
        <x:v>0.0803507820565442</x:v>
      </x:c>
      <x:c r="I38" s="132" t="n">
        <x:f>IF(D38&lt;(('Assumptions'!$C$49-'Assumptions'!$B$49)/('Assumptions'!$D$49-'Assumptions'!$B$49)),'Assumptions'!$B$49+SQRT(D38*('Assumptions'!$D$49-'Assumptions'!$B$49)*('Assumptions'!$C$49-'Assumptions'!$B$49)),'Assumptions'!$D$49-SQRT((1-D38)*('Assumptions'!$D$49-'Assumptions'!$B$49)*('Assumptions'!$D$49-'Assumptions'!$C$49)))</x:f>
        <x:v>0.03902559794574406</x:v>
      </x:c>
      <x:c r="J38" s="132" t="n">
        <x:f>IF(E38&lt;(('Assumptions'!$C$50-'Assumptions'!$B$50)/('Assumptions'!$D$50-'Assumptions'!$B$50)),'Assumptions'!$B$50+SQRT(E38*('Assumptions'!$D$50-'Assumptions'!$B$50)*('Assumptions'!$C$50-'Assumptions'!$B$50)),'Assumptions'!$D$50-SQRT((1-E38)*('Assumptions'!$D$50-'Assumptions'!$B$50)*('Assumptions'!$D$50-'Assumptions'!$C$50)))</x:f>
        <x:v>0.0743233258984354</x:v>
      </x:c>
      <x:c r="K38" s="132" t="n">
        <x:f>IF(F38&lt;(('Assumptions'!$C$51-'Assumptions'!$B$51)/('Assumptions'!$D$51-'Assumptions'!$B$51)),'Assumptions'!$B$51+SQRT(F38*('Assumptions'!$D$51-'Assumptions'!$B$51)*('Assumptions'!$C$51-'Assumptions'!$B$51)),'Assumptions'!$D$51-SQRT((1-F38)*('Assumptions'!$D$51-'Assumptions'!$B$51)*('Assumptions'!$D$51-'Assumptions'!$C$51)))</x:f>
        <x:v>0.0674550164906671</x:v>
      </x:c>
      <x:c r="L38" s="133" t="n">
        <x:f>(('Assumptions'!$B$17*(1+G38)+'Assumptions'!$B$18)*(1-H38-'Assumptions'!$B$20)-SUM('Assumptions'!$B$21:$B$25)*(1+I38))-(('Assumptions'!$B$17*(1+G38)+'Assumptions'!$B$18)*(1-H38-'Assumptions'!$B$20)*'Assumptions'!$B$26)</x:f>
        <x:v>206498.8821999423</x:v>
      </x:c>
      <x:c r="M38" s="133" t="n">
        <x:f>'Assumptions'!$B$10*'Assumptions'!$B$33</x:f>
        <x:v>1950000</x:v>
      </x:c>
      <x:c r="N38" s="133" t="n">
        <x:f>-PMT(K38/12,'Assumptions'!$B$35*12,M38)*12</x:f>
        <x:v>151701.9915908497</x:v>
      </x:c>
      <x:c r="O38" s="133" t="n">
        <x:f>(L38*(1+'Assumptions'!$B$29)^('Assumptions'!$B$14/12)/J38)*(1-'Assumptions'!$B$42)-'Debt Schedule'!$F$9</x:f>
        <x:v>3027656.1194724543</x:v>
      </x:c>
      <x:c r="P38" s="132" t="n">
        <x:f>((O38+(L38-N38-'Assumptions'!$B$27-'Assumptions'!$B$28)*('Assumptions'!$B$14/12))/ABS('Monthly Cash Flow'!$S$5))^(1/('Assumptions'!$B$14/12))-1</x:f>
        <x:v>0.19096194014775603</x:v>
      </x:c>
      <x:c r="Q38" s="133" t="n">
        <x:f>-ABS('Monthly Cash Flow'!$S$5)+((L38-N38-'Assumptions'!$B$27-'Assumptions'!$B$28)*(1-(1+'Assumptions'!$B$43)^-('Assumptions'!$B$14/12))/'Assumptions'!$B$43)+(O38/(1+'Assumptions'!$B$43)^('Assumptions'!$B$14/12))</x:f>
        <x:v>641528.1006203156</x:v>
      </x:c>
    </x:row>
    <x:row r="39">
      <x:c r="A39" s="131" t="n">
        <x:f>32</x:f>
        <x:v>32</x:v>
      </x:c>
      <x:c r="B39" s="131" t="n">
        <x:f>MOD(ABS(SIN((A39+1)*12.9898+78.233)*43758.5453),1)</x:f>
        <x:v>0.5956784998561488</x:v>
      </x:c>
      <x:c r="C39" s="131" t="n">
        <x:f>MOD(ABS(SIN((A39+2)*12.9898+78.233)*43758.5453),1)</x:f>
        <x:v>0.42984639299538685</x:v>
      </x:c>
      <x:c r="D39" s="131" t="n">
        <x:f>MOD(ABS(SIN((A39+3)*12.9898+78.233)*43758.5453),1)</x:f>
        <x:v>0.8854235418475582</x:v>
      </x:c>
      <x:c r="E39" s="131" t="n">
        <x:f>MOD(ABS(SIN((A39+4)*12.9898+78.233)*43758.5453),1)</x:f>
        <x:v>0.3603721939252864</x:v>
      </x:c>
      <x:c r="F39" s="131" t="n">
        <x:f>MOD(ABS(SIN((A39+5)*12.9898+78.233)*43758.5453),1)</x:f>
        <x:v>0.03934201633455814</x:v>
      </x:c>
      <x:c r="G39" s="132" t="n">
        <x:f>IF(B39&lt;(('Assumptions'!$C$47-'Assumptions'!$B$47)/('Assumptions'!$D$47-'Assumptions'!$B$47)),'Assumptions'!$B$47+SQRT(B39*('Assumptions'!$D$47-'Assumptions'!$B$47)*('Assumptions'!$C$47-'Assumptions'!$B$47)),'Assumptions'!$D$47-SQRT((1-B39)*('Assumptions'!$D$47-'Assumptions'!$B$47)*('Assumptions'!$D$47-'Assumptions'!$C$47)))</x:f>
        <x:v>0.01956706903051346</x:v>
      </x:c>
      <x:c r="H39" s="132" t="n">
        <x:f>IF(C39&lt;(('Assumptions'!$C$48-'Assumptions'!$B$48)/('Assumptions'!$D$48-'Assumptions'!$B$48)),'Assumptions'!$B$48+SQRT(C39*('Assumptions'!$D$48-'Assumptions'!$B$48)*('Assumptions'!$C$48-'Assumptions'!$B$48)),'Assumptions'!$D$48-SQRT((1-C39)*('Assumptions'!$D$48-'Assumptions'!$B$48)*('Assumptions'!$D$48-'Assumptions'!$C$48)))</x:f>
        <x:v>0.06916673280413647</x:v>
      </x:c>
      <x:c r="I39" s="132" t="n">
        <x:f>IF(D39&lt;(('Assumptions'!$C$49-'Assumptions'!$B$49)/('Assumptions'!$D$49-'Assumptions'!$B$49)),'Assumptions'!$B$49+SQRT(D39*('Assumptions'!$D$49-'Assumptions'!$B$49)*('Assumptions'!$C$49-'Assumptions'!$B$49)),'Assumptions'!$D$49-SQRT((1-D39)*('Assumptions'!$D$49-'Assumptions'!$B$49)*('Assumptions'!$D$49-'Assumptions'!$C$49)))</x:f>
        <x:v>0.10025212068748314</x:v>
      </x:c>
      <x:c r="J39" s="132" t="n">
        <x:f>IF(E39&lt;(('Assumptions'!$C$50-'Assumptions'!$B$50)/('Assumptions'!$D$50-'Assumptions'!$B$50)),'Assumptions'!$B$50+SQRT(E39*('Assumptions'!$D$50-'Assumptions'!$B$50)*('Assumptions'!$C$50-'Assumptions'!$B$50)),'Assumptions'!$D$50-SQRT((1-E39)*('Assumptions'!$D$50-'Assumptions'!$B$50)*('Assumptions'!$D$50-'Assumptions'!$C$50)))</x:f>
        <x:v>0.06650465122218453</x:v>
      </x:c>
      <x:c r="K39" s="132" t="n">
        <x:f>IF(F39&lt;(('Assumptions'!$C$51-'Assumptions'!$B$51)/('Assumptions'!$D$51-'Assumptions'!$B$51)),'Assumptions'!$B$51+SQRT(F39*('Assumptions'!$D$51-'Assumptions'!$B$51)*('Assumptions'!$C$51-'Assumptions'!$B$51)),'Assumptions'!$D$51-SQRT((1-F39)*('Assumptions'!$D$51-'Assumptions'!$B$51)*('Assumptions'!$D$51-'Assumptions'!$C$51)))</x:f>
        <x:v>0.0607892331160931</x:v>
      </x:c>
      <x:c r="L39" s="133" t="n">
        <x:f>(('Assumptions'!$B$17*(1+G39)+'Assumptions'!$B$18)*(1-H39-'Assumptions'!$B$20)-SUM('Assumptions'!$B$21:$B$25)*(1+I39))-(('Assumptions'!$B$17*(1+G39)+'Assumptions'!$B$18)*(1-H39-'Assumptions'!$B$20)*'Assumptions'!$B$26)</x:f>
        <x:v>201747.23239443608</x:v>
      </x:c>
      <x:c r="M39" s="133" t="n">
        <x:f>'Assumptions'!$B$10*'Assumptions'!$B$33</x:f>
        <x:v>1950000</x:v>
      </x:c>
      <x:c r="N39" s="133" t="n">
        <x:f>-PMT(K39/12,'Assumptions'!$B$35*12,M39)*12</x:f>
        <x:v>141484.367458796</x:v>
      </x:c>
      <x:c r="O39" s="133" t="n">
        <x:f>(L39*(1+'Assumptions'!$B$29)^('Assumptions'!$B$14/12)/J39)*(1-'Assumptions'!$B$42)-'Debt Schedule'!$F$9</x:f>
        <x:v>3305746.4684321447</x:v>
      </x:c>
      <x:c r="P39" s="132" t="n">
        <x:f>((O39+(L39-N39-'Assumptions'!$B$27-'Assumptions'!$B$28)*('Assumptions'!$B$14/12))/ABS('Monthly Cash Flow'!$S$5))^(1/('Assumptions'!$B$14/12))-1</x:f>
        <x:v>0.2135441069097581</x:v>
      </x:c>
      <x:c r="Q39" s="133" t="n">
        <x:f>-ABS('Monthly Cash Flow'!$S$5)+((L39-N39-'Assumptions'!$B$27-'Assumptions'!$B$28)*(1-(1+'Assumptions'!$B$43)^-('Assumptions'!$B$14/12))/'Assumptions'!$B$43)+(O39/(1+'Assumptions'!$B$43)^('Assumptions'!$B$14/12))</x:f>
        <x:v>834920.6711853512</x:v>
      </x:c>
    </x:row>
    <x:row r="40">
      <x:c r="A40" s="131" t="n">
        <x:f>33</x:f>
        <x:v>33</x:v>
      </x:c>
      <x:c r="B40" s="131" t="n">
        <x:f>MOD(ABS(SIN((A40+1)*12.9898+78.233)*43758.5453),1)</x:f>
        <x:v>0.42984639299538685</x:v>
      </x:c>
      <x:c r="C40" s="131" t="n">
        <x:f>MOD(ABS(SIN((A40+2)*12.9898+78.233)*43758.5453),1)</x:f>
        <x:v>0.8854235418475582</x:v>
      </x:c>
      <x:c r="D40" s="131" t="n">
        <x:f>MOD(ABS(SIN((A40+3)*12.9898+78.233)*43758.5453),1)</x:f>
        <x:v>0.3603721939252864</x:v>
      </x:c>
      <x:c r="E40" s="131" t="n">
        <x:f>MOD(ABS(SIN((A40+4)*12.9898+78.233)*43758.5453),1)</x:f>
        <x:v>0.03934201633455814</x:v>
      </x:c>
      <x:c r="F40" s="131" t="n">
        <x:f>MOD(ABS(SIN((A40+5)*12.9898+78.233)*43758.5453),1)</x:f>
        <x:v>0.24883270101281596</x:v>
      </x:c>
      <x:c r="G40" s="132" t="n">
        <x:f>IF(B40&lt;(('Assumptions'!$C$47-'Assumptions'!$B$47)/('Assumptions'!$D$47-'Assumptions'!$B$47)),'Assumptions'!$B$47+SQRT(B40*('Assumptions'!$D$47-'Assumptions'!$B$47)*('Assumptions'!$C$47-'Assumptions'!$B$47)),'Assumptions'!$D$47-SQRT((1-B40)*('Assumptions'!$D$47-'Assumptions'!$B$47)*('Assumptions'!$D$47-'Assumptions'!$C$47)))</x:f>
        <x:v>0.0015692543631648653</x:v>
      </x:c>
      <x:c r="H40" s="132" t="n">
        <x:f>IF(C40&lt;(('Assumptions'!$C$48-'Assumptions'!$B$48)/('Assumptions'!$D$48-'Assumptions'!$B$48)),'Assumptions'!$B$48+SQRT(C40*('Assumptions'!$D$48-'Assumptions'!$B$48)*('Assumptions'!$C$48-'Assumptions'!$B$48)),'Assumptions'!$D$48-SQRT((1-C40)*('Assumptions'!$D$48-'Assumptions'!$B$48)*('Assumptions'!$D$48-'Assumptions'!$C$48)))</x:f>
        <x:v>0.10824668786187042</x:v>
      </x:c>
      <x:c r="I40" s="132" t="n">
        <x:f>IF(D40&lt;(('Assumptions'!$C$49-'Assumptions'!$B$49)/('Assumptions'!$D$49-'Assumptions'!$B$49)),'Assumptions'!$B$49+SQRT(D40*('Assumptions'!$D$49-'Assumptions'!$B$49)*('Assumptions'!$C$49-'Assumptions'!$B$49)),'Assumptions'!$D$49-SQRT((1-D40)*('Assumptions'!$D$49-'Assumptions'!$B$49)*('Assumptions'!$D$49-'Assumptions'!$C$49)))</x:f>
        <x:v>0.03245868551350205</x:v>
      </x:c>
      <x:c r="J40" s="132" t="n">
        <x:f>IF(E40&lt;(('Assumptions'!$C$50-'Assumptions'!$B$50)/('Assumptions'!$D$50-'Assumptions'!$B$50)),'Assumptions'!$B$50+SQRT(E40*('Assumptions'!$D$50-'Assumptions'!$B$50)*('Assumptions'!$C$50-'Assumptions'!$B$50)),'Assumptions'!$D$50-SQRT((1-E40)*('Assumptions'!$D$50-'Assumptions'!$B$50)*('Assumptions'!$D$50-'Assumptions'!$C$50)))</x:f>
        <x:v>0.06047522329838881</x:v>
      </x:c>
      <x:c r="K40" s="132" t="n">
        <x:f>IF(F40&lt;(('Assumptions'!$C$51-'Assumptions'!$B$51)/('Assumptions'!$D$51-'Assumptions'!$B$51)),'Assumptions'!$B$51+SQRT(F40*('Assumptions'!$D$51-'Assumptions'!$B$51)*('Assumptions'!$C$51-'Assumptions'!$B$51)),'Assumptions'!$D$51-SQRT((1-F40)*('Assumptions'!$D$51-'Assumptions'!$B$51)*('Assumptions'!$D$51-'Assumptions'!$C$51)))</x:f>
        <x:v>0.06577218186324046</x:v>
      </x:c>
      <x:c r="L40" s="133" t="n">
        <x:f>(('Assumptions'!$B$17*(1+G40)+'Assumptions'!$B$18)*(1-H40-'Assumptions'!$B$20)-SUM('Assumptions'!$B$21:$B$25)*(1+I40))-(('Assumptions'!$B$17*(1+G40)+'Assumptions'!$B$18)*(1-H40-'Assumptions'!$B$20)*'Assumptions'!$B$26)</x:f>
        <x:v>190359.05260626876</x:v>
      </x:c>
      <x:c r="M40" s="133" t="n">
        <x:f>'Assumptions'!$B$10*'Assumptions'!$B$33</x:f>
        <x:v>1950000</x:v>
      </x:c>
      <x:c r="N40" s="133" t="n">
        <x:f>-PMT(K40/12,'Assumptions'!$B$35*12,M40)*12</x:f>
        <x:v>149094.22534483508</x:v>
      </x:c>
      <x:c r="O40" s="133" t="n">
        <x:f>(L40*(1+'Assumptions'!$B$29)^('Assumptions'!$B$14/12)/J40)*(1-'Assumptions'!$B$42)-'Debt Schedule'!$F$9</x:f>
        <x:v>3430125.6665322366</x:v>
      </x:c>
      <x:c r="P40" s="132" t="n">
        <x:f>((O40+(L40-N40-'Assumptions'!$B$27-'Assumptions'!$B$28)*('Assumptions'!$B$14/12))/ABS('Monthly Cash Flow'!$S$5))^(1/('Assumptions'!$B$14/12))-1</x:f>
        <x:v>0.2156305055976231</x:v>
      </x:c>
      <x:c r="Q40" s="133" t="n">
        <x:f>-ABS('Monthly Cash Flow'!$S$5)+((L40-N40-'Assumptions'!$B$27-'Assumptions'!$B$28)*(1-(1+'Assumptions'!$B$43)^-('Assumptions'!$B$14/12))/'Assumptions'!$B$43)+(O40/(1+'Assumptions'!$B$43)^('Assumptions'!$B$14/12))</x:f>
        <x:v>840132.8575705921</x:v>
      </x:c>
    </x:row>
    <x:row r="41">
      <x:c r="A41" s="131" t="n">
        <x:f>34</x:f>
        <x:v>34</x:v>
      </x:c>
      <x:c r="B41" s="131" t="n">
        <x:f>MOD(ABS(SIN((A41+1)*12.9898+78.233)*43758.5453),1)</x:f>
        <x:v>0.8854235418475582</x:v>
      </x:c>
      <x:c r="C41" s="131" t="n">
        <x:f>MOD(ABS(SIN((A41+2)*12.9898+78.233)*43758.5453),1)</x:f>
        <x:v>0.3603721939252864</x:v>
      </x:c>
      <x:c r="D41" s="131" t="n">
        <x:f>MOD(ABS(SIN((A41+3)*12.9898+78.233)*43758.5453),1)</x:f>
        <x:v>0.03934201633455814</x:v>
      </x:c>
      <x:c r="E41" s="131" t="n">
        <x:f>MOD(ABS(SIN((A41+4)*12.9898+78.233)*43758.5453),1)</x:f>
        <x:v>0.24883270101281596</x:v>
      </x:c>
      <x:c r="F41" s="131" t="n">
        <x:f>MOD(ABS(SIN((A41+5)*12.9898+78.233)*43758.5453),1)</x:f>
        <x:v>0.2621562275198812</x:v>
      </x:c>
      <x:c r="G41" s="132" t="n">
        <x:f>IF(B41&lt;(('Assumptions'!$C$47-'Assumptions'!$B$47)/('Assumptions'!$D$47-'Assumptions'!$B$47)),'Assumptions'!$B$47+SQRT(B41*('Assumptions'!$D$47-'Assumptions'!$B$47)*('Assumptions'!$C$47-'Assumptions'!$B$47)),'Assumptions'!$D$47-SQRT((1-B41)*('Assumptions'!$D$47-'Assumptions'!$B$47)*('Assumptions'!$D$47-'Assumptions'!$C$47)))</x:f>
        <x:v>0.05718384264744128</x:v>
      </x:c>
      <x:c r="H41" s="132" t="n">
        <x:f>IF(C41&lt;(('Assumptions'!$C$48-'Assumptions'!$B$48)/('Assumptions'!$D$48-'Assumptions'!$B$48)),'Assumptions'!$B$48+SQRT(C41*('Assumptions'!$D$48-'Assumptions'!$B$48)*('Assumptions'!$C$48-'Assumptions'!$B$48)),'Assumptions'!$D$48-SQRT((1-C41)*('Assumptions'!$D$48-'Assumptions'!$B$48)*('Assumptions'!$D$48-'Assumptions'!$C$48)))</x:f>
        <x:v>0.06497517281954272</x:v>
      </x:c>
      <x:c r="I41" s="132" t="n">
        <x:f>IF(D41&lt;(('Assumptions'!$C$49-'Assumptions'!$B$49)/('Assumptions'!$D$49-'Assumptions'!$B$49)),'Assumptions'!$B$49+SQRT(D41*('Assumptions'!$D$49-'Assumptions'!$B$49)*('Assumptions'!$C$49-'Assumptions'!$B$49)),'Assumptions'!$D$49-SQRT((1-D41)*('Assumptions'!$D$49-'Assumptions'!$B$49)*('Assumptions'!$D$49-'Assumptions'!$C$49)))</x:f>
        <x:v>-0.009387048333311703</x:v>
      </x:c>
      <x:c r="J41" s="132" t="n">
        <x:f>IF(E41&lt;(('Assumptions'!$C$50-'Assumptions'!$B$50)/('Assumptions'!$D$50-'Assumptions'!$B$50)),'Assumptions'!$B$50+SQRT(E41*('Assumptions'!$D$50-'Assumptions'!$B$50)*('Assumptions'!$C$50-'Assumptions'!$B$50)),'Assumptions'!$D$50-SQRT((1-E41)*('Assumptions'!$D$50-'Assumptions'!$B$50)*('Assumptions'!$D$50-'Assumptions'!$C$50)))</x:f>
        <x:v>0.06498247002853226</x:v>
      </x:c>
      <x:c r="K41" s="132" t="n">
        <x:f>IF(F41&lt;(('Assumptions'!$C$51-'Assumptions'!$B$51)/('Assumptions'!$D$51-'Assumptions'!$B$51)),'Assumptions'!$B$51+SQRT(F41*('Assumptions'!$D$51-'Assumptions'!$B$51)*('Assumptions'!$C$51-'Assumptions'!$B$51)),'Assumptions'!$D$51-SQRT((1-F41)*('Assumptions'!$D$51-'Assumptions'!$B$51)*('Assumptions'!$D$51-'Assumptions'!$C$51)))</x:f>
        <x:v>0.06599075747904552</x:v>
      </x:c>
      <x:c r="L41" s="133" t="n">
        <x:f>(('Assumptions'!$B$17*(1+G41)+'Assumptions'!$B$18)*(1-H41-'Assumptions'!$B$20)-SUM('Assumptions'!$B$21:$B$25)*(1+I41))-(('Assumptions'!$B$17*(1+G41)+'Assumptions'!$B$18)*(1-H41-'Assumptions'!$B$20)*'Assumptions'!$B$26)</x:f>
        <x:v>229136.79884778915</x:v>
      </x:c>
      <x:c r="M41" s="133" t="n">
        <x:f>'Assumptions'!$B$10*'Assumptions'!$B$33</x:f>
        <x:v>1950000</x:v>
      </x:c>
      <x:c r="N41" s="133" t="n">
        <x:f>-PMT(K41/12,'Assumptions'!$B$35*12,M41)*12</x:f>
        <x:v>149431.8786737341</x:v>
      </x:c>
      <x:c r="O41" s="133" t="n">
        <x:f>(L41*(1+'Assumptions'!$B$29)^('Assumptions'!$B$14/12)/J41)*(1-'Assumptions'!$B$42)-'Debt Schedule'!$F$9</x:f>
        <x:v>3842488.7395071476</x:v>
      </x:c>
      <x:c r="P41" s="132" t="n">
        <x:f>((O41+(L41-N41-'Assumptions'!$B$27-'Assumptions'!$B$28)*('Assumptions'!$B$14/12))/ABS('Monthly Cash Flow'!$S$5))^(1/('Assumptions'!$B$14/12))-1</x:f>
        <x:v>0.25567615123724075</x:v>
      </x:c>
      <x:c r="Q41" s="133" t="n">
        <x:f>-ABS('Monthly Cash Flow'!$S$5)+((L41-N41-'Assumptions'!$B$27-'Assumptions'!$B$28)*(1-(1+'Assumptions'!$B$43)^-('Assumptions'!$B$14/12))/'Assumptions'!$B$43)+(O41/(1+'Assumptions'!$B$43)^('Assumptions'!$B$14/12))</x:f>
        <x:v>1241896.078050909</x:v>
      </x:c>
    </x:row>
    <x:row r="42">
      <x:c r="A42" s="131" t="n">
        <x:f>35</x:f>
        <x:v>35</x:v>
      </x:c>
      <x:c r="B42" s="131" t="n">
        <x:f>MOD(ABS(SIN((A42+1)*12.9898+78.233)*43758.5453),1)</x:f>
        <x:v>0.3603721939252864</x:v>
      </x:c>
      <x:c r="C42" s="131" t="n">
        <x:f>MOD(ABS(SIN((A42+2)*12.9898+78.233)*43758.5453),1)</x:f>
        <x:v>0.03934201633455814</x:v>
      </x:c>
      <x:c r="D42" s="131" t="n">
        <x:f>MOD(ABS(SIN((A42+3)*12.9898+78.233)*43758.5453),1)</x:f>
        <x:v>0.24883270101281596</x:v>
      </x:c>
      <x:c r="E42" s="131" t="n">
        <x:f>MOD(ABS(SIN((A42+4)*12.9898+78.233)*43758.5453),1)</x:f>
        <x:v>0.2621562275198812</x:v>
      </x:c>
      <x:c r="F42" s="131" t="n">
        <x:f>MOD(ABS(SIN((A42+5)*12.9898+78.233)*43758.5453),1)</x:f>
        <x:v>0.7822295588048291</x:v>
      </x:c>
      <x:c r="G42" s="132" t="n">
        <x:f>IF(B42&lt;(('Assumptions'!$C$47-'Assumptions'!$B$47)/('Assumptions'!$D$47-'Assumptions'!$B$47)),'Assumptions'!$B$47+SQRT(B42*('Assumptions'!$D$47-'Assumptions'!$B$47)*('Assumptions'!$C$47-'Assumptions'!$B$47)),'Assumptions'!$D$47-SQRT((1-B42)*('Assumptions'!$D$47-'Assumptions'!$B$47)*('Assumptions'!$D$47-'Assumptions'!$C$47)))</x:f>
        <x:v>-0.007000362074861419</x:v>
      </x:c>
      <x:c r="H42" s="132" t="n">
        <x:f>IF(C42&lt;(('Assumptions'!$C$48-'Assumptions'!$B$48)/('Assumptions'!$D$48-'Assumptions'!$B$48)),'Assumptions'!$B$48+SQRT(C42*('Assumptions'!$D$48-'Assumptions'!$B$48)*('Assumptions'!$C$48-'Assumptions'!$B$48)),'Assumptions'!$D$48-SQRT((1-C42)*('Assumptions'!$D$48-'Assumptions'!$B$48)*('Assumptions'!$D$48-'Assumptions'!$C$48)))</x:f>
        <x:v>0.041394237750022676</x:v>
      </x:c>
      <x:c r="I42" s="132" t="n">
        <x:f>IF(D42&lt;(('Assumptions'!$C$49-'Assumptions'!$B$49)/('Assumptions'!$D$49-'Assumptions'!$B$49)),'Assumptions'!$B$49+SQRT(D42*('Assumptions'!$D$49-'Assumptions'!$B$49)*('Assumptions'!$C$49-'Assumptions'!$B$49)),'Assumptions'!$D$49-SQRT((1-D42)*('Assumptions'!$D$49-'Assumptions'!$B$49)*('Assumptions'!$D$49-'Assumptions'!$C$49)))</x:f>
        <x:v>0.0218400730221169</x:v>
      </x:c>
      <x:c r="J42" s="132" t="n">
        <x:f>IF(E42&lt;(('Assumptions'!$C$50-'Assumptions'!$B$50)/('Assumptions'!$D$50-'Assumptions'!$B$50)),'Assumptions'!$B$50+SQRT(E42*('Assumptions'!$D$50-'Assumptions'!$B$50)*('Assumptions'!$C$50-'Assumptions'!$B$50)),'Assumptions'!$D$50-SQRT((1-E42)*('Assumptions'!$D$50-'Assumptions'!$B$50)*('Assumptions'!$D$50-'Assumptions'!$C$50)))</x:f>
        <x:v>0.06518017911197214</x:v>
      </x:c>
      <x:c r="K42" s="132" t="n">
        <x:f>IF(F42&lt;(('Assumptions'!$C$51-'Assumptions'!$B$51)/('Assumptions'!$D$51-'Assumptions'!$B$51)),'Assumptions'!$B$51+SQRT(F42*('Assumptions'!$D$51-'Assumptions'!$B$51)*('Assumptions'!$C$51-'Assumptions'!$B$51)),'Assumptions'!$D$51-SQRT((1-F42)*('Assumptions'!$D$51-'Assumptions'!$B$51)*('Assumptions'!$D$51-'Assumptions'!$C$51)))</x:f>
        <x:v>0.07476271399123889</x:v>
      </x:c>
      <x:c r="L42" s="133" t="n">
        <x:f>(('Assumptions'!$B$17*(1+G42)+'Assumptions'!$B$18)*(1-H42-'Assumptions'!$B$20)-SUM('Assumptions'!$B$21:$B$25)*(1+I42))-(('Assumptions'!$B$17*(1+G42)+'Assumptions'!$B$18)*(1-H42-'Assumptions'!$B$20)*'Assumptions'!$B$26)</x:f>
        <x:v>213183.2240424966</x:v>
      </x:c>
      <x:c r="M42" s="133" t="n">
        <x:f>'Assumptions'!$B$10*'Assumptions'!$B$33</x:f>
        <x:v>1950000</x:v>
      </x:c>
      <x:c r="N42" s="133" t="n">
        <x:f>-PMT(K42/12,'Assumptions'!$B$35*12,M42)*12</x:f>
        <x:v>163236.15515679767</x:v>
      </x:c>
      <x:c r="O42" s="133" t="n">
        <x:f>(L42*(1+'Assumptions'!$B$29)^('Assumptions'!$B$14/12)/J42)*(1-'Assumptions'!$B$42)-'Debt Schedule'!$F$9</x:f>
        <x:v>3564112.9065721664</x:v>
      </x:c>
      <x:c r="P42" s="132" t="n">
        <x:f>((O42+(L42-N42-'Assumptions'!$B$27-'Assumptions'!$B$28)*('Assumptions'!$B$14/12))/ABS('Monthly Cash Flow'!$S$5))^(1/('Assumptions'!$B$14/12))-1</x:f>
        <x:v>0.2279298913665575</x:v>
      </x:c>
      <x:c r="Q42" s="133" t="n">
        <x:f>-ABS('Monthly Cash Flow'!$S$5)+((L42-N42-'Assumptions'!$B$27-'Assumptions'!$B$28)*(1-(1+'Assumptions'!$B$43)^-('Assumptions'!$B$14/12))/'Assumptions'!$B$43)+(O42/(1+'Assumptions'!$B$43)^('Assumptions'!$B$14/12))</x:f>
        <x:v>956240.918607302</x:v>
      </x:c>
    </x:row>
    <x:row r="43">
      <x:c r="A43" s="131" t="n">
        <x:f>36</x:f>
        <x:v>36</x:v>
      </x:c>
      <x:c r="B43" s="131" t="n">
        <x:f>MOD(ABS(SIN((A43+1)*12.9898+78.233)*43758.5453),1)</x:f>
        <x:v>0.03934201633455814</x:v>
      </x:c>
      <x:c r="C43" s="131" t="n">
        <x:f>MOD(ABS(SIN((A43+2)*12.9898+78.233)*43758.5453),1)</x:f>
        <x:v>0.24883270101281596</x:v>
      </x:c>
      <x:c r="D43" s="131" t="n">
        <x:f>MOD(ABS(SIN((A43+3)*12.9898+78.233)*43758.5453),1)</x:f>
        <x:v>0.2621562275198812</x:v>
      </x:c>
      <x:c r="E43" s="131" t="n">
        <x:f>MOD(ABS(SIN((A43+4)*12.9898+78.233)*43758.5453),1)</x:f>
        <x:v>0.7822295588048291</x:v>
      </x:c>
      <x:c r="F43" s="131" t="n">
        <x:f>MOD(ABS(SIN((A43+5)*12.9898+78.233)*43758.5453),1)</x:f>
        <x:v>0.8539931290652021</x:v>
      </x:c>
      <x:c r="G43" s="132" t="n">
        <x:f>IF(B43&lt;(('Assumptions'!$C$47-'Assumptions'!$B$47)/('Assumptions'!$D$47-'Assumptions'!$B$47)),'Assumptions'!$B$47+SQRT(B43*('Assumptions'!$D$47-'Assumptions'!$B$47)*('Assumptions'!$C$47-'Assumptions'!$B$47)),'Assumptions'!$D$47-SQRT((1-B43)*('Assumptions'!$D$47-'Assumptions'!$B$47)*('Assumptions'!$D$47-'Assumptions'!$C$47)))</x:f>
        <x:v>-0.06927202590424492</x:v>
      </x:c>
      <x:c r="H43" s="132" t="n">
        <x:f>IF(C43&lt;(('Assumptions'!$C$48-'Assumptions'!$B$48)/('Assumptions'!$D$48-'Assumptions'!$B$48)),'Assumptions'!$B$48+SQRT(C43*('Assumptions'!$D$48-'Assumptions'!$B$48)*('Assumptions'!$C$48-'Assumptions'!$B$48)),'Assumptions'!$D$48-SQRT((1-C43)*('Assumptions'!$D$48-'Assumptions'!$B$48)*('Assumptions'!$D$48-'Assumptions'!$C$48)))</x:f>
        <x:v>0.05865567855316452</x:v>
      </x:c>
      <x:c r="I43" s="132" t="n">
        <x:f>IF(D43&lt;(('Assumptions'!$C$49-'Assumptions'!$B$49)/('Assumptions'!$D$49-'Assumptions'!$B$49)),'Assumptions'!$B$49+SQRT(D43*('Assumptions'!$D$49-'Assumptions'!$B$49)*('Assumptions'!$C$49-'Assumptions'!$B$49)),'Assumptions'!$D$49-SQRT((1-D43)*('Assumptions'!$D$49-'Assumptions'!$B$49)*('Assumptions'!$D$49-'Assumptions'!$C$49)))</x:f>
        <x:v>0.02320984173265992</x:v>
      </x:c>
      <x:c r="J43" s="132" t="n">
        <x:f>IF(E43&lt;(('Assumptions'!$C$50-'Assumptions'!$B$50)/('Assumptions'!$D$50-'Assumptions'!$B$50)),'Assumptions'!$B$50+SQRT(E43*('Assumptions'!$D$50-'Assumptions'!$B$50)*('Assumptions'!$C$50-'Assumptions'!$B$50)),'Assumptions'!$D$50-SQRT((1-E43)*('Assumptions'!$D$50-'Assumptions'!$B$50)*('Assumptions'!$D$50-'Assumptions'!$C$50)))</x:f>
        <x:v>0.0721738939065368</x:v>
      </x:c>
      <x:c r="K43" s="132" t="n">
        <x:f>IF(F43&lt;(('Assumptions'!$C$51-'Assumptions'!$B$51)/('Assumptions'!$D$51-'Assumptions'!$B$51)),'Assumptions'!$B$51+SQRT(F43*('Assumptions'!$D$51-'Assumptions'!$B$51)*('Assumptions'!$C$51-'Assumptions'!$B$51)),'Assumptions'!$D$51-SQRT((1-F43)*('Assumptions'!$D$51-'Assumptions'!$B$51)*('Assumptions'!$D$51-'Assumptions'!$C$51)))</x:f>
        <x:v>0.07661752980098518</x:v>
      </x:c>
      <x:c r="L43" s="133" t="n">
        <x:f>(('Assumptions'!$B$17*(1+G43)+'Assumptions'!$B$18)*(1-H43-'Assumptions'!$B$20)-SUM('Assumptions'!$B$21:$B$25)*(1+I43))-(('Assumptions'!$B$17*(1+G43)+'Assumptions'!$B$18)*(1-H43-'Assumptions'!$B$20)*'Assumptions'!$B$26)</x:f>
        <x:v>186745.02039697825</x:v>
      </x:c>
      <x:c r="M43" s="133" t="n">
        <x:f>'Assumptions'!$B$10*'Assumptions'!$B$33</x:f>
        <x:v>1950000</x:v>
      </x:c>
      <x:c r="N43" s="133" t="n">
        <x:f>-PMT(K43/12,'Assumptions'!$B$35*12,M43)*12</x:f>
        <x:v>166215.75593000496</x:v>
      </x:c>
      <x:c r="O43" s="133" t="n">
        <x:f>(L43*(1+'Assumptions'!$B$29)^('Assumptions'!$B$14/12)/J43)*(1-'Assumptions'!$B$42)-'Debt Schedule'!$F$9</x:f>
        <x:v>2819569.930303568</x:v>
      </x:c>
      <x:c r="P43" s="132" t="n">
        <x:f>((O43+(L43-N43-'Assumptions'!$B$27-'Assumptions'!$B$28)*('Assumptions'!$B$14/12))/ABS('Monthly Cash Flow'!$S$5))^(1/('Assumptions'!$B$14/12))-1</x:f>
        <x:v>0.1602834925844301</x:v>
      </x:c>
      <x:c r="Q43" s="133" t="n">
        <x:f>-ABS('Monthly Cash Flow'!$S$5)+((L43-N43-'Assumptions'!$B$27-'Assumptions'!$B$28)*(1-(1+'Assumptions'!$B$43)^-('Assumptions'!$B$14/12))/'Assumptions'!$B$43)+(O43/(1+'Assumptions'!$B$43)^('Assumptions'!$B$14/12))</x:f>
        <x:v>382421.68493265216</x:v>
      </x:c>
    </x:row>
    <x:row r="44">
      <x:c r="A44" s="131" t="n">
        <x:f>37</x:f>
        <x:v>37</x:v>
      </x:c>
      <x:c r="B44" s="131" t="n">
        <x:f>MOD(ABS(SIN((A44+1)*12.9898+78.233)*43758.5453),1)</x:f>
        <x:v>0.24883270101281596</x:v>
      </x:c>
      <x:c r="C44" s="131" t="n">
        <x:f>MOD(ABS(SIN((A44+2)*12.9898+78.233)*43758.5453),1)</x:f>
        <x:v>0.2621562275198812</x:v>
      </x:c>
      <x:c r="D44" s="131" t="n">
        <x:f>MOD(ABS(SIN((A44+3)*12.9898+78.233)*43758.5453),1)</x:f>
        <x:v>0.7822295588048291</x:v>
      </x:c>
      <x:c r="E44" s="131" t="n">
        <x:f>MOD(ABS(SIN((A44+4)*12.9898+78.233)*43758.5453),1)</x:f>
        <x:v>0.8539931290652021</x:v>
      </x:c>
      <x:c r="F44" s="131" t="n">
        <x:f>MOD(ABS(SIN((A44+5)*12.9898+78.233)*43758.5453),1)</x:f>
        <x:v>0.6398349696901278</x:v>
      </x:c>
      <x:c r="G44" s="132" t="n">
        <x:f>IF(B44&lt;(('Assumptions'!$C$47-'Assumptions'!$B$47)/('Assumptions'!$D$47-'Assumptions'!$B$47)),'Assumptions'!$B$47+SQRT(B44*('Assumptions'!$D$47-'Assumptions'!$B$47)*('Assumptions'!$C$47-'Assumptions'!$B$47)),'Assumptions'!$D$47-SQRT((1-B44)*('Assumptions'!$D$47-'Assumptions'!$B$47)*('Assumptions'!$D$47-'Assumptions'!$C$47)))</x:f>
        <x:v>-0.02272138184266244</x:v>
      </x:c>
      <x:c r="H44" s="132" t="n">
        <x:f>IF(C44&lt;(('Assumptions'!$C$48-'Assumptions'!$B$48)/('Assumptions'!$D$48-'Assumptions'!$B$48)),'Assumptions'!$B$48+SQRT(C44*('Assumptions'!$D$48-'Assumptions'!$B$48)*('Assumptions'!$C$48-'Assumptions'!$B$48)),'Assumptions'!$D$48-SQRT((1-C44)*('Assumptions'!$D$48-'Assumptions'!$B$48)*('Assumptions'!$D$48-'Assumptions'!$C$48)))</x:f>
        <x:v>0.05941284669690454</x:v>
      </x:c>
      <x:c r="I44" s="132" t="n">
        <x:f>IF(D44&lt;(('Assumptions'!$C$49-'Assumptions'!$B$49)/('Assumptions'!$D$49-'Assumptions'!$B$49)),'Assumptions'!$B$49+SQRT(D44*('Assumptions'!$D$49-'Assumptions'!$B$49)*('Assumptions'!$C$49-'Assumptions'!$B$49)),'Assumptions'!$D$49-SQRT((1-D44)*('Assumptions'!$D$49-'Assumptions'!$B$49)*('Assumptions'!$D$49-'Assumptions'!$C$49)))</x:f>
        <x:v>0.08141544248290515</x:v>
      </x:c>
      <x:c r="J44" s="132" t="n">
        <x:f>IF(E44&lt;(('Assumptions'!$C$50-'Assumptions'!$B$50)/('Assumptions'!$D$50-'Assumptions'!$B$50)),'Assumptions'!$B$50+SQRT(E44*('Assumptions'!$D$50-'Assumptions'!$B$50)*('Assumptions'!$C$50-'Assumptions'!$B$50)),'Assumptions'!$D$50-SQRT((1-E44)*('Assumptions'!$D$50-'Assumptions'!$B$50)*('Assumptions'!$D$50-'Assumptions'!$C$50)))</x:f>
        <x:v>0.07359184640864376</x:v>
      </x:c>
      <x:c r="K44" s="132" t="n">
        <x:f>IF(F44&lt;(('Assumptions'!$C$51-'Assumptions'!$B$51)/('Assumptions'!$D$51-'Assumptions'!$B$51)),'Assumptions'!$B$51+SQRT(F44*('Assumptions'!$D$51-'Assumptions'!$B$51)*('Assumptions'!$C$51-'Assumptions'!$B$51)),'Assumptions'!$D$51-SQRT((1-F44)*('Assumptions'!$D$51-'Assumptions'!$B$51)*('Assumptions'!$D$51-'Assumptions'!$C$51)))</x:f>
        <x:v>0.0718345368164798</x:v>
      </x:c>
      <x:c r="L44" s="133" t="n">
        <x:f>(('Assumptions'!$B$17*(1+G44)+'Assumptions'!$B$18)*(1-H44-'Assumptions'!$B$20)-SUM('Assumptions'!$B$21:$B$25)*(1+I44))-(('Assumptions'!$B$17*(1+G44)+'Assumptions'!$B$18)*(1-H44-'Assumptions'!$B$20)*'Assumptions'!$B$26)</x:f>
        <x:v>194125.67591556616</x:v>
      </x:c>
      <x:c r="M44" s="133" t="n">
        <x:f>'Assumptions'!$B$10*'Assumptions'!$B$33</x:f>
        <x:v>1950000</x:v>
      </x:c>
      <x:c r="N44" s="133" t="n">
        <x:f>-PMT(K44/12,'Assumptions'!$B$35*12,M44)*12</x:f>
        <x:v>158574.42031441946</x:v>
      </x:c>
      <x:c r="O44" s="133" t="n">
        <x:f>(L44*(1+'Assumptions'!$B$29)^('Assumptions'!$B$14/12)/J44)*(1-'Assumptions'!$B$42)-'Debt Schedule'!$F$9</x:f>
        <x:v>2874532.7339054267</x:v>
      </x:c>
      <x:c r="P44" s="132" t="n">
        <x:f>((O44+(L44-N44-'Assumptions'!$B$27-'Assumptions'!$B$28)*('Assumptions'!$B$14/12))/ABS('Monthly Cash Flow'!$S$5))^(1/('Assumptions'!$B$14/12))-1</x:f>
        <x:v>0.1711655655065607</x:v>
      </x:c>
      <x:c r="Q44" s="133" t="n">
        <x:f>-ABS('Monthly Cash Flow'!$S$5)+((L44-N44-'Assumptions'!$B$27-'Assumptions'!$B$28)*(1-(1+'Assumptions'!$B$43)^-('Assumptions'!$B$14/12))/'Assumptions'!$B$43)+(O44/(1+'Assumptions'!$B$43)^('Assumptions'!$B$14/12))</x:f>
        <x:v>473494.42690575426</x:v>
      </x:c>
    </x:row>
    <x:row r="45">
      <x:c r="A45" s="131" t="n">
        <x:f>38</x:f>
        <x:v>38</x:v>
      </x:c>
      <x:c r="B45" s="131" t="n">
        <x:f>MOD(ABS(SIN((A45+1)*12.9898+78.233)*43758.5453),1)</x:f>
        <x:v>0.2621562275198812</x:v>
      </x:c>
      <x:c r="C45" s="131" t="n">
        <x:f>MOD(ABS(SIN((A45+2)*12.9898+78.233)*43758.5453),1)</x:f>
        <x:v>0.7822295588048291</x:v>
      </x:c>
      <x:c r="D45" s="131" t="n">
        <x:f>MOD(ABS(SIN((A45+3)*12.9898+78.233)*43758.5453),1)</x:f>
        <x:v>0.8539931290652021</x:v>
      </x:c>
      <x:c r="E45" s="131" t="n">
        <x:f>MOD(ABS(SIN((A45+4)*12.9898+78.233)*43758.5453),1)</x:f>
        <x:v>0.6398349696901278</x:v>
      </x:c>
      <x:c r="F45" s="131" t="n">
        <x:f>MOD(ABS(SIN((A45+5)*12.9898+78.233)*43758.5453),1)</x:f>
        <x:v>0.0799622470367467</x:v>
      </x:c>
      <x:c r="G45" s="132" t="n">
        <x:f>IF(B45&lt;(('Assumptions'!$C$47-'Assumptions'!$B$47)/('Assumptions'!$D$47-'Assumptions'!$B$47)),'Assumptions'!$B$47+SQRT(B45*('Assumptions'!$D$47-'Assumptions'!$B$47)*('Assumptions'!$C$47-'Assumptions'!$B$47)),'Assumptions'!$D$47-SQRT((1-B45)*('Assumptions'!$D$47-'Assumptions'!$B$47)*('Assumptions'!$D$47-'Assumptions'!$C$47)))</x:f>
        <x:v>-0.020679451209178162</x:v>
      </x:c>
      <x:c r="H45" s="132" t="n">
        <x:f>IF(C45&lt;(('Assumptions'!$C$48-'Assumptions'!$B$48)/('Assumptions'!$D$48-'Assumptions'!$B$48)),'Assumptions'!$B$48+SQRT(C45*('Assumptions'!$D$48-'Assumptions'!$B$48)*('Assumptions'!$C$48-'Assumptions'!$B$48)),'Assumptions'!$D$48-SQRT((1-C45)*('Assumptions'!$D$48-'Assumptions'!$B$48)*('Assumptions'!$D$48-'Assumptions'!$C$48)))</x:f>
        <x:v>0.09622352363977313</x:v>
      </x:c>
      <x:c r="I45" s="132" t="n">
        <x:f>IF(D45&lt;(('Assumptions'!$C$49-'Assumptions'!$B$49)/('Assumptions'!$D$49-'Assumptions'!$B$49)),'Assumptions'!$B$49+SQRT(D45*('Assumptions'!$D$49-'Assumptions'!$B$49)*('Assumptions'!$C$49-'Assumptions'!$B$49)),'Assumptions'!$D$49-SQRT((1-D45)*('Assumptions'!$D$49-'Assumptions'!$B$49)*('Assumptions'!$D$49-'Assumptions'!$C$49)))</x:f>
        <x:v>0.0938417556169031</x:v>
      </x:c>
      <x:c r="J45" s="132" t="n">
        <x:f>IF(E45&lt;(('Assumptions'!$C$50-'Assumptions'!$B$50)/('Assumptions'!$D$50-'Assumptions'!$B$50)),'Assumptions'!$B$50+SQRT(E45*('Assumptions'!$D$50-'Assumptions'!$B$50)*('Assumptions'!$C$50-'Assumptions'!$B$50)),'Assumptions'!$D$50-SQRT((1-E45)*('Assumptions'!$D$50-'Assumptions'!$B$50)*('Assumptions'!$D$50-'Assumptions'!$C$50)))</x:f>
        <x:v>0.0699353879968152</x:v>
      </x:c>
      <x:c r="K45" s="132" t="n">
        <x:f>IF(F45&lt;(('Assumptions'!$C$51-'Assumptions'!$B$51)/('Assumptions'!$D$51-'Assumptions'!$B$51)),'Assumptions'!$B$51+SQRT(F45*('Assumptions'!$D$51-'Assumptions'!$B$51)*('Assumptions'!$C$51-'Assumptions'!$B$51)),'Assumptions'!$D$51-SQRT((1-F45)*('Assumptions'!$D$51-'Assumptions'!$B$51)*('Assumptions'!$D$51-'Assumptions'!$C$51)))</x:f>
        <x:v>0.0621893088973862</x:v>
      </x:c>
      <x:c r="L45" s="133" t="n">
        <x:f>(('Assumptions'!$B$17*(1+G45)+'Assumptions'!$B$18)*(1-H45-'Assumptions'!$B$20)-SUM('Assumptions'!$B$21:$B$25)*(1+I45))-(('Assumptions'!$B$17*(1+G45)+'Assumptions'!$B$18)*(1-H45-'Assumptions'!$B$20)*'Assumptions'!$B$26)</x:f>
        <x:v>180121.88842264158</x:v>
      </x:c>
      <x:c r="M45" s="133" t="n">
        <x:f>'Assumptions'!$B$10*'Assumptions'!$B$33</x:f>
        <x:v>1950000</x:v>
      </x:c>
      <x:c r="N45" s="133" t="n">
        <x:f>-PMT(K45/12,'Assumptions'!$B$35*12,M45)*12</x:f>
        <x:v>143605.31877505535</x:v>
      </x:c>
      <x:c r="O45" s="133" t="n">
        <x:f>(L45*(1+'Assumptions'!$B$29)^('Assumptions'!$B$14/12)/J45)*(1-'Assumptions'!$B$42)-'Debt Schedule'!$F$9</x:f>
        <x:v>2806619.1231186804</x:v>
      </x:c>
      <x:c r="P45" s="132" t="n">
        <x:f>((O45+(L45-N45-'Assumptions'!$B$27-'Assumptions'!$B$28)*('Assumptions'!$B$14/12))/ABS('Monthly Cash Flow'!$S$5))^(1/('Assumptions'!$B$14/12))-1</x:f>
        <x:v>0.16593833499119803</x:v>
      </x:c>
      <x:c r="Q45" s="133" t="n">
        <x:f>-ABS('Monthly Cash Flow'!$S$5)+((L45-N45-'Assumptions'!$B$27-'Assumptions'!$B$28)*(1-(1+'Assumptions'!$B$43)^-('Assumptions'!$B$14/12))/'Assumptions'!$B$43)+(O45/(1+'Assumptions'!$B$43)^('Assumptions'!$B$14/12))</x:f>
        <x:v>434984.71755789034</x:v>
      </x:c>
    </x:row>
    <x:row r="46">
      <x:c r="A46" s="131" t="n">
        <x:f>39</x:f>
        <x:v>39</x:v>
      </x:c>
      <x:c r="B46" s="131" t="n">
        <x:f>MOD(ABS(SIN((A46+1)*12.9898+78.233)*43758.5453),1)</x:f>
        <x:v>0.7822295588048291</x:v>
      </x:c>
      <x:c r="C46" s="131" t="n">
        <x:f>MOD(ABS(SIN((A46+2)*12.9898+78.233)*43758.5453),1)</x:f>
        <x:v>0.8539931290652021</x:v>
      </x:c>
      <x:c r="D46" s="131" t="n">
        <x:f>MOD(ABS(SIN((A46+3)*12.9898+78.233)*43758.5453),1)</x:f>
        <x:v>0.6398349696901278</x:v>
      </x:c>
      <x:c r="E46" s="131" t="n">
        <x:f>MOD(ABS(SIN((A46+4)*12.9898+78.233)*43758.5453),1)</x:f>
        <x:v>0.0799622470367467</x:v>
      </x:c>
      <x:c r="F46" s="131" t="n">
        <x:f>MOD(ABS(SIN((A46+5)*12.9898+78.233)*43758.5453),1)</x:f>
        <x:v>0.4980347344026086</x:v>
      </x:c>
      <x:c r="G46" s="132" t="n">
        <x:f>IF(B46&lt;(('Assumptions'!$C$47-'Assumptions'!$B$47)/('Assumptions'!$D$47-'Assumptions'!$B$47)),'Assumptions'!$B$47+SQRT(B46*('Assumptions'!$D$47-'Assumptions'!$B$47)*('Assumptions'!$C$47-'Assumptions'!$B$47)),'Assumptions'!$D$47-SQRT((1-B46)*('Assumptions'!$D$47-'Assumptions'!$B$47)*('Assumptions'!$D$47-'Assumptions'!$C$47)))</x:f>
        <x:v>0.04097181131761933</x:v>
      </x:c>
      <x:c r="H46" s="132" t="n">
        <x:f>IF(C46&lt;(('Assumptions'!$C$48-'Assumptions'!$B$48)/('Assumptions'!$D$48-'Assumptions'!$B$48)),'Assumptions'!$B$48+SQRT(C46*('Assumptions'!$D$48-'Assumptions'!$B$48)*('Assumptions'!$C$48-'Assumptions'!$B$48)),'Assumptions'!$D$48-SQRT((1-C46)*('Assumptions'!$D$48-'Assumptions'!$B$48)*('Assumptions'!$D$48-'Assumptions'!$C$48)))</x:f>
        <x:v>0.10415504966907863</x:v>
      </x:c>
      <x:c r="I46" s="132" t="n">
        <x:f>IF(D46&lt;(('Assumptions'!$C$49-'Assumptions'!$B$49)/('Assumptions'!$D$49-'Assumptions'!$B$49)),'Assumptions'!$B$49+SQRT(D46*('Assumptions'!$D$49-'Assumptions'!$B$49)*('Assumptions'!$C$49-'Assumptions'!$B$49)),'Assumptions'!$D$49-SQRT((1-D46)*('Assumptions'!$D$49-'Assumptions'!$B$49)*('Assumptions'!$D$49-'Assumptions'!$C$49)))</x:f>
        <x:v>0.06179815957309484</x:v>
      </x:c>
      <x:c r="J46" s="132" t="n">
        <x:f>IF(E46&lt;(('Assumptions'!$C$50-'Assumptions'!$B$50)/('Assumptions'!$D$50-'Assumptions'!$B$50)),'Assumptions'!$B$50+SQRT(E46*('Assumptions'!$D$50-'Assumptions'!$B$50)*('Assumptions'!$C$50-'Assumptions'!$B$50)),'Assumptions'!$D$50-SQRT((1-E46)*('Assumptions'!$D$50-'Assumptions'!$B$50)*('Assumptions'!$D$50-'Assumptions'!$C$50)))</x:f>
        <x:v>0.06174163949237415</x:v>
      </x:c>
      <x:c r="K46" s="132" t="n">
        <x:f>IF(F46&lt;(('Assumptions'!$C$51-'Assumptions'!$B$51)/('Assumptions'!$D$51-'Assumptions'!$B$51)),'Assumptions'!$B$51+SQRT(F46*('Assumptions'!$D$51-'Assumptions'!$B$51)*('Assumptions'!$C$51-'Assumptions'!$B$51)),'Assumptions'!$D$51-SQRT((1-F46)*('Assumptions'!$D$51-'Assumptions'!$B$51)*('Assumptions'!$D$51-'Assumptions'!$C$51)))</x:f>
        <x:v>0.06945745245885526</x:v>
      </x:c>
      <x:c r="L46" s="133" t="n">
        <x:f>(('Assumptions'!$B$17*(1+G46)+'Assumptions'!$B$18)*(1-H46-'Assumptions'!$B$20)-SUM('Assumptions'!$B$21:$B$25)*(1+I46))-(('Assumptions'!$B$17*(1+G46)+'Assumptions'!$B$18)*(1-H46-'Assumptions'!$B$20)*'Assumptions'!$B$26)</x:f>
        <x:v>200212.28616893222</x:v>
      </x:c>
      <x:c r="M46" s="133" t="n">
        <x:f>'Assumptions'!$B$10*'Assumptions'!$B$33</x:f>
        <x:v>1950000</x:v>
      </x:c>
      <x:c r="N46" s="133" t="n">
        <x:f>-PMT(K46/12,'Assumptions'!$B$35*12,M46)*12</x:f>
        <x:v>154829.08617906383</x:v>
      </x:c>
      <x:c r="O46" s="133" t="n">
        <x:f>(L46*(1+'Assumptions'!$B$29)^('Assumptions'!$B$14/12)/J46)*(1-'Assumptions'!$B$42)-'Debt Schedule'!$F$9</x:f>
        <x:v>3533674.5143640754</x:v>
      </x:c>
      <x:c r="P46" s="132" t="n">
        <x:f>((O46+(L46-N46-'Assumptions'!$B$27-'Assumptions'!$B$28)*('Assumptions'!$B$14/12))/ABS('Monthly Cash Flow'!$S$5))^(1/('Assumptions'!$B$14/12))-1</x:f>
        <x:v>0.22428913443891307</x:v>
      </x:c>
      <x:c r="Q46" s="133" t="n">
        <x:f>-ABS('Monthly Cash Flow'!$S$5)+((L46-N46-'Assumptions'!$B$27-'Assumptions'!$B$28)*(1-(1+'Assumptions'!$B$43)^-('Assumptions'!$B$14/12))/'Assumptions'!$B$43)+(O46/(1+'Assumptions'!$B$43)^('Assumptions'!$B$14/12))</x:f>
        <x:v>920040.4180180312</x:v>
      </x:c>
    </x:row>
    <x:row r="47">
      <x:c r="A47" s="131" t="n">
        <x:f>40</x:f>
        <x:v>40</x:v>
      </x:c>
      <x:c r="B47" s="131" t="n">
        <x:f>MOD(ABS(SIN((A47+1)*12.9898+78.233)*43758.5453),1)</x:f>
        <x:v>0.8539931290652021</x:v>
      </x:c>
      <x:c r="C47" s="131" t="n">
        <x:f>MOD(ABS(SIN((A47+2)*12.9898+78.233)*43758.5453),1)</x:f>
        <x:v>0.6398349696901278</x:v>
      </x:c>
      <x:c r="D47" s="131" t="n">
        <x:f>MOD(ABS(SIN((A47+3)*12.9898+78.233)*43758.5453),1)</x:f>
        <x:v>0.0799622470367467</x:v>
      </x:c>
      <x:c r="E47" s="131" t="n">
        <x:f>MOD(ABS(SIN((A47+4)*12.9898+78.233)*43758.5453),1)</x:f>
        <x:v>0.4980347344026086</x:v>
      </x:c>
      <x:c r="F47" s="131" t="n">
        <x:f>MOD(ABS(SIN((A47+5)*12.9898+78.233)*43758.5453),1)</x:f>
        <x:v>0.8086803083187988</x:v>
      </x:c>
      <x:c r="G47" s="132" t="n">
        <x:f>IF(B47&lt;(('Assumptions'!$C$47-'Assumptions'!$B$47)/('Assumptions'!$D$47-'Assumptions'!$B$47)),'Assumptions'!$B$47+SQRT(B47*('Assumptions'!$D$47-'Assumptions'!$B$47)*('Assumptions'!$C$47-'Assumptions'!$B$47)),'Assumptions'!$D$47-SQRT((1-B47)*('Assumptions'!$D$47-'Assumptions'!$B$47)*('Assumptions'!$D$47-'Assumptions'!$C$47)))</x:f>
        <x:v>0.05166667883378211</x:v>
      </x:c>
      <x:c r="H47" s="132" t="n">
        <x:f>IF(C47&lt;(('Assumptions'!$C$48-'Assumptions'!$B$48)/('Assumptions'!$D$48-'Assumptions'!$B$48)),'Assumptions'!$B$48+SQRT(C47*('Assumptions'!$D$48-'Assumptions'!$B$48)*('Assumptions'!$C$48-'Assumptions'!$B$48)),'Assumptions'!$D$48-SQRT((1-C47)*('Assumptions'!$D$48-'Assumptions'!$B$48)*('Assumptions'!$D$48-'Assumptions'!$C$48)))</x:f>
        <x:v>0.08370211134752142</x:v>
      </x:c>
      <x:c r="I47" s="132" t="n">
        <x:f>IF(D47&lt;(('Assumptions'!$C$49-'Assumptions'!$B$49)/('Assumptions'!$D$49-'Assumptions'!$B$49)),'Assumptions'!$B$49+SQRT(D47*('Assumptions'!$D$49-'Assumptions'!$B$49)*('Assumptions'!$C$49-'Assumptions'!$B$49)),'Assumptions'!$D$49-SQRT((1-D47)*('Assumptions'!$D$49-'Assumptions'!$B$49)*('Assumptions'!$D$49-'Assumptions'!$C$49)))</x:f>
        <x:v>-0.0006130595672692654</x:v>
      </x:c>
      <x:c r="J47" s="132" t="n">
        <x:f>IF(E47&lt;(('Assumptions'!$C$50-'Assumptions'!$B$50)/('Assumptions'!$D$50-'Assumptions'!$B$50)),'Assumptions'!$B$50+SQRT(E47*('Assumptions'!$D$50-'Assumptions'!$B$50)*('Assumptions'!$C$50-'Assumptions'!$B$50)),'Assumptions'!$D$50-SQRT((1-E47)*('Assumptions'!$D$50-'Assumptions'!$B$50)*('Assumptions'!$D$50-'Assumptions'!$C$50)))</x:f>
        <x:v>0.0681181764468047</x:v>
      </x:c>
      <x:c r="K47" s="132" t="n">
        <x:f>IF(F47&lt;(('Assumptions'!$C$51-'Assumptions'!$B$51)/('Assumptions'!$D$51-'Assumptions'!$B$51)),'Assumptions'!$B$51+SQRT(F47*('Assumptions'!$D$51-'Assumptions'!$B$51)*('Assumptions'!$C$51-'Assumptions'!$B$51)),'Assumptions'!$D$51-SQRT((1-F47)*('Assumptions'!$D$51-'Assumptions'!$B$51)*('Assumptions'!$D$51-'Assumptions'!$C$51)))</x:f>
        <x:v>0.07540455307859097</x:v>
      </x:c>
      <x:c r="L47" s="133" t="n">
        <x:f>(('Assumptions'!$B$17*(1+G47)+'Assumptions'!$B$18)*(1-H47-'Assumptions'!$B$20)-SUM('Assumptions'!$B$21:$B$25)*(1+I47))-(('Assumptions'!$B$17*(1+G47)+'Assumptions'!$B$18)*(1-H47-'Assumptions'!$B$20)*'Assumptions'!$B$26)</x:f>
        <x:v>219137.48225040792</x:v>
      </x:c>
      <x:c r="M47" s="133" t="n">
        <x:f>'Assumptions'!$B$10*'Assumptions'!$B$33</x:f>
        <x:v>1950000</x:v>
      </x:c>
      <x:c r="N47" s="133" t="n">
        <x:f>-PMT(K47/12,'Assumptions'!$B$35*12,M47)*12</x:f>
        <x:v>164264.90639574005</x:v>
      </x:c>
      <x:c r="O47" s="133" t="n">
        <x:f>(L47*(1+'Assumptions'!$B$29)^('Assumptions'!$B$14/12)/J47)*(1-'Assumptions'!$B$42)-'Debt Schedule'!$F$9</x:f>
        <x:v>3505642.5498110848</x:v>
      </x:c>
      <x:c r="P47" s="132" t="n">
        <x:f>((O47+(L47-N47-'Assumptions'!$B$27-'Assumptions'!$B$28)*('Assumptions'!$B$14/12))/ABS('Monthly Cash Flow'!$S$5))^(1/('Assumptions'!$B$14/12))-1</x:f>
        <x:v>0.22562137383781988</x:v>
      </x:c>
      <x:c r="Q47" s="133" t="n">
        <x:f>-ABS('Monthly Cash Flow'!$S$5)+((L47-N47-'Assumptions'!$B$27-'Assumptions'!$B$28)*(1-(1+'Assumptions'!$B$43)^-('Assumptions'!$B$14/12))/'Assumptions'!$B$43)+(O47/(1+'Assumptions'!$B$43)^('Assumptions'!$B$14/12))</x:f>
        <x:v>938606.973978067</x:v>
      </x:c>
    </x:row>
    <x:row r="48">
      <x:c r="A48" s="131" t="n">
        <x:f>41</x:f>
        <x:v>41</x:v>
      </x:c>
      <x:c r="B48" s="131" t="n">
        <x:f>MOD(ABS(SIN((A48+1)*12.9898+78.233)*43758.5453),1)</x:f>
        <x:v>0.6398349696901278</x:v>
      </x:c>
      <x:c r="C48" s="131" t="n">
        <x:f>MOD(ABS(SIN((A48+2)*12.9898+78.233)*43758.5453),1)</x:f>
        <x:v>0.0799622470367467</x:v>
      </x:c>
      <x:c r="D48" s="131" t="n">
        <x:f>MOD(ABS(SIN((A48+3)*12.9898+78.233)*43758.5453),1)</x:f>
        <x:v>0.4980347344026086</x:v>
      </x:c>
      <x:c r="E48" s="131" t="n">
        <x:f>MOD(ABS(SIN((A48+4)*12.9898+78.233)*43758.5453),1)</x:f>
        <x:v>0.8086803083187988</x:v>
      </x:c>
      <x:c r="F48" s="131" t="n">
        <x:f>MOD(ABS(SIN((A48+5)*12.9898+78.233)*43758.5453),1)</x:f>
        <x:v>0.2615852308608737</x:v>
      </x:c>
      <x:c r="G48" s="132" t="n">
        <x:f>IF(B48&lt;(('Assumptions'!$C$47-'Assumptions'!$B$47)/('Assumptions'!$D$47-'Assumptions'!$B$47)),'Assumptions'!$B$47+SQRT(B48*('Assumptions'!$D$47-'Assumptions'!$B$47)*('Assumptions'!$C$47-'Assumptions'!$B$47)),'Assumptions'!$D$47-SQRT((1-B48)*('Assumptions'!$D$47-'Assumptions'!$B$47)*('Assumptions'!$D$47-'Assumptions'!$C$47)))</x:f>
        <x:v>0.024087942427056058</x:v>
      </x:c>
      <x:c r="H48" s="132" t="n">
        <x:f>IF(C48&lt;(('Assumptions'!$C$48-'Assumptions'!$B$48)/('Assumptions'!$D$48-'Assumptions'!$B$48)),'Assumptions'!$B$48+SQRT(C48*('Assumptions'!$D$48-'Assumptions'!$B$48)*('Assumptions'!$C$48-'Assumptions'!$B$48)),'Assumptions'!$D$48-SQRT((1-C48)*('Assumptions'!$D$48-'Assumptions'!$B$48)*('Assumptions'!$D$48-'Assumptions'!$C$48)))</x:f>
        <x:v>0.046244242525315365</x:v>
      </x:c>
      <x:c r="I48" s="132" t="n">
        <x:f>IF(D48&lt;(('Assumptions'!$C$49-'Assumptions'!$B$49)/('Assumptions'!$D$49-'Assumptions'!$B$49)),'Assumptions'!$B$49+SQRT(D48*('Assumptions'!$D$49-'Assumptions'!$B$49)*('Assumptions'!$C$49-'Assumptions'!$B$49)),'Assumptions'!$D$49-SQRT((1-D48)*('Assumptions'!$D$49-'Assumptions'!$B$49)*('Assumptions'!$D$49-'Assumptions'!$C$49)))</x:f>
        <x:v>0.04587291544990009</x:v>
      </x:c>
      <x:c r="J48" s="132" t="n">
        <x:f>IF(E48&lt;(('Assumptions'!$C$50-'Assumptions'!$B$50)/('Assumptions'!$D$50-'Assumptions'!$B$50)),'Assumptions'!$B$50+SQRT(E48*('Assumptions'!$D$50-'Assumptions'!$B$50)*('Assumptions'!$C$50-'Assumptions'!$B$50)),'Assumptions'!$D$50-SQRT((1-E48)*('Assumptions'!$D$50-'Assumptions'!$B$50)*('Assumptions'!$D$50-'Assumptions'!$C$50)))</x:f>
        <x:v>0.07266456113887261</x:v>
      </x:c>
      <x:c r="K48" s="132" t="n">
        <x:f>IF(F48&lt;(('Assumptions'!$C$51-'Assumptions'!$B$51)/('Assumptions'!$D$51-'Assumptions'!$B$51)),'Assumptions'!$B$51+SQRT(F48*('Assumptions'!$D$51-'Assumptions'!$B$51)*('Assumptions'!$C$51-'Assumptions'!$B$51)),'Assumptions'!$D$51-SQRT((1-F48)*('Assumptions'!$D$51-'Assumptions'!$B$51)*('Assumptions'!$D$51-'Assumptions'!$C$51)))</x:f>
        <x:v>0.06598150567333066</x:v>
      </x:c>
      <x:c r="L48" s="133" t="n">
        <x:f>(('Assumptions'!$B$17*(1+G48)+'Assumptions'!$B$18)*(1-H48-'Assumptions'!$B$20)-SUM('Assumptions'!$B$21:$B$25)*(1+I48))-(('Assumptions'!$B$17*(1+G48)+'Assumptions'!$B$18)*(1-H48-'Assumptions'!$B$20)*'Assumptions'!$B$26)</x:f>
        <x:v>218546.67315751917</x:v>
      </x:c>
      <x:c r="M48" s="133" t="n">
        <x:f>'Assumptions'!$B$10*'Assumptions'!$B$33</x:f>
        <x:v>1950000</x:v>
      </x:c>
      <x:c r="N48" s="133" t="n">
        <x:f>-PMT(K48/12,'Assumptions'!$B$35*12,M48)*12</x:f>
        <x:v>149417.5801475913</x:v>
      </x:c>
      <x:c r="O48" s="133" t="n">
        <x:f>(L48*(1+'Assumptions'!$B$29)^('Assumptions'!$B$14/12)/J48)*(1-'Assumptions'!$B$42)-'Debt Schedule'!$F$9</x:f>
        <x:v>3277445.827105713</x:v>
      </x:c>
      <x:c r="P48" s="132" t="n">
        <x:f>((O48+(L48-N48-'Assumptions'!$B$27-'Assumptions'!$B$28)*('Assumptions'!$B$14/12))/ABS('Monthly Cash Flow'!$S$5))^(1/('Assumptions'!$B$14/12))-1</x:f>
        <x:v>0.21468392855158758</x:v>
      </x:c>
      <x:c r="Q48" s="133" t="n">
        <x:f>-ABS('Monthly Cash Flow'!$S$5)+((L48-N48-'Assumptions'!$B$27-'Assumptions'!$B$28)*(1-(1+'Assumptions'!$B$43)^-('Assumptions'!$B$14/12))/'Assumptions'!$B$43)+(O48/(1+'Assumptions'!$B$43)^('Assumptions'!$B$14/12))</x:f>
        <x:v>850958.1796080887</x:v>
      </x:c>
    </x:row>
    <x:row r="49">
      <x:c r="A49" s="131" t="n">
        <x:f>42</x:f>
        <x:v>42</x:v>
      </x:c>
      <x:c r="B49" s="131" t="n">
        <x:f>MOD(ABS(SIN((A49+1)*12.9898+78.233)*43758.5453),1)</x:f>
        <x:v>0.0799622470367467</x:v>
      </x:c>
      <x:c r="C49" s="131" t="n">
        <x:f>MOD(ABS(SIN((A49+2)*12.9898+78.233)*43758.5453),1)</x:f>
        <x:v>0.4980347344026086</x:v>
      </x:c>
      <x:c r="D49" s="131" t="n">
        <x:f>MOD(ABS(SIN((A49+3)*12.9898+78.233)*43758.5453),1)</x:f>
        <x:v>0.8086803083187988</x:v>
      </x:c>
      <x:c r="E49" s="131" t="n">
        <x:f>MOD(ABS(SIN((A49+4)*12.9898+78.233)*43758.5453),1)</x:f>
        <x:v>0.2615852308608737</x:v>
      </x:c>
      <x:c r="F49" s="131" t="n">
        <x:f>MOD(ABS(SIN((A49+5)*12.9898+78.233)*43758.5453),1)</x:f>
        <x:v>0.911480087768723</x:v>
      </x:c>
      <x:c r="G49" s="132" t="n">
        <x:f>IF(B49&lt;(('Assumptions'!$C$47-'Assumptions'!$B$47)/('Assumptions'!$D$47-'Assumptions'!$B$47)),'Assumptions'!$B$47+SQRT(B49*('Assumptions'!$D$47-'Assumptions'!$B$47)*('Assumptions'!$C$47-'Assumptions'!$B$47)),'Assumptions'!$D$47-SQRT((1-B49)*('Assumptions'!$D$47-'Assumptions'!$B$47)*('Assumptions'!$D$47-'Assumptions'!$C$47)))</x:f>
        <x:v>-0.05619253569445133</x:v>
      </x:c>
      <x:c r="H49" s="132" t="n">
        <x:f>IF(C49&lt;(('Assumptions'!$C$48-'Assumptions'!$B$48)/('Assumptions'!$D$48-'Assumptions'!$B$48)),'Assumptions'!$B$48+SQRT(C49*('Assumptions'!$D$48-'Assumptions'!$B$48)*('Assumptions'!$C$48-'Assumptions'!$B$48)),'Assumptions'!$D$48-SQRT((1-C49)*('Assumptions'!$D$48-'Assumptions'!$B$48)*('Assumptions'!$D$48-'Assumptions'!$C$48)))</x:f>
        <x:v>0.07353727106673212</x:v>
      </x:c>
      <x:c r="I49" s="132" t="n">
        <x:f>IF(D49&lt;(('Assumptions'!$C$49-'Assumptions'!$B$49)/('Assumptions'!$D$49-'Assumptions'!$B$49)),'Assumptions'!$B$49+SQRT(D49*('Assumptions'!$D$49-'Assumptions'!$B$49)*('Assumptions'!$C$49-'Assumptions'!$B$49)),'Assumptions'!$D$49-SQRT((1-D49)*('Assumptions'!$D$49-'Assumptions'!$B$49)*('Assumptions'!$D$49-'Assumptions'!$C$49)))</x:f>
        <x:v>0.08571543466496839</x:v>
      </x:c>
      <x:c r="J49" s="132" t="n">
        <x:f>IF(E49&lt;(('Assumptions'!$C$50-'Assumptions'!$B$50)/('Assumptions'!$D$50-'Assumptions'!$B$50)),'Assumptions'!$B$50+SQRT(E49*('Assumptions'!$D$50-'Assumptions'!$B$50)*('Assumptions'!$C$50-'Assumptions'!$B$50)),'Assumptions'!$D$50-SQRT((1-E49)*('Assumptions'!$D$50-'Assumptions'!$B$50)*('Assumptions'!$D$50-'Assumptions'!$C$50)))</x:f>
        <x:v>0.06517181053882959</x:v>
      </x:c>
      <x:c r="K49" s="132" t="n">
        <x:f>IF(F49&lt;(('Assumptions'!$C$51-'Assumptions'!$B$51)/('Assumptions'!$D$51-'Assumptions'!$B$51)),'Assumptions'!$B$51+SQRT(F49*('Assumptions'!$D$51-'Assumptions'!$B$51)*('Assumptions'!$C$51-'Assumptions'!$B$51)),'Assumptions'!$D$51-SQRT((1-F49)*('Assumptions'!$D$51-'Assumptions'!$B$51)*('Assumptions'!$D$51-'Assumptions'!$C$51)))</x:f>
        <x:v>0.07847311653533617</x:v>
      </x:c>
      <x:c r="L49" s="133" t="n">
        <x:f>(('Assumptions'!$B$17*(1+G49)+'Assumptions'!$B$18)*(1-H49-'Assumptions'!$B$20)-SUM('Assumptions'!$B$21:$B$25)*(1+I49))-(('Assumptions'!$B$17*(1+G49)+'Assumptions'!$B$18)*(1-H49-'Assumptions'!$B$20)*'Assumptions'!$B$26)</x:f>
        <x:v>177968.01549891842</x:v>
      </x:c>
      <x:c r="M49" s="133" t="n">
        <x:f>'Assumptions'!$B$10*'Assumptions'!$B$33</x:f>
        <x:v>1950000</x:v>
      </x:c>
      <x:c r="N49" s="133" t="n">
        <x:f>-PMT(K49/12,'Assumptions'!$B$35*12,M49)*12</x:f>
        <x:v>169216.74307509122</x:v>
      </x:c>
      <x:c r="O49" s="133" t="n">
        <x:f>(L49*(1+'Assumptions'!$B$29)^('Assumptions'!$B$14/12)/J49)*(1-'Assumptions'!$B$42)-'Debt Schedule'!$F$9</x:f>
        <x:v>2975747.9872623556</x:v>
      </x:c>
      <x:c r="P49" s="132" t="n">
        <x:f>((O49+(L49-N49-'Assumptions'!$B$27-'Assumptions'!$B$28)*('Assumptions'!$B$14/12))/ABS('Monthly Cash Flow'!$S$5))^(1/('Assumptions'!$B$14/12))-1</x:f>
        <x:v>0.16846078852706348</x:v>
      </x:c>
      <x:c r="Q49" s="133" t="n">
        <x:f>-ABS('Monthly Cash Flow'!$S$5)+((L49-N49-'Assumptions'!$B$27-'Assumptions'!$B$28)*(1-(1+'Assumptions'!$B$43)^-('Assumptions'!$B$14/12))/'Assumptions'!$B$43)+(O49/(1+'Assumptions'!$B$43)^('Assumptions'!$B$14/12))</x:f>
        <x:v>434748.11428495427</x:v>
      </x:c>
    </x:row>
    <x:row r="50">
      <x:c r="A50" s="131" t="n">
        <x:f>43</x:f>
        <x:v>43</x:v>
      </x:c>
      <x:c r="B50" s="131" t="n">
        <x:f>MOD(ABS(SIN((A50+1)*12.9898+78.233)*43758.5453),1)</x:f>
        <x:v>0.4980347344026086</x:v>
      </x:c>
      <x:c r="C50" s="131" t="n">
        <x:f>MOD(ABS(SIN((A50+2)*12.9898+78.233)*43758.5453),1)</x:f>
        <x:v>0.8086803083187988</x:v>
      </x:c>
      <x:c r="D50" s="131" t="n">
        <x:f>MOD(ABS(SIN((A50+3)*12.9898+78.233)*43758.5453),1)</x:f>
        <x:v>0.2615852308608737</x:v>
      </x:c>
      <x:c r="E50" s="131" t="n">
        <x:f>MOD(ABS(SIN((A50+4)*12.9898+78.233)*43758.5453),1)</x:f>
        <x:v>0.911480087768723</x:v>
      </x:c>
      <x:c r="F50" s="131" t="n">
        <x:f>MOD(ABS(SIN((A50+5)*12.9898+78.233)*43758.5453),1)</x:f>
        <x:v>0.5667969402347808</x:v>
      </x:c>
      <x:c r="G50" s="132" t="n">
        <x:f>IF(B50&lt;(('Assumptions'!$C$47-'Assumptions'!$B$47)/('Assumptions'!$D$47-'Assumptions'!$B$47)),'Assumptions'!$B$47+SQRT(B50*('Assumptions'!$D$47-'Assumptions'!$B$47)*('Assumptions'!$C$47-'Assumptions'!$B$47)),'Assumptions'!$D$47-SQRT((1-B50)*('Assumptions'!$D$47-'Assumptions'!$B$47)*('Assumptions'!$D$47-'Assumptions'!$C$47)))</x:f>
        <x:v>0.009329015479252384</x:v>
      </x:c>
      <x:c r="H50" s="132" t="n">
        <x:f>IF(C50&lt;(('Assumptions'!$C$48-'Assumptions'!$B$48)/('Assumptions'!$D$48-'Assumptions'!$B$48)),'Assumptions'!$B$48+SQRT(C50*('Assumptions'!$D$48-'Assumptions'!$B$48)*('Assumptions'!$C$48-'Assumptions'!$B$48)),'Assumptions'!$D$48-SQRT((1-C50)*('Assumptions'!$D$48-'Assumptions'!$B$48)*('Assumptions'!$D$48-'Assumptions'!$C$48)))</x:f>
        <x:v>0.09896814302527157</x:v>
      </x:c>
      <x:c r="I50" s="132" t="n">
        <x:f>IF(D50&lt;(('Assumptions'!$C$49-'Assumptions'!$B$49)/('Assumptions'!$D$49-'Assumptions'!$B$49)),'Assumptions'!$B$49+SQRT(D50*('Assumptions'!$D$49-'Assumptions'!$B$49)*('Assumptions'!$C$49-'Assumptions'!$B$49)),'Assumptions'!$D$49-SQRT((1-D50)*('Assumptions'!$D$49-'Assumptions'!$B$49)*('Assumptions'!$D$49-'Assumptions'!$C$49)))</x:f>
        <x:v>0.023151862557180776</x:v>
      </x:c>
      <x:c r="J50" s="132" t="n">
        <x:f>IF(E50&lt;(('Assumptions'!$C$50-'Assumptions'!$B$50)/('Assumptions'!$D$50-'Assumptions'!$B$50)),'Assumptions'!$B$50+SQRT(E50*('Assumptions'!$D$50-'Assumptions'!$B$50)*('Assumptions'!$C$50-'Assumptions'!$B$50)),'Assumptions'!$D$50-SQRT((1-E50)*('Assumptions'!$D$50-'Assumptions'!$B$50)*('Assumptions'!$D$50-'Assumptions'!$C$50)))</x:f>
        <x:v>0.07501038826009011</x:v>
      </x:c>
      <x:c r="K50" s="132" t="n">
        <x:f>IF(F50&lt;(('Assumptions'!$C$51-'Assumptions'!$B$51)/('Assumptions'!$D$51-'Assumptions'!$B$51)),'Assumptions'!$B$51+SQRT(F50*('Assumptions'!$D$51-'Assumptions'!$B$51)*('Assumptions'!$C$51-'Assumptions'!$B$51)),'Assumptions'!$D$51-SQRT((1-F50)*('Assumptions'!$D$51-'Assumptions'!$B$51)*('Assumptions'!$D$51-'Assumptions'!$C$51)))</x:f>
        <x:v>0.0705611990625256</x:v>
      </x:c>
      <x:c r="L50" s="133" t="n">
        <x:f>(('Assumptions'!$B$17*(1+G50)+'Assumptions'!$B$18)*(1-H50-'Assumptions'!$B$20)-SUM('Assumptions'!$B$21:$B$25)*(1+I50))-(('Assumptions'!$B$17*(1+G50)+'Assumptions'!$B$18)*(1-H50-'Assumptions'!$B$20)*'Assumptions'!$B$26)</x:f>
        <x:v>197293.28829202382</x:v>
      </x:c>
      <x:c r="M50" s="133" t="n">
        <x:f>'Assumptions'!$B$10*'Assumptions'!$B$33</x:f>
        <x:v>1950000</x:v>
      </x:c>
      <x:c r="N50" s="133" t="n">
        <x:f>-PMT(K50/12,'Assumptions'!$B$35*12,M50)*12</x:f>
        <x:v>156563.72493972722</x:v>
      </x:c>
      <x:c r="O50" s="133" t="n">
        <x:f>(L50*(1+'Assumptions'!$B$29)^('Assumptions'!$B$14/12)/J50)*(1-'Assumptions'!$B$42)-'Debt Schedule'!$F$9</x:f>
        <x:v>2866189.33041449</x:v>
      </x:c>
      <x:c r="P50" s="132" t="n">
        <x:f>((O50+(L50-N50-'Assumptions'!$B$27-'Assumptions'!$B$28)*('Assumptions'!$B$14/12))/ABS('Monthly Cash Flow'!$S$5))^(1/('Assumptions'!$B$14/12))-1</x:f>
        <x:v>0.17260310436129034</x:v>
      </x:c>
      <x:c r="Q50" s="133" t="n">
        <x:f>-ABS('Monthly Cash Flow'!$S$5)+((L50-N50-'Assumptions'!$B$27-'Assumptions'!$B$28)*(1-(1+'Assumptions'!$B$43)^-('Assumptions'!$B$14/12))/'Assumptions'!$B$43)+(O50/(1+'Assumptions'!$B$43)^('Assumptions'!$B$14/12))</x:f>
        <x:v>487943.6902823297</x:v>
      </x:c>
    </x:row>
    <x:row r="51">
      <x:c r="A51" s="131" t="n">
        <x:f>44</x:f>
        <x:v>44</x:v>
      </x:c>
      <x:c r="B51" s="131" t="n">
        <x:f>MOD(ABS(SIN((A51+1)*12.9898+78.233)*43758.5453),1)</x:f>
        <x:v>0.8086803083187988</x:v>
      </x:c>
      <x:c r="C51" s="131" t="n">
        <x:f>MOD(ABS(SIN((A51+2)*12.9898+78.233)*43758.5453),1)</x:f>
        <x:v>0.2615852308608737</x:v>
      </x:c>
      <x:c r="D51" s="131" t="n">
        <x:f>MOD(ABS(SIN((A51+3)*12.9898+78.233)*43758.5453),1)</x:f>
        <x:v>0.911480087768723</x:v>
      </x:c>
      <x:c r="E51" s="131" t="n">
        <x:f>MOD(ABS(SIN((A51+4)*12.9898+78.233)*43758.5453),1)</x:f>
        <x:v>0.5667969402347808</x:v>
      </x:c>
      <x:c r="F51" s="131" t="n">
        <x:f>MOD(ABS(SIN((A51+5)*12.9898+78.233)*43758.5453),1)</x:f>
        <x:v>0.01478295407287078</x:v>
      </x:c>
      <x:c r="G51" s="132" t="n">
        <x:f>IF(B51&lt;(('Assumptions'!$C$47-'Assumptions'!$B$47)/('Assumptions'!$D$47-'Assumptions'!$B$47)),'Assumptions'!$B$47+SQRT(B51*('Assumptions'!$D$47-'Assumptions'!$B$47)*('Assumptions'!$C$47-'Assumptions'!$B$47)),'Assumptions'!$D$47-SQRT((1-B51)*('Assumptions'!$D$47-'Assumptions'!$B$47)*('Assumptions'!$D$47-'Assumptions'!$C$47)))</x:f>
        <x:v>0.044672655342053336</x:v>
      </x:c>
      <x:c r="H51" s="132" t="n">
        <x:f>IF(C51&lt;(('Assumptions'!$C$48-'Assumptions'!$B$48)/('Assumptions'!$D$48-'Assumptions'!$B$48)),'Assumptions'!$B$48+SQRT(C51*('Assumptions'!$D$48-'Assumptions'!$B$48)*('Assumptions'!$C$48-'Assumptions'!$B$48)),'Assumptions'!$D$48-SQRT((1-C51)*('Assumptions'!$D$48-'Assumptions'!$B$48)*('Assumptions'!$D$48-'Assumptions'!$C$48)))</x:f>
        <x:v>0.059380797501784786</x:v>
      </x:c>
      <x:c r="I51" s="132" t="n">
        <x:f>IF(D51&lt;(('Assumptions'!$C$49-'Assumptions'!$B$49)/('Assumptions'!$D$49-'Assumptions'!$B$49)),'Assumptions'!$B$49+SQRT(D51*('Assumptions'!$D$49-'Assumptions'!$B$49)*('Assumptions'!$C$49-'Assumptions'!$B$49)),'Assumptions'!$D$49-SQRT((1-D51)*('Assumptions'!$D$49-'Assumptions'!$B$49)*('Assumptions'!$D$49-'Assumptions'!$C$49)))</x:f>
        <x:v>0.10627323354974</x:v>
      </x:c>
      <x:c r="J51" s="132" t="n">
        <x:f>IF(E51&lt;(('Assumptions'!$C$50-'Assumptions'!$B$50)/('Assumptions'!$D$50-'Assumptions'!$B$50)),'Assumptions'!$B$50+SQRT(E51*('Assumptions'!$D$50-'Assumptions'!$B$50)*('Assumptions'!$C$50-'Assumptions'!$B$50)),'Assumptions'!$D$50-SQRT((1-E51)*('Assumptions'!$D$50-'Assumptions'!$B$50)*('Assumptions'!$D$50-'Assumptions'!$C$50)))</x:f>
        <x:v>0.06896195848173382</x:v>
      </x:c>
      <x:c r="K51" s="132" t="n">
        <x:f>IF(F51&lt;(('Assumptions'!$C$51-'Assumptions'!$B$51)/('Assumptions'!$D$51-'Assumptions'!$B$51)),'Assumptions'!$B$51+SQRT(F51*('Assumptions'!$D$51-'Assumptions'!$B$51)*('Assumptions'!$C$51-'Assumptions'!$B$51)),'Assumptions'!$D$51-SQRT((1-F51)*('Assumptions'!$D$51-'Assumptions'!$B$51)*('Assumptions'!$D$51-'Assumptions'!$C$51)))</x:f>
        <x:v>0.05951626197951543</x:v>
      </x:c>
      <x:c r="L51" s="133" t="n">
        <x:f>(('Assumptions'!$B$17*(1+G51)+'Assumptions'!$B$18)*(1-H51-'Assumptions'!$B$20)-SUM('Assumptions'!$B$21:$B$25)*(1+I51))-(('Assumptions'!$B$17*(1+G51)+'Assumptions'!$B$18)*(1-H51-'Assumptions'!$B$20)*'Assumptions'!$B$26)</x:f>
        <x:v>212680.37737014305</x:v>
      </x:c>
      <x:c r="M51" s="133" t="n">
        <x:f>'Assumptions'!$B$10*'Assumptions'!$B$33</x:f>
        <x:v>1950000</x:v>
      </x:c>
      <x:c r="N51" s="133" t="n">
        <x:f>-PMT(K51/12,'Assumptions'!$B$35*12,M51)*12</x:f>
        <x:v>139567.9018742484</x:v>
      </x:c>
      <x:c r="O51" s="133" t="n">
        <x:f>(L51*(1+'Assumptions'!$B$29)^('Assumptions'!$B$14/12)/J51)*(1-'Assumptions'!$B$42)-'Debt Schedule'!$F$9</x:f>
        <x:v>3360715.992471151</x:v>
      </x:c>
      <x:c r="P51" s="132" t="n">
        <x:f>((O51+(L51-N51-'Assumptions'!$B$27-'Assumptions'!$B$28)*('Assumptions'!$B$14/12))/ABS('Monthly Cash Flow'!$S$5))^(1/('Assumptions'!$B$14/12))-1</x:f>
        <x:v>0.22192037822402155</x:v>
      </x:c>
      <x:c r="Q51" s="133" t="n">
        <x:f>-ABS('Monthly Cash Flow'!$S$5)+((L51-N51-'Assumptions'!$B$27-'Assumptions'!$B$28)*(1-(1+'Assumptions'!$B$43)^-('Assumptions'!$B$14/12))/'Assumptions'!$B$43)+(O51/(1+'Assumptions'!$B$43)^('Assumptions'!$B$14/12))</x:f>
        <x:v>917762.5544834472</x:v>
      </x:c>
    </x:row>
    <x:row r="52">
      <x:c r="A52" s="131" t="n">
        <x:f>45</x:f>
        <x:v>45</x:v>
      </x:c>
      <x:c r="B52" s="131" t="n">
        <x:f>MOD(ABS(SIN((A52+1)*12.9898+78.233)*43758.5453),1)</x:f>
        <x:v>0.2615852308608737</x:v>
      </x:c>
      <x:c r="C52" s="131" t="n">
        <x:f>MOD(ABS(SIN((A52+2)*12.9898+78.233)*43758.5453),1)</x:f>
        <x:v>0.911480087768723</x:v>
      </x:c>
      <x:c r="D52" s="131" t="n">
        <x:f>MOD(ABS(SIN((A52+3)*12.9898+78.233)*43758.5453),1)</x:f>
        <x:v>0.5667969402347808</x:v>
      </x:c>
      <x:c r="E52" s="131" t="n">
        <x:f>MOD(ABS(SIN((A52+4)*12.9898+78.233)*43758.5453),1)</x:f>
        <x:v>0.01478295407287078</x:v>
      </x:c>
      <x:c r="F52" s="131" t="n">
        <x:f>MOD(ABS(SIN((A52+5)*12.9898+78.233)*43758.5453),1)</x:f>
        <x:v>0.09230718440085184</x:v>
      </x:c>
      <x:c r="G52" s="132" t="n">
        <x:f>IF(B52&lt;(('Assumptions'!$C$47-'Assumptions'!$B$47)/('Assumptions'!$D$47-'Assumptions'!$B$47)),'Assumptions'!$B$47+SQRT(B52*('Assumptions'!$D$47-'Assumptions'!$B$47)*('Assumptions'!$C$47-'Assumptions'!$B$47)),'Assumptions'!$D$47-SQRT((1-B52)*('Assumptions'!$D$47-'Assumptions'!$B$47)*('Assumptions'!$D$47-'Assumptions'!$C$47)))</x:f>
        <x:v>-0.02076588146094531</x:v>
      </x:c>
      <x:c r="H52" s="132" t="n">
        <x:f>IF(C52&lt;(('Assumptions'!$C$48-'Assumptions'!$B$48)/('Assumptions'!$D$48-'Assumptions'!$B$48)),'Assumptions'!$B$48+SQRT(C52*('Assumptions'!$D$48-'Assumptions'!$B$48)*('Assumptions'!$C$48-'Assumptions'!$B$48)),'Assumptions'!$D$48-SQRT((1-C52)*('Assumptions'!$D$48-'Assumptions'!$B$48)*('Assumptions'!$D$48-'Assumptions'!$C$48)))</x:f>
        <x:v>0.11208987231066048</x:v>
      </x:c>
      <x:c r="I52" s="132" t="n">
        <x:f>IF(D52&lt;(('Assumptions'!$C$49-'Assumptions'!$B$49)/('Assumptions'!$D$49-'Assumptions'!$B$49)),'Assumptions'!$B$49+SQRT(D52*('Assumptions'!$D$49-'Assumptions'!$B$49)*('Assumptions'!$C$49-'Assumptions'!$B$49)),'Assumptions'!$D$49-SQRT((1-D52)*('Assumptions'!$D$49-'Assumptions'!$B$49)*('Assumptions'!$D$49-'Assumptions'!$C$49)))</x:f>
        <x:v>0.053267450716272674</x:v>
      </x:c>
      <x:c r="J52" s="132" t="n">
        <x:f>IF(E52&lt;(('Assumptions'!$C$50-'Assumptions'!$B$50)/('Assumptions'!$D$50-'Assumptions'!$B$50)),'Assumptions'!$B$50+SQRT(E52*('Assumptions'!$D$50-'Assumptions'!$B$50)*('Assumptions'!$C$50-'Assumptions'!$B$50)),'Assumptions'!$D$50-SQRT((1-E52)*('Assumptions'!$D$50-'Assumptions'!$B$50)*('Assumptions'!$D$50-'Assumptions'!$C$50)))</x:f>
        <x:v>0.05932377758139416</x:v>
      </x:c>
      <x:c r="K52" s="132" t="n">
        <x:f>IF(F52&lt;(('Assumptions'!$C$51-'Assumptions'!$B$51)/('Assumptions'!$D$51-'Assumptions'!$B$51)),'Assumptions'!$B$51+SQRT(F52*('Assumptions'!$D$51-'Assumptions'!$B$51)*('Assumptions'!$C$51-'Assumptions'!$B$51)),'Assumptions'!$D$51-SQRT((1-F52)*('Assumptions'!$D$51-'Assumptions'!$B$51)*('Assumptions'!$D$51-'Assumptions'!$C$51)))</x:f>
        <x:v>0.06253830087531842</x:v>
      </x:c>
      <x:c r="L52" s="133" t="n">
        <x:f>(('Assumptions'!$B$17*(1+G52)+'Assumptions'!$B$18)*(1-H52-'Assumptions'!$B$20)-SUM('Assumptions'!$B$21:$B$25)*(1+I52))-(('Assumptions'!$B$17*(1+G52)+'Assumptions'!$B$18)*(1-H52-'Assumptions'!$B$20)*'Assumptions'!$B$26)</x:f>
        <x:v>179563.84071155894</x:v>
      </x:c>
      <x:c r="M52" s="133" t="n">
        <x:f>'Assumptions'!$B$10*'Assumptions'!$B$33</x:f>
        <x:v>1950000</x:v>
      </x:c>
      <x:c r="N52" s="133" t="n">
        <x:f>-PMT(K52/12,'Assumptions'!$B$35*12,M52)*12</x:f>
        <x:v>144136.1198691812</x:v>
      </x:c>
      <x:c r="O52" s="133" t="n">
        <x:f>(L52*(1+'Assumptions'!$B$29)^('Assumptions'!$B$14/12)/J52)*(1-'Assumptions'!$B$42)-'Debt Schedule'!$F$9</x:f>
        <x:v>3298405.645814707</x:v>
      </x:c>
      <x:c r="P52" s="132" t="n">
        <x:f>((O52+(L52-N52-'Assumptions'!$B$27-'Assumptions'!$B$28)*('Assumptions'!$B$14/12))/ABS('Monthly Cash Flow'!$S$5))^(1/('Assumptions'!$B$14/12))-1</x:f>
        <x:v>0.20402715865785193</x:v>
      </x:c>
      <x:c r="Q52" s="133" t="n">
        <x:f>-ABS('Monthly Cash Flow'!$S$5)+((L52-N52-'Assumptions'!$B$27-'Assumptions'!$B$28)*(1-(1+'Assumptions'!$B$43)^-('Assumptions'!$B$14/12))/'Assumptions'!$B$43)+(O52/(1+'Assumptions'!$B$43)^('Assumptions'!$B$14/12))</x:f>
        <x:v>736217.862248298</x:v>
      </x:c>
    </x:row>
    <x:row r="53">
      <x:c r="A53" s="131" t="n">
        <x:f>46</x:f>
        <x:v>46</x:v>
      </x:c>
      <x:c r="B53" s="131" t="n">
        <x:f>MOD(ABS(SIN((A53+1)*12.9898+78.233)*43758.5453),1)</x:f>
        <x:v>0.911480087768723</x:v>
      </x:c>
      <x:c r="C53" s="131" t="n">
        <x:f>MOD(ABS(SIN((A53+2)*12.9898+78.233)*43758.5453),1)</x:f>
        <x:v>0.5667969402347808</x:v>
      </x:c>
      <x:c r="D53" s="131" t="n">
        <x:f>MOD(ABS(SIN((A53+3)*12.9898+78.233)*43758.5453),1)</x:f>
        <x:v>0.01478295407287078</x:v>
      </x:c>
      <x:c r="E53" s="131" t="n">
        <x:f>MOD(ABS(SIN((A53+4)*12.9898+78.233)*43758.5453),1)</x:f>
        <x:v>0.09230718440085184</x:v>
      </x:c>
      <x:c r="F53" s="131" t="n">
        <x:f>MOD(ABS(SIN((A53+5)*12.9898+78.233)*43758.5453),1)</x:f>
        <x:v>0.5185005963612639</x:v>
      </x:c>
      <x:c r="G53" s="132" t="n">
        <x:f>IF(B53&lt;(('Assumptions'!$C$47-'Assumptions'!$B$47)/('Assumptions'!$D$47-'Assumptions'!$B$47)),'Assumptions'!$B$47+SQRT(B53*('Assumptions'!$D$47-'Assumptions'!$B$47)*('Assumptions'!$C$47-'Assumptions'!$B$47)),'Assumptions'!$D$47-SQRT((1-B53)*('Assumptions'!$D$47-'Assumptions'!$B$47)*('Assumptions'!$D$47-'Assumptions'!$C$47)))</x:f>
        <x:v>0.062365991501031524</x:v>
      </x:c>
      <x:c r="H53" s="132" t="n">
        <x:f>IF(C53&lt;(('Assumptions'!$C$48-'Assumptions'!$B$48)/('Assumptions'!$D$48-'Assumptions'!$B$48)),'Assumptions'!$B$48+SQRT(C53*('Assumptions'!$D$48-'Assumptions'!$B$48)*('Assumptions'!$C$48-'Assumptions'!$B$48)),'Assumptions'!$D$48-SQRT((1-C53)*('Assumptions'!$D$48-'Assumptions'!$B$48)*('Assumptions'!$D$48-'Assumptions'!$C$48)))</x:f>
        <x:v>0.07825709007558901</x:v>
      </x:c>
      <x:c r="I53" s="132" t="n">
        <x:f>IF(D53&lt;(('Assumptions'!$C$49-'Assumptions'!$B$49)/('Assumptions'!$D$49-'Assumptions'!$B$49)),'Assumptions'!$B$49+SQRT(D53*('Assumptions'!$D$49-'Assumptions'!$B$49)*('Assumptions'!$C$49-'Assumptions'!$B$49)),'Assumptions'!$D$49-SQRT((1-D53)*('Assumptions'!$D$49-'Assumptions'!$B$49)*('Assumptions'!$D$49-'Assumptions'!$C$49)))</x:f>
        <x:v>-0.017364498269280937</x:v>
      </x:c>
      <x:c r="J53" s="132" t="n">
        <x:f>IF(E53&lt;(('Assumptions'!$C$50-'Assumptions'!$B$50)/('Assumptions'!$D$50-'Assumptions'!$B$50)),'Assumptions'!$B$50+SQRT(E53*('Assumptions'!$D$50-'Assumptions'!$B$50)*('Assumptions'!$C$50-'Assumptions'!$B$50)),'Assumptions'!$D$50-SQRT((1-E53)*('Assumptions'!$D$50-'Assumptions'!$B$50)*('Assumptions'!$D$50-'Assumptions'!$C$50)))</x:f>
        <x:v>0.062057314613913735</x:v>
      </x:c>
      <x:c r="K53" s="132" t="n">
        <x:f>IF(F53&lt;(('Assumptions'!$C$51-'Assumptions'!$B$51)/('Assumptions'!$D$51-'Assumptions'!$B$51)),'Assumptions'!$B$51+SQRT(F53*('Assumptions'!$D$51-'Assumptions'!$B$51)*('Assumptions'!$C$51-'Assumptions'!$B$51)),'Assumptions'!$D$51-SQRT((1-F53)*('Assumptions'!$D$51-'Assumptions'!$B$51)*('Assumptions'!$D$51-'Assumptions'!$C$51)))</x:f>
        <x:v>0.06977759585344215</x:v>
      </x:c>
      <x:c r="L53" s="133" t="n">
        <x:f>(('Assumptions'!$B$17*(1+G53)+'Assumptions'!$B$18)*(1-H53-'Assumptions'!$B$20)-SUM('Assumptions'!$B$21:$B$25)*(1+I53))-(('Assumptions'!$B$17*(1+G53)+'Assumptions'!$B$18)*(1-H53-'Assumptions'!$B$20)*'Assumptions'!$B$26)</x:f>
        <x:v>226692.61493280024</x:v>
      </x:c>
      <x:c r="M53" s="133" t="n">
        <x:f>'Assumptions'!$B$10*'Assumptions'!$B$33</x:f>
        <x:v>1950000</x:v>
      </x:c>
      <x:c r="N53" s="133" t="n">
        <x:f>-PMT(K53/12,'Assumptions'!$B$35*12,M53)*12</x:f>
        <x:v>155331.4247072737</x:v>
      </x:c>
      <x:c r="O53" s="133" t="n">
        <x:f>(L53*(1+'Assumptions'!$B$29)^('Assumptions'!$B$14/12)/J53)*(1-'Assumptions'!$B$42)-'Debt Schedule'!$F$9</x:f>
        <x:v>3980690.1182261272</x:v>
      </x:c>
      <x:c r="P53" s="132" t="n">
        <x:f>((O53+(L53-N53-'Assumptions'!$B$27-'Assumptions'!$B$28)*('Assumptions'!$B$14/12))/ABS('Monthly Cash Flow'!$S$5))^(1/('Assumptions'!$B$14/12))-1</x:f>
        <x:v>0.2616157668573922</x:v>
      </x:c>
      <x:c r="Q53" s="133" t="n">
        <x:f>-ABS('Monthly Cash Flow'!$S$5)+((L53-N53-'Assumptions'!$B$27-'Assumptions'!$B$28)*(1-(1+'Assumptions'!$B$43)^-('Assumptions'!$B$14/12))/'Assumptions'!$B$43)+(O53/(1+'Assumptions'!$B$43)^('Assumptions'!$B$14/12))</x:f>
        <x:v>1296078.9598772984</x:v>
      </x:c>
    </x:row>
    <x:row r="54">
      <x:c r="A54" s="131" t="n">
        <x:f>47</x:f>
        <x:v>47</x:v>
      </x:c>
      <x:c r="B54" s="131" t="n">
        <x:f>MOD(ABS(SIN((A54+1)*12.9898+78.233)*43758.5453),1)</x:f>
        <x:v>0.5667969402347808</x:v>
      </x:c>
      <x:c r="C54" s="131" t="n">
        <x:f>MOD(ABS(SIN((A54+2)*12.9898+78.233)*43758.5453),1)</x:f>
        <x:v>0.01478295407287078</x:v>
      </x:c>
      <x:c r="D54" s="131" t="n">
        <x:f>MOD(ABS(SIN((A54+3)*12.9898+78.233)*43758.5453),1)</x:f>
        <x:v>0.09230718440085184</x:v>
      </x:c>
      <x:c r="E54" s="131" t="n">
        <x:f>MOD(ABS(SIN((A54+4)*12.9898+78.233)*43758.5453),1)</x:f>
        <x:v>0.5185005963612639</x:v>
      </x:c>
      <x:c r="F54" s="131" t="n">
        <x:f>MOD(ABS(SIN((A54+5)*12.9898+78.233)*43758.5453),1)</x:f>
        <x:v>0.6488043583394756</x:v>
      </x:c>
      <x:c r="G54" s="132" t="n">
        <x:f>IF(B54&lt;(('Assumptions'!$C$47-'Assumptions'!$B$47)/('Assumptions'!$D$47-'Assumptions'!$B$47)),'Assumptions'!$B$47+SQRT(B54*('Assumptions'!$D$47-'Assumptions'!$B$47)*('Assumptions'!$C$47-'Assumptions'!$B$47)),'Assumptions'!$D$47-SQRT((1-B54)*('Assumptions'!$D$47-'Assumptions'!$B$47)*('Assumptions'!$D$47-'Assumptions'!$C$47)))</x:f>
        <x:v>0.016632442166126055</x:v>
      </x:c>
      <x:c r="H54" s="132" t="n">
        <x:f>IF(C54&lt;(('Assumptions'!$C$48-'Assumptions'!$B$48)/('Assumptions'!$D$48-'Assumptions'!$B$48)),'Assumptions'!$B$48+SQRT(C54*('Assumptions'!$D$48-'Assumptions'!$B$48)*('Assumptions'!$C$48-'Assumptions'!$B$48)),'Assumptions'!$D$48-SQRT((1-C54)*('Assumptions'!$D$48-'Assumptions'!$B$48)*('Assumptions'!$D$48-'Assumptions'!$C$48)))</x:f>
        <x:v>0.03698453637978023</x:v>
      </x:c>
      <x:c r="I54" s="132" t="n">
        <x:f>IF(D54&lt;(('Assumptions'!$C$49-'Assumptions'!$B$49)/('Assumptions'!$D$49-'Assumptions'!$B$49)),'Assumptions'!$B$49+SQRT(D54*('Assumptions'!$D$49-'Assumptions'!$B$49)*('Assumptions'!$C$49-'Assumptions'!$B$49)),'Assumptions'!$D$49-SQRT((1-D54)*('Assumptions'!$D$49-'Assumptions'!$B$49)*('Assumptions'!$D$49-'Assumptions'!$C$49)))</x:f>
        <x:v>0.0015740018294988986</x:v>
      </x:c>
      <x:c r="J54" s="132" t="n">
        <x:f>IF(E54&lt;(('Assumptions'!$C$50-'Assumptions'!$B$50)/('Assumptions'!$D$50-'Assumptions'!$B$50)),'Assumptions'!$B$50+SQRT(E54*('Assumptions'!$D$50-'Assumptions'!$B$50)*('Assumptions'!$C$50-'Assumptions'!$B$50)),'Assumptions'!$D$50-SQRT((1-E54)*('Assumptions'!$D$50-'Assumptions'!$B$50)*('Assumptions'!$D$50-'Assumptions'!$C$50)))</x:f>
        <x:v>0.06836291671966749</x:v>
      </x:c>
      <x:c r="K54" s="132" t="n">
        <x:f>IF(F54&lt;(('Assumptions'!$C$51-'Assumptions'!$B$51)/('Assumptions'!$D$51-'Assumptions'!$B$51)),'Assumptions'!$B$51+SQRT(F54*('Assumptions'!$D$51-'Assumptions'!$B$51)*('Assumptions'!$C$51-'Assumptions'!$B$51)),'Assumptions'!$D$51-SQRT((1-F54)*('Assumptions'!$D$51-'Assumptions'!$B$51)*('Assumptions'!$D$51-'Assumptions'!$C$51)))</x:f>
        <x:v>0.07199950375758189</x:v>
      </x:c>
      <x:c r="L54" s="133" t="n">
        <x:f>(('Assumptions'!$B$17*(1+G54)+'Assumptions'!$B$18)*(1-H54-'Assumptions'!$B$20)-SUM('Assumptions'!$B$21:$B$25)*(1+I54))-(('Assumptions'!$B$17*(1+G54)+'Assumptions'!$B$18)*(1-H54-'Assumptions'!$B$20)*'Assumptions'!$B$26)</x:f>
        <x:v>225110.02402355778</x:v>
      </x:c>
      <x:c r="M54" s="133" t="n">
        <x:f>'Assumptions'!$B$10*'Assumptions'!$B$33</x:f>
        <x:v>1950000</x:v>
      </x:c>
      <x:c r="N54" s="133" t="n">
        <x:f>-PMT(K54/12,'Assumptions'!$B$35*12,M54)*12</x:f>
        <x:v>158835.65493258767</x:v>
      </x:c>
      <x:c r="O54" s="133" t="n">
        <x:f>(L54*(1+'Assumptions'!$B$29)^('Assumptions'!$B$14/12)/J54)*(1-'Assumptions'!$B$42)-'Debt Schedule'!$F$9</x:f>
        <x:v>3588295.725276659</x:v>
      </x:c>
      <x:c r="P54" s="132" t="n">
        <x:f>((O54+(L54-N54-'Assumptions'!$B$27-'Assumptions'!$B$28)*('Assumptions'!$B$14/12))/ABS('Monthly Cash Flow'!$S$5))^(1/('Assumptions'!$B$14/12))-1</x:f>
        <x:v>0.235038268544024</x:v>
      </x:c>
      <x:c r="Q54" s="133" t="n">
        <x:f>-ABS('Monthly Cash Flow'!$S$5)+((L54-N54-'Assumptions'!$B$27-'Assumptions'!$B$28)*(1-(1+'Assumptions'!$B$43)^-('Assumptions'!$B$14/12))/'Assumptions'!$B$43)+(O54/(1+'Assumptions'!$B$43)^('Assumptions'!$B$14/12))</x:f>
        <x:v>1033149.8599908969</x:v>
      </x:c>
    </x:row>
    <x:row r="55">
      <x:c r="A55" s="131" t="n">
        <x:f>48</x:f>
        <x:v>48</x:v>
      </x:c>
      <x:c r="B55" s="131" t="n">
        <x:f>MOD(ABS(SIN((A55+1)*12.9898+78.233)*43758.5453),1)</x:f>
        <x:v>0.01478295407287078</x:v>
      </x:c>
      <x:c r="C55" s="131" t="n">
        <x:f>MOD(ABS(SIN((A55+2)*12.9898+78.233)*43758.5453),1)</x:f>
        <x:v>0.09230718440085184</x:v>
      </x:c>
      <x:c r="D55" s="131" t="n">
        <x:f>MOD(ABS(SIN((A55+3)*12.9898+78.233)*43758.5453),1)</x:f>
        <x:v>0.5185005963612639</x:v>
      </x:c>
      <x:c r="E55" s="131" t="n">
        <x:f>MOD(ABS(SIN((A55+4)*12.9898+78.233)*43758.5453),1)</x:f>
        <x:v>0.6488043583394756</x:v>
      </x:c>
      <x:c r="F55" s="131" t="n">
        <x:f>MOD(ABS(SIN((A55+5)*12.9898+78.233)*43758.5453),1)</x:f>
        <x:v>0.4910256567045508</x:v>
      </x:c>
      <x:c r="G55" s="132" t="n">
        <x:f>IF(B55&lt;(('Assumptions'!$C$47-'Assumptions'!$B$47)/('Assumptions'!$D$47-'Assumptions'!$B$47)),'Assumptions'!$B$47+SQRT(B55*('Assumptions'!$D$47-'Assumptions'!$B$47)*('Assumptions'!$C$47-'Assumptions'!$B$47)),'Assumptions'!$D$47-SQRT((1-B55)*('Assumptions'!$D$47-'Assumptions'!$B$47)*('Assumptions'!$D$47-'Assumptions'!$C$47)))</x:f>
        <x:v>-0.08116410613353063</x:v>
      </x:c>
      <x:c r="H55" s="132" t="n">
        <x:f>IF(C55&lt;(('Assumptions'!$C$48-'Assumptions'!$B$48)/('Assumptions'!$D$48-'Assumptions'!$B$48)),'Assumptions'!$B$48+SQRT(C55*('Assumptions'!$D$48-'Assumptions'!$B$48)*('Assumptions'!$C$48-'Assumptions'!$B$48)),'Assumptions'!$D$48-SQRT((1-C55)*('Assumptions'!$D$48-'Assumptions'!$B$48)*('Assumptions'!$D$48-'Assumptions'!$C$48)))</x:f>
        <x:v>0.04745318619974047</x:v>
      </x:c>
      <x:c r="I55" s="132" t="n">
        <x:f>IF(D55&lt;(('Assumptions'!$C$49-'Assumptions'!$B$49)/('Assumptions'!$D$49-'Assumptions'!$B$49)),'Assumptions'!$B$49+SQRT(D55*('Assumptions'!$D$49-'Assumptions'!$B$49)*('Assumptions'!$C$49-'Assumptions'!$B$49)),'Assumptions'!$D$49-SQRT((1-D55)*('Assumptions'!$D$49-'Assumptions'!$B$49)*('Assumptions'!$D$49-'Assumptions'!$C$49)))</x:f>
        <x:v>0.04801771174073069</x:v>
      </x:c>
      <x:c r="J55" s="132" t="n">
        <x:f>IF(E55&lt;(('Assumptions'!$C$50-'Assumptions'!$B$50)/('Assumptions'!$D$50-'Assumptions'!$B$50)),'Assumptions'!$B$50+SQRT(E55*('Assumptions'!$D$50-'Assumptions'!$B$50)*('Assumptions'!$C$50-'Assumptions'!$B$50)),'Assumptions'!$D$50-SQRT((1-E55)*('Assumptions'!$D$50-'Assumptions'!$B$50)*('Assumptions'!$D$50-'Assumptions'!$C$50)))</x:f>
        <x:v>0.07006150040413431</x:v>
      </x:c>
      <x:c r="K55" s="132" t="n">
        <x:f>IF(F55&lt;(('Assumptions'!$C$51-'Assumptions'!$B$51)/('Assumptions'!$D$51-'Assumptions'!$B$51)),'Assumptions'!$B$51+SQRT(F55*('Assumptions'!$D$51-'Assumptions'!$B$51)*('Assumptions'!$C$51-'Assumptions'!$B$51)),'Assumptions'!$D$51-SQRT((1-F55)*('Assumptions'!$D$51-'Assumptions'!$B$51)*('Assumptions'!$D$51-'Assumptions'!$C$51)))</x:f>
        <x:v>0.06934931622225614</x:v>
      </x:c>
      <x:c r="L55" s="133" t="n">
        <x:f>(('Assumptions'!$B$17*(1+G55)+'Assumptions'!$B$18)*(1-H55-'Assumptions'!$B$20)-SUM('Assumptions'!$B$21:$B$25)*(1+I55))-(('Assumptions'!$B$17*(1+G55)+'Assumptions'!$B$18)*(1-H55-'Assumptions'!$B$20)*'Assumptions'!$B$26)</x:f>
        <x:v>183542.4210079961</x:v>
      </x:c>
      <x:c r="M55" s="133" t="n">
        <x:f>'Assumptions'!$B$10*'Assumptions'!$B$33</x:f>
        <x:v>1950000</x:v>
      </x:c>
      <x:c r="N55" s="133" t="n">
        <x:f>-PMT(K55/12,'Assumptions'!$B$35*12,M55)*12</x:f>
        <x:v>154659.55675631802</x:v>
      </x:c>
      <x:c r="O55" s="133" t="n">
        <x:f>(L55*(1+'Assumptions'!$B$29)^('Assumptions'!$B$14/12)/J55)*(1-'Assumptions'!$B$42)-'Debt Schedule'!$F$9</x:f>
        <x:v>2854769.1791152894</x:v>
      </x:c>
      <x:c r="P55" s="132" t="n">
        <x:f>((O55+(L55-N55-'Assumptions'!$B$27-'Assumptions'!$B$28)*('Assumptions'!$B$14/12))/ABS('Monthly Cash Flow'!$S$5))^(1/('Assumptions'!$B$14/12))-1</x:f>
        <x:v>0.16677163599205436</x:v>
      </x:c>
      <x:c r="Q55" s="133" t="n">
        <x:f>-ABS('Monthly Cash Flow'!$S$5)+((L55-N55-'Assumptions'!$B$27-'Assumptions'!$B$28)*(1-(1+'Assumptions'!$B$43)^-('Assumptions'!$B$14/12))/'Assumptions'!$B$43)+(O55/(1+'Assumptions'!$B$43)^('Assumptions'!$B$14/12))</x:f>
        <x:v>435944.36461630696</x:v>
      </x:c>
    </x:row>
    <x:row r="56">
      <x:c r="A56" s="131" t="n">
        <x:f>49</x:f>
        <x:v>49</x:v>
      </x:c>
      <x:c r="B56" s="131" t="n">
        <x:f>MOD(ABS(SIN((A56+1)*12.9898+78.233)*43758.5453),1)</x:f>
        <x:v>0.09230718440085184</x:v>
      </x:c>
      <x:c r="C56" s="131" t="n">
        <x:f>MOD(ABS(SIN((A56+2)*12.9898+78.233)*43758.5453),1)</x:f>
        <x:v>0.5185005963612639</x:v>
      </x:c>
      <x:c r="D56" s="131" t="n">
        <x:f>MOD(ABS(SIN((A56+3)*12.9898+78.233)*43758.5453),1)</x:f>
        <x:v>0.6488043583394756</x:v>
      </x:c>
      <x:c r="E56" s="131" t="n">
        <x:f>MOD(ABS(SIN((A56+4)*12.9898+78.233)*43758.5453),1)</x:f>
        <x:v>0.4910256567045508</x:v>
      </x:c>
      <x:c r="F56" s="131" t="n">
        <x:f>MOD(ABS(SIN((A56+5)*12.9898+78.233)*43758.5453),1)</x:f>
        <x:v>0.076608488761849</x:v>
      </x:c>
      <x:c r="G56" s="132" t="n">
        <x:f>IF(B56&lt;(('Assumptions'!$C$47-'Assumptions'!$B$47)/('Assumptions'!$D$47-'Assumptions'!$B$47)),'Assumptions'!$B$47+SQRT(B56*('Assumptions'!$D$47-'Assumptions'!$B$47)*('Assumptions'!$C$47-'Assumptions'!$B$47)),'Assumptions'!$D$47-SQRT((1-B56)*('Assumptions'!$D$47-'Assumptions'!$B$47)*('Assumptions'!$D$47-'Assumptions'!$C$47)))</x:f>
        <x:v>-0.052932257058358495</x:v>
      </x:c>
      <x:c r="H56" s="132" t="n">
        <x:f>IF(C56&lt;(('Assumptions'!$C$48-'Assumptions'!$B$48)/('Assumptions'!$D$48-'Assumptions'!$B$48)),'Assumptions'!$B$48+SQRT(C56*('Assumptions'!$D$48-'Assumptions'!$B$48)*('Assumptions'!$C$48-'Assumptions'!$B$48)),'Assumptions'!$D$48-SQRT((1-C56)*('Assumptions'!$D$48-'Assumptions'!$B$48)*('Assumptions'!$D$48-'Assumptions'!$C$48)))</x:f>
        <x:v>0.07490626180636975</x:v>
      </x:c>
      <x:c r="I56" s="132" t="n">
        <x:f>IF(D56&lt;(('Assumptions'!$C$49-'Assumptions'!$B$49)/('Assumptions'!$D$49-'Assumptions'!$B$49)),'Assumptions'!$B$49+SQRT(D56*('Assumptions'!$D$49-'Assumptions'!$B$49)*('Assumptions'!$C$49-'Assumptions'!$B$49)),'Assumptions'!$D$49-SQRT((1-D56)*('Assumptions'!$D$49-'Assumptions'!$B$49)*('Assumptions'!$D$49-'Assumptions'!$C$49)))</x:f>
        <x:v>0.06290335333741415</x:v>
      </x:c>
      <x:c r="J56" s="132" t="n">
        <x:f>IF(E56&lt;(('Assumptions'!$C$50-'Assumptions'!$B$50)/('Assumptions'!$D$50-'Assumptions'!$B$50)),'Assumptions'!$B$50+SQRT(E56*('Assumptions'!$D$50-'Assumptions'!$B$50)*('Assumptions'!$C$50-'Assumptions'!$B$50)),'Assumptions'!$D$50-SQRT((1-E56)*('Assumptions'!$D$50-'Assumptions'!$B$50)*('Assumptions'!$D$50-'Assumptions'!$C$50)))</x:f>
        <x:v>0.06803550945289165</x:v>
      </x:c>
      <x:c r="K56" s="132" t="n">
        <x:f>IF(F56&lt;(('Assumptions'!$C$51-'Assumptions'!$B$51)/('Assumptions'!$D$51-'Assumptions'!$B$51)),'Assumptions'!$B$51+SQRT(F56*('Assumptions'!$D$51-'Assumptions'!$B$51)*('Assumptions'!$C$51-'Assumptions'!$B$51)),'Assumptions'!$D$51-SQRT((1-F56)*('Assumptions'!$D$51-'Assumptions'!$B$51)*('Assumptions'!$D$51-'Assumptions'!$C$51)))</x:f>
        <x:v>0.06208991660158532</x:v>
      </x:c>
      <x:c r="L56" s="133" t="n">
        <x:f>(('Assumptions'!$B$17*(1+G56)+'Assumptions'!$B$18)*(1-H56-'Assumptions'!$B$20)-SUM('Assumptions'!$B$21:$B$25)*(1+I56))-(('Assumptions'!$B$17*(1+G56)+'Assumptions'!$B$18)*(1-H56-'Assumptions'!$B$20)*'Assumptions'!$B$26)</x:f>
        <x:v>181403.22835001783</x:v>
      </x:c>
      <x:c r="M56" s="133" t="n">
        <x:f>'Assumptions'!$B$10*'Assumptions'!$B$33</x:f>
        <x:v>1950000</x:v>
      </x:c>
      <x:c r="N56" s="133" t="n">
        <x:f>-PMT(K56/12,'Assumptions'!$B$35*12,M56)*12</x:f>
        <x:v>143454.3015686241</x:v>
      </x:c>
      <x:c r="O56" s="133" t="n">
        <x:f>(L56*(1+'Assumptions'!$B$29)^('Assumptions'!$B$14/12)/J56)*(1-'Assumptions'!$B$42)-'Debt Schedule'!$F$9</x:f>
        <x:v>2905516.510905862</x:v>
      </x:c>
      <x:c r="P56" s="132" t="n">
        <x:f>((O56+(L56-N56-'Assumptions'!$B$27-'Assumptions'!$B$28)*('Assumptions'!$B$14/12))/ABS('Monthly Cash Flow'!$S$5))^(1/('Assumptions'!$B$14/12))-1</x:f>
        <x:v>0.17467340814035492</x:v>
      </x:c>
      <x:c r="Q56" s="133" t="n">
        <x:f>-ABS('Monthly Cash Flow'!$S$5)+((L56-N56-'Assumptions'!$B$27-'Assumptions'!$B$28)*(1-(1+'Assumptions'!$B$43)^-('Assumptions'!$B$14/12))/'Assumptions'!$B$43)+(O56/(1+'Assumptions'!$B$43)^('Assumptions'!$B$14/12))</x:f>
        <x:v>501821.9749017069</x:v>
      </x:c>
    </x:row>
    <x:row r="57">
      <x:c r="A57" s="131" t="n">
        <x:f>50</x:f>
        <x:v>50</x:v>
      </x:c>
      <x:c r="B57" s="131" t="n">
        <x:f>MOD(ABS(SIN((A57+1)*12.9898+78.233)*43758.5453),1)</x:f>
        <x:v>0.5185005963612639</x:v>
      </x:c>
      <x:c r="C57" s="131" t="n">
        <x:f>MOD(ABS(SIN((A57+2)*12.9898+78.233)*43758.5453),1)</x:f>
        <x:v>0.6488043583394756</x:v>
      </x:c>
      <x:c r="D57" s="131" t="n">
        <x:f>MOD(ABS(SIN((A57+3)*12.9898+78.233)*43758.5453),1)</x:f>
        <x:v>0.4910256567045508</x:v>
      </x:c>
      <x:c r="E57" s="131" t="n">
        <x:f>MOD(ABS(SIN((A57+4)*12.9898+78.233)*43758.5453),1)</x:f>
        <x:v>0.076608488761849</x:v>
      </x:c>
      <x:c r="F57" s="131" t="n">
        <x:f>MOD(ABS(SIN((A57+5)*12.9898+78.233)*43758.5453),1)</x:f>
        <x:v>0.9104137054091552</x:v>
      </x:c>
      <x:c r="G57" s="132" t="n">
        <x:f>IF(B57&lt;(('Assumptions'!$C$47-'Assumptions'!$B$47)/('Assumptions'!$D$47-'Assumptions'!$B$47)),'Assumptions'!$B$47+SQRT(B57*('Assumptions'!$D$47-'Assumptions'!$B$47)*('Assumptions'!$C$47-'Assumptions'!$B$47)),'Assumptions'!$D$47-SQRT((1-B57)*('Assumptions'!$D$47-'Assumptions'!$B$47)*('Assumptions'!$D$47-'Assumptions'!$C$47)))</x:f>
        <x:v>0.011552742291125837</x:v>
      </x:c>
      <x:c r="H57" s="132" t="n">
        <x:f>IF(C57&lt;(('Assumptions'!$C$48-'Assumptions'!$B$48)/('Assumptions'!$D$48-'Assumptions'!$B$48)),'Assumptions'!$B$48+SQRT(C57*('Assumptions'!$D$48-'Assumptions'!$B$48)*('Assumptions'!$C$48-'Assumptions'!$B$48)),'Assumptions'!$D$48-SQRT((1-C57)*('Assumptions'!$D$48-'Assumptions'!$B$48)*('Assumptions'!$D$48-'Assumptions'!$C$48)))</x:f>
        <x:v>0.08440753966037648</x:v>
      </x:c>
      <x:c r="I57" s="132" t="n">
        <x:f>IF(D57&lt;(('Assumptions'!$C$49-'Assumptions'!$B$49)/('Assumptions'!$D$49-'Assumptions'!$B$49)),'Assumptions'!$B$49+SQRT(D57*('Assumptions'!$D$49-'Assumptions'!$B$49)*('Assumptions'!$C$49-'Assumptions'!$B$49)),'Assumptions'!$D$49-SQRT((1-D57)*('Assumptions'!$D$49-'Assumptions'!$B$49)*('Assumptions'!$D$49-'Assumptions'!$C$49)))</x:f>
        <x:v>0.045148458212662876</x:v>
      </x:c>
      <x:c r="J57" s="132" t="n">
        <x:f>IF(E57&lt;(('Assumptions'!$C$50-'Assumptions'!$B$50)/('Assumptions'!$D$50-'Assumptions'!$B$50)),'Assumptions'!$B$50+SQRT(E57*('Assumptions'!$D$50-'Assumptions'!$B$50)*('Assumptions'!$C$50-'Assumptions'!$B$50)),'Assumptions'!$D$50-SQRT((1-E57)*('Assumptions'!$D$50-'Assumptions'!$B$50)*('Assumptions'!$D$50-'Assumptions'!$C$50)))</x:f>
        <x:v>0.061651735778131364</x:v>
      </x:c>
      <x:c r="K57" s="132" t="n">
        <x:f>IF(F57&lt;(('Assumptions'!$C$51-'Assumptions'!$B$51)/('Assumptions'!$D$51-'Assumptions'!$B$51)),'Assumptions'!$B$51+SQRT(F57*('Assumptions'!$D$51-'Assumptions'!$B$51)*('Assumptions'!$C$51-'Assumptions'!$B$51)),'Assumptions'!$D$51-SQRT((1-F57)*('Assumptions'!$D$51-'Assumptions'!$B$51)*('Assumptions'!$D$51-'Assumptions'!$C$51)))</x:f>
        <x:v>0.078433920174728</x:v>
      </x:c>
      <x:c r="L57" s="133" t="n">
        <x:f>(('Assumptions'!$B$17*(1+G57)+'Assumptions'!$B$18)*(1-H57-'Assumptions'!$B$20)-SUM('Assumptions'!$B$21:$B$25)*(1+I57))-(('Assumptions'!$B$17*(1+G57)+'Assumptions'!$B$18)*(1-H57-'Assumptions'!$B$20)*'Assumptions'!$B$26)</x:f>
        <x:v>200548.3798477423</x:v>
      </x:c>
      <x:c r="M57" s="133" t="n">
        <x:f>'Assumptions'!$B$10*'Assumptions'!$B$33</x:f>
        <x:v>1950000</x:v>
      </x:c>
      <x:c r="N57" s="133" t="n">
        <x:f>-PMT(K57/12,'Assumptions'!$B$35*12,M57)*12</x:f>
        <x:v>169153.14678458238</x:v>
      </x:c>
      <x:c r="O57" s="133" t="n">
        <x:f>(L57*(1+'Assumptions'!$B$29)^('Assumptions'!$B$14/12)/J57)*(1-'Assumptions'!$B$42)-'Debt Schedule'!$F$9</x:f>
        <x:v>3544768.081515299</x:v>
      </x:c>
      <x:c r="P57" s="132" t="n">
        <x:f>((O57+(L57-N57-'Assumptions'!$B$27-'Assumptions'!$B$28)*('Assumptions'!$B$14/12))/ABS('Monthly Cash Flow'!$S$5))^(1/('Assumptions'!$B$14/12))-1</x:f>
        <x:v>0.22021532134398236</x:v>
      </x:c>
      <x:c r="Q57" s="133" t="n">
        <x:f>-ABS('Monthly Cash Flow'!$S$5)+((L57-N57-'Assumptions'!$B$27-'Assumptions'!$B$28)*(1-(1+'Assumptions'!$B$43)^-('Assumptions'!$B$14/12))/'Assumptions'!$B$43)+(O57/(1+'Assumptions'!$B$43)^('Assumptions'!$B$14/12))</x:f>
        <x:v>873903.2504543252</x:v>
      </x:c>
    </x:row>
    <x:row r="58">
      <x:c r="A58" s="131" t="n">
        <x:f>51</x:f>
        <x:v>51</x:v>
      </x:c>
      <x:c r="B58" s="131" t="n">
        <x:f>MOD(ABS(SIN((A58+1)*12.9898+78.233)*43758.5453),1)</x:f>
        <x:v>0.6488043583394756</x:v>
      </x:c>
      <x:c r="C58" s="131" t="n">
        <x:f>MOD(ABS(SIN((A58+2)*12.9898+78.233)*43758.5453),1)</x:f>
        <x:v>0.4910256567045508</x:v>
      </x:c>
      <x:c r="D58" s="131" t="n">
        <x:f>MOD(ABS(SIN((A58+3)*12.9898+78.233)*43758.5453),1)</x:f>
        <x:v>0.076608488761849</x:v>
      </x:c>
      <x:c r="E58" s="131" t="n">
        <x:f>MOD(ABS(SIN((A58+4)*12.9898+78.233)*43758.5453),1)</x:f>
        <x:v>0.9104137054091552</x:v>
      </x:c>
      <x:c r="F58" s="131" t="n">
        <x:f>MOD(ABS(SIN((A58+5)*12.9898+78.233)*43758.5453),1)</x:f>
        <x:v>0.2937468927484588</x:v>
      </x:c>
      <x:c r="G58" s="132" t="n">
        <x:f>IF(B58&lt;(('Assumptions'!$C$47-'Assumptions'!$B$47)/('Assumptions'!$D$47-'Assumptions'!$B$47)),'Assumptions'!$B$47+SQRT(B58*('Assumptions'!$D$47-'Assumptions'!$B$47)*('Assumptions'!$C$47-'Assumptions'!$B$47)),'Assumptions'!$D$47-SQRT((1-B58)*('Assumptions'!$D$47-'Assumptions'!$B$47)*('Assumptions'!$D$47-'Assumptions'!$C$47)))</x:f>
        <x:v>0.025039141770065165</x:v>
      </x:c>
      <x:c r="H58" s="132" t="n">
        <x:f>IF(C58&lt;(('Assumptions'!$C$48-'Assumptions'!$B$48)/('Assumptions'!$D$48-'Assumptions'!$B$48)),'Assumptions'!$B$48+SQRT(C58*('Assumptions'!$D$48-'Assumptions'!$B$48)*('Assumptions'!$C$48-'Assumptions'!$B$48)),'Assumptions'!$D$48-SQRT((1-C58)*('Assumptions'!$D$48-'Assumptions'!$B$48)*('Assumptions'!$D$48-'Assumptions'!$C$48)))</x:f>
        <x:v>0.07307486106850467</x:v>
      </x:c>
      <x:c r="I58" s="132" t="n">
        <x:f>IF(D58&lt;(('Assumptions'!$C$49-'Assumptions'!$B$49)/('Assumptions'!$D$49-'Assumptions'!$B$49)),'Assumptions'!$B$49+SQRT(D58*('Assumptions'!$D$49-'Assumptions'!$B$49)*('Assumptions'!$C$49-'Assumptions'!$B$49)),'Assumptions'!$D$49-SQRT((1-D58)*('Assumptions'!$D$49-'Assumptions'!$B$49)*('Assumptions'!$D$49-'Assumptions'!$C$49)))</x:f>
        <x:v>-0.0012359307706998925</x:v>
      </x:c>
      <x:c r="J58" s="132" t="n">
        <x:f>IF(E58&lt;(('Assumptions'!$C$50-'Assumptions'!$B$50)/('Assumptions'!$D$50-'Assumptions'!$B$50)),'Assumptions'!$B$50+SQRT(E58*('Assumptions'!$D$50-'Assumptions'!$B$50)*('Assumptions'!$C$50-'Assumptions'!$B$50)),'Assumptions'!$D$50-SQRT((1-E58)*('Assumptions'!$D$50-'Assumptions'!$B$50)*('Assumptions'!$D$50-'Assumptions'!$C$50)))</x:f>
        <x:v>0.0749804237874423</x:v>
      </x:c>
      <x:c r="K58" s="132" t="n">
        <x:f>IF(F58&lt;(('Assumptions'!$C$51-'Assumptions'!$B$51)/('Assumptions'!$D$51-'Assumptions'!$B$51)),'Assumptions'!$B$51+SQRT(F58*('Assumptions'!$D$51-'Assumptions'!$B$51)*('Assumptions'!$C$51-'Assumptions'!$B$51)),'Assumptions'!$D$51-SQRT((1-F58)*('Assumptions'!$D$51-'Assumptions'!$B$51)*('Assumptions'!$D$51-'Assumptions'!$C$51)))</x:f>
        <x:v>0.06648779146986768</x:v>
      </x:c>
      <x:c r="L58" s="133" t="n">
        <x:f>(('Assumptions'!$B$17*(1+G58)+'Assumptions'!$B$18)*(1-H58-'Assumptions'!$B$20)-SUM('Assumptions'!$B$21:$B$25)*(1+I58))-(('Assumptions'!$B$17*(1+G58)+'Assumptions'!$B$18)*(1-H58-'Assumptions'!$B$20)*'Assumptions'!$B$26)</x:f>
        <x:v>214824.1585021505</x:v>
      </x:c>
      <x:c r="M58" s="133" t="n">
        <x:f>'Assumptions'!$B$10*'Assumptions'!$B$33</x:f>
        <x:v>1950000</x:v>
      </x:c>
      <x:c r="N58" s="133" t="n">
        <x:f>-PMT(K58/12,'Assumptions'!$B$35*12,M58)*12</x:f>
        <x:v>150200.87092299399</x:v>
      </x:c>
      <x:c r="O58" s="133" t="n">
        <x:f>(L58*(1+'Assumptions'!$B$29)^('Assumptions'!$B$14/12)/J58)*(1-'Assumptions'!$B$42)-'Debt Schedule'!$F$9</x:f>
        <x:v>3122117.227549895</x:v>
      </x:c>
      <x:c r="P58" s="132" t="n">
        <x:f>((O58+(L58-N58-'Assumptions'!$B$27-'Assumptions'!$B$28)*('Assumptions'!$B$14/12))/ABS('Monthly Cash Flow'!$S$5))^(1/('Assumptions'!$B$14/12))-1</x:f>
        <x:v>0.2017905468243275</x:v>
      </x:c>
      <x:c r="Q58" s="133" t="n">
        <x:f>-ABS('Monthly Cash Flow'!$S$5)+((L58-N58-'Assumptions'!$B$27-'Assumptions'!$B$28)*(1-(1+'Assumptions'!$B$43)^-('Assumptions'!$B$14/12))/'Assumptions'!$B$43)+(O58/(1+'Assumptions'!$B$43)^('Assumptions'!$B$14/12))</x:f>
        <x:v>737430.7924504676</x:v>
      </x:c>
    </x:row>
    <x:row r="59">
      <x:c r="A59" s="131" t="n">
        <x:f>52</x:f>
        <x:v>52</x:v>
      </x:c>
      <x:c r="B59" s="131" t="n">
        <x:f>MOD(ABS(SIN((A59+1)*12.9898+78.233)*43758.5453),1)</x:f>
        <x:v>0.4910256567045508</x:v>
      </x:c>
      <x:c r="C59" s="131" t="n">
        <x:f>MOD(ABS(SIN((A59+2)*12.9898+78.233)*43758.5453),1)</x:f>
        <x:v>0.076608488761849</x:v>
      </x:c>
      <x:c r="D59" s="131" t="n">
        <x:f>MOD(ABS(SIN((A59+3)*12.9898+78.233)*43758.5453),1)</x:f>
        <x:v>0.9104137054091552</x:v>
      </x:c>
      <x:c r="E59" s="131" t="n">
        <x:f>MOD(ABS(SIN((A59+4)*12.9898+78.233)*43758.5453),1)</x:f>
        <x:v>0.2937468927484588</x:v>
      </x:c>
      <x:c r="F59" s="131" t="n">
        <x:f>MOD(ABS(SIN((A59+5)*12.9898+78.233)*43758.5453),1)</x:f>
        <x:v>0.34113794618315296</x:v>
      </x:c>
      <x:c r="G59" s="132" t="n">
        <x:f>IF(B59&lt;(('Assumptions'!$C$47-'Assumptions'!$B$47)/('Assumptions'!$D$47-'Assumptions'!$B$47)),'Assumptions'!$B$47+SQRT(B59*('Assumptions'!$D$47-'Assumptions'!$B$47)*('Assumptions'!$C$47-'Assumptions'!$B$47)),'Assumptions'!$D$47-SQRT((1-B59)*('Assumptions'!$D$47-'Assumptions'!$B$47)*('Assumptions'!$D$47-'Assumptions'!$C$47)))</x:f>
        <x:v>0.00855697011665911</x:v>
      </x:c>
      <x:c r="H59" s="132" t="n">
        <x:f>IF(C59&lt;(('Assumptions'!$C$48-'Assumptions'!$B$48)/('Assumptions'!$D$48-'Assumptions'!$B$48)),'Assumptions'!$B$48+SQRT(C59*('Assumptions'!$D$48-'Assumptions'!$B$48)*('Assumptions'!$C$48-'Assumptions'!$B$48)),'Assumptions'!$D$48-SQRT((1-C59)*('Assumptions'!$D$48-'Assumptions'!$B$48)*('Assumptions'!$D$48-'Assumptions'!$C$48)))</x:f>
        <x:v>0.04589993751289928</x:v>
      </x:c>
      <x:c r="I59" s="132" t="n">
        <x:f>IF(D59&lt;(('Assumptions'!$C$49-'Assumptions'!$B$49)/('Assumptions'!$D$49-'Assumptions'!$B$49)),'Assumptions'!$B$49+SQRT(D59*('Assumptions'!$D$49-'Assumptions'!$B$49)*('Assumptions'!$C$49-'Assumptions'!$B$49)),'Assumptions'!$D$49-SQRT((1-D59)*('Assumptions'!$D$49-'Assumptions'!$B$49)*('Assumptions'!$D$49-'Assumptions'!$C$49)))</x:f>
        <x:v>0.10601063806825284</x:v>
      </x:c>
      <x:c r="J59" s="132" t="n">
        <x:f>IF(E59&lt;(('Assumptions'!$C$50-'Assumptions'!$B$50)/('Assumptions'!$D$50-'Assumptions'!$B$50)),'Assumptions'!$B$50+SQRT(E59*('Assumptions'!$D$50-'Assumptions'!$B$50)*('Assumptions'!$C$50-'Assumptions'!$B$50)),'Assumptions'!$D$50-SQRT((1-E59)*('Assumptions'!$D$50-'Assumptions'!$B$50)*('Assumptions'!$D$50-'Assumptions'!$C$50)))</x:f>
        <x:v>0.06562976327259308</x:v>
      </x:c>
      <x:c r="K59" s="132" t="n">
        <x:f>IF(F59&lt;(('Assumptions'!$C$51-'Assumptions'!$B$51)/('Assumptions'!$D$51-'Assumptions'!$B$51)),'Assumptions'!$B$51+SQRT(F59*('Assumptions'!$D$51-'Assumptions'!$B$51)*('Assumptions'!$C$51-'Assumptions'!$B$51)),'Assumptions'!$D$51-SQRT((1-F59)*('Assumptions'!$D$51-'Assumptions'!$B$51)*('Assumptions'!$D$51-'Assumptions'!$C$51)))</x:f>
        <x:v>0.06718570778004206</x:v>
      </x:c>
      <x:c r="L59" s="133" t="n">
        <x:f>(('Assumptions'!$B$17*(1+G59)+'Assumptions'!$B$18)*(1-H59-'Assumptions'!$B$20)-SUM('Assumptions'!$B$21:$B$25)*(1+I59))-(('Assumptions'!$B$17*(1+G59)+'Assumptions'!$B$18)*(1-H59-'Assumptions'!$B$20)*'Assumptions'!$B$26)</x:f>
        <x:v>206029.6668878665</x:v>
      </x:c>
      <x:c r="M59" s="133" t="n">
        <x:f>'Assumptions'!$B$10*'Assumptions'!$B$33</x:f>
        <x:v>1950000</x:v>
      </x:c>
      <x:c r="N59" s="133" t="n">
        <x:f>-PMT(K59/12,'Assumptions'!$B$35*12,M59)*12</x:f>
        <x:v>151283.41142473745</x:v>
      </x:c>
      <x:c r="O59" s="133" t="n">
        <x:f>(L59*(1+'Assumptions'!$B$29)^('Assumptions'!$B$14/12)/J59)*(1-'Assumptions'!$B$42)-'Debt Schedule'!$F$9</x:f>
        <x:v>3420919.8553050333</x:v>
      </x:c>
      <x:c r="P59" s="132" t="n">
        <x:f>((O59+(L59-N59-'Assumptions'!$B$27-'Assumptions'!$B$28)*('Assumptions'!$B$14/12))/ABS('Monthly Cash Flow'!$S$5))^(1/('Assumptions'!$B$14/12))-1</x:f>
        <x:v>0.21972058801846495</x:v>
      </x:c>
      <x:c r="Q59" s="133" t="n">
        <x:f>-ABS('Monthly Cash Flow'!$S$5)+((L59-N59-'Assumptions'!$B$27-'Assumptions'!$B$28)*(1-(1+'Assumptions'!$B$43)^-('Assumptions'!$B$14/12))/'Assumptions'!$B$43)+(O59/(1+'Assumptions'!$B$43)^('Assumptions'!$B$14/12))</x:f>
        <x:v>885521.992743281</x:v>
      </x:c>
    </x:row>
    <x:row r="60">
      <x:c r="A60" s="131" t="n">
        <x:f>53</x:f>
        <x:v>53</x:v>
      </x:c>
      <x:c r="B60" s="131" t="n">
        <x:f>MOD(ABS(SIN((A60+1)*12.9898+78.233)*43758.5453),1)</x:f>
        <x:v>0.076608488761849</x:v>
      </x:c>
      <x:c r="C60" s="131" t="n">
        <x:f>MOD(ABS(SIN((A60+2)*12.9898+78.233)*43758.5453),1)</x:f>
        <x:v>0.9104137054091552</x:v>
      </x:c>
      <x:c r="D60" s="131" t="n">
        <x:f>MOD(ABS(SIN((A60+3)*12.9898+78.233)*43758.5453),1)</x:f>
        <x:v>0.2937468927484588</x:v>
      </x:c>
      <x:c r="E60" s="131" t="n">
        <x:f>MOD(ABS(SIN((A60+4)*12.9898+78.233)*43758.5453),1)</x:f>
        <x:v>0.34113794618315296</x:v>
      </x:c>
      <x:c r="F60" s="131" t="n">
        <x:f>MOD(ABS(SIN((A60+5)*12.9898+78.233)*43758.5453),1)</x:f>
        <x:v>0.6167297995343688</x:v>
      </x:c>
      <x:c r="G60" s="132" t="n">
        <x:f>IF(B60&lt;(('Assumptions'!$C$47-'Assumptions'!$B$47)/('Assumptions'!$D$47-'Assumptions'!$B$47)),'Assumptions'!$B$47+SQRT(B60*('Assumptions'!$D$47-'Assumptions'!$B$47)*('Assumptions'!$C$47-'Assumptions'!$B$47)),'Assumptions'!$D$47-SQRT((1-B60)*('Assumptions'!$D$47-'Assumptions'!$B$47)*('Assumptions'!$D$47-'Assumptions'!$C$47)))</x:f>
        <x:v>-0.05712105726251666</x:v>
      </x:c>
      <x:c r="H60" s="132" t="n">
        <x:f>IF(C60&lt;(('Assumptions'!$C$48-'Assumptions'!$B$48)/('Assumptions'!$D$48-'Assumptions'!$B$48)),'Assumptions'!$B$48+SQRT(C60*('Assumptions'!$D$48-'Assumptions'!$B$48)*('Assumptions'!$C$48-'Assumptions'!$B$48)),'Assumptions'!$D$48-SQRT((1-C60)*('Assumptions'!$D$48-'Assumptions'!$B$48)*('Assumptions'!$D$48-'Assumptions'!$C$48)))</x:f>
        <x:v>0.11192226162242704</x:v>
      </x:c>
      <x:c r="I60" s="132" t="n">
        <x:f>IF(D60&lt;(('Assumptions'!$C$49-'Assumptions'!$B$49)/('Assumptions'!$D$49-'Assumptions'!$B$49)),'Assumptions'!$B$49+SQRT(D60*('Assumptions'!$D$49-'Assumptions'!$B$49)*('Assumptions'!$C$49-'Assumptions'!$B$49)),'Assumptions'!$D$49-SQRT((1-D60)*('Assumptions'!$D$49-'Assumptions'!$B$49)*('Assumptions'!$D$49-'Assumptions'!$C$49)))</x:f>
        <x:v>0.026324652166554517</x:v>
      </x:c>
      <x:c r="J60" s="132" t="n">
        <x:f>IF(E60&lt;(('Assumptions'!$C$50-'Assumptions'!$B$50)/('Assumptions'!$D$50-'Assumptions'!$B$50)),'Assumptions'!$B$50+SQRT(E60*('Assumptions'!$D$50-'Assumptions'!$B$50)*('Assumptions'!$C$50-'Assumptions'!$B$50)),'Assumptions'!$D$50-SQRT((1-E60)*('Assumptions'!$D$50-'Assumptions'!$B$50)*('Assumptions'!$D$50-'Assumptions'!$C$50)))</x:f>
        <x:v>0.06626105232784335</x:v>
      </x:c>
      <x:c r="K60" s="132" t="n">
        <x:f>IF(F60&lt;(('Assumptions'!$C$51-'Assumptions'!$B$51)/('Assumptions'!$D$51-'Assumptions'!$B$51)),'Assumptions'!$B$51+SQRT(F60*('Assumptions'!$D$51-'Assumptions'!$B$51)*('Assumptions'!$C$51-'Assumptions'!$B$51)),'Assumptions'!$D$51-SQRT((1-F60)*('Assumptions'!$D$51-'Assumptions'!$B$51)*('Assumptions'!$D$51-'Assumptions'!$C$51)))</x:f>
        <x:v>0.07141880771161513</x:v>
      </x:c>
      <x:c r="L60" s="133" t="n">
        <x:f>(('Assumptions'!$B$17*(1+G60)+'Assumptions'!$B$18)*(1-H60-'Assumptions'!$B$20)-SUM('Assumptions'!$B$21:$B$25)*(1+I60))-(('Assumptions'!$B$17*(1+G60)+'Assumptions'!$B$18)*(1-H60-'Assumptions'!$B$20)*'Assumptions'!$B$26)</x:f>
        <x:v>171985.77806489466</x:v>
      </x:c>
      <x:c r="M60" s="133" t="n">
        <x:f>'Assumptions'!$B$10*'Assumptions'!$B$33</x:f>
        <x:v>1950000</x:v>
      </x:c>
      <x:c r="N60" s="133" t="n">
        <x:f>-PMT(K60/12,'Assumptions'!$B$35*12,M60)*12</x:f>
        <x:v>157916.83926882365</x:v>
      </x:c>
      <x:c r="O60" s="133" t="n">
        <x:f>(L60*(1+'Assumptions'!$B$29)^('Assumptions'!$B$14/12)/J60)*(1-'Assumptions'!$B$42)-'Debt Schedule'!$F$9</x:f>
        <x:v>2828447.9019759814</x:v>
      </x:c>
      <x:c r="P60" s="132" t="n">
        <x:f>((O60+(L60-N60-'Assumptions'!$B$27-'Assumptions'!$B$28)*('Assumptions'!$B$14/12))/ABS('Monthly Cash Flow'!$S$5))^(1/('Assumptions'!$B$14/12))-1</x:f>
        <x:v>0.15827982289539033</x:v>
      </x:c>
      <x:c r="Q60" s="133" t="n">
        <x:f>-ABS('Monthly Cash Flow'!$S$5)+((L60-N60-'Assumptions'!$B$27-'Assumptions'!$B$28)*(1-(1+'Assumptions'!$B$43)^-('Assumptions'!$B$14/12))/'Assumptions'!$B$43)+(O60/(1+'Assumptions'!$B$43)^('Assumptions'!$B$14/12))</x:f>
        <x:v>363444.4897702427</x:v>
      </x:c>
    </x:row>
    <x:row r="61">
      <x:c r="A61" s="131" t="n">
        <x:f>54</x:f>
        <x:v>54</x:v>
      </x:c>
      <x:c r="B61" s="131" t="n">
        <x:f>MOD(ABS(SIN((A61+1)*12.9898+78.233)*43758.5453),1)</x:f>
        <x:v>0.9104137054091552</x:v>
      </x:c>
      <x:c r="C61" s="131" t="n">
        <x:f>MOD(ABS(SIN((A61+2)*12.9898+78.233)*43758.5453),1)</x:f>
        <x:v>0.2937468927484588</x:v>
      </x:c>
      <x:c r="D61" s="131" t="n">
        <x:f>MOD(ABS(SIN((A61+3)*12.9898+78.233)*43758.5453),1)</x:f>
        <x:v>0.34113794618315296</x:v>
      </x:c>
      <x:c r="E61" s="131" t="n">
        <x:f>MOD(ABS(SIN((A61+4)*12.9898+78.233)*43758.5453),1)</x:f>
        <x:v>0.6167297995343688</x:v>
      </x:c>
      <x:c r="F61" s="131" t="n">
        <x:f>MOD(ABS(SIN((A61+5)*12.9898+78.233)*43758.5453),1)</x:f>
        <x:v>0.5945673839996743</x:v>
      </x:c>
      <x:c r="G61" s="132" t="n">
        <x:f>IF(B61&lt;(('Assumptions'!$C$47-'Assumptions'!$B$47)/('Assumptions'!$D$47-'Assumptions'!$B$47)),'Assumptions'!$B$47+SQRT(B61*('Assumptions'!$D$47-'Assumptions'!$B$47)*('Assumptions'!$C$47-'Assumptions'!$B$47)),'Assumptions'!$D$47-SQRT((1-B61)*('Assumptions'!$D$47-'Assumptions'!$B$47)*('Assumptions'!$D$47-'Assumptions'!$C$47)))</x:f>
        <x:v>0.062139985295122824</x:v>
      </x:c>
      <x:c r="H61" s="132" t="n">
        <x:f>IF(C61&lt;(('Assumptions'!$C$48-'Assumptions'!$B$48)/('Assumptions'!$D$48-'Assumptions'!$B$48)),'Assumptions'!$B$48+SQRT(C61*('Assumptions'!$D$48-'Assumptions'!$B$48)*('Assumptions'!$C$48-'Assumptions'!$B$48)),'Assumptions'!$D$48-SQRT((1-C61)*('Assumptions'!$D$48-'Assumptions'!$B$48)*('Assumptions'!$D$48-'Assumptions'!$C$48)))</x:f>
        <x:v>0.06116455528245203</x:v>
      </x:c>
      <x:c r="I61" s="132" t="n">
        <x:f>IF(D61&lt;(('Assumptions'!$C$49-'Assumptions'!$B$49)/('Assumptions'!$D$49-'Assumptions'!$B$49)),'Assumptions'!$B$49+SQRT(D61*('Assumptions'!$D$49-'Assumptions'!$B$49)*('Assumptions'!$C$49-'Assumptions'!$B$49)),'Assumptions'!$D$49-SQRT((1-D61)*('Assumptions'!$D$49-'Assumptions'!$B$49)*('Assumptions'!$D$49-'Assumptions'!$C$49)))</x:f>
        <x:v>0.03070448305806335</x:v>
      </x:c>
      <x:c r="J61" s="132" t="n">
        <x:f>IF(E61&lt;(('Assumptions'!$C$50-'Assumptions'!$B$50)/('Assumptions'!$D$50-'Assumptions'!$B$50)),'Assumptions'!$B$50+SQRT(E61*('Assumptions'!$D$50-'Assumptions'!$B$50)*('Assumptions'!$C$50-'Assumptions'!$B$50)),'Assumptions'!$D$50-SQRT((1-E61)*('Assumptions'!$D$50-'Assumptions'!$B$50)*('Assumptions'!$D$50-'Assumptions'!$C$50)))</x:f>
        <x:v>0.06961757524077546</x:v>
      </x:c>
      <x:c r="K61" s="132" t="n">
        <x:f>IF(F61&lt;(('Assumptions'!$C$51-'Assumptions'!$B$51)/('Assumptions'!$D$51-'Assumptions'!$B$51)),'Assumptions'!$B$51+SQRT(F61*('Assumptions'!$D$51-'Assumptions'!$B$51)*('Assumptions'!$C$51-'Assumptions'!$B$51)),'Assumptions'!$D$51-SQRT((1-F61)*('Assumptions'!$D$51-'Assumptions'!$B$51)*('Assumptions'!$D$51-'Assumptions'!$C$51)))</x:f>
        <x:v>0.07103166271705338</x:v>
      </x:c>
      <x:c r="L61" s="133" t="n">
        <x:f>(('Assumptions'!$B$17*(1+G61)+'Assumptions'!$B$18)*(1-H61-'Assumptions'!$B$20)-SUM('Assumptions'!$B$21:$B$25)*(1+I61))-(('Assumptions'!$B$17*(1+G61)+'Assumptions'!$B$18)*(1-H61-'Assumptions'!$B$20)*'Assumptions'!$B$26)</x:f>
        <x:v>227134.32020864997</x:v>
      </x:c>
      <x:c r="M61" s="133" t="n">
        <x:f>'Assumptions'!$B$10*'Assumptions'!$B$33</x:f>
        <x:v>1950000</x:v>
      </x:c>
      <x:c r="N61" s="133" t="n">
        <x:f>-PMT(K61/12,'Assumptions'!$B$35*12,M61)*12</x:f>
        <x:v>157305.44042061444</x:v>
      </x:c>
      <x:c r="O61" s="133" t="n">
        <x:f>(L61*(1+'Assumptions'!$B$29)^('Assumptions'!$B$14/12)/J61)*(1-'Assumptions'!$B$42)-'Debt Schedule'!$F$9</x:f>
        <x:v>3555313.0400981624</x:v>
      </x:c>
      <x:c r="P61" s="132" t="n">
        <x:f>((O61+(L61-N61-'Assumptions'!$B$27-'Assumptions'!$B$28)*('Assumptions'!$B$14/12))/ABS('Monthly Cash Flow'!$S$5))^(1/('Assumptions'!$B$14/12))-1</x:f>
        <x:v>0.2340265708218474</x:v>
      </x:c>
      <x:c r="Q61" s="133" t="n">
        <x:f>-ABS('Monthly Cash Flow'!$S$5)+((L61-N61-'Assumptions'!$B$27-'Assumptions'!$B$28)*(1-(1+'Assumptions'!$B$43)^-('Assumptions'!$B$14/12))/'Assumptions'!$B$43)+(O61/(1+'Assumptions'!$B$43)^('Assumptions'!$B$14/12))</x:f>
        <x:v>1026144.5995939774</x:v>
      </x:c>
    </x:row>
    <x:row r="62">
      <x:c r="A62" s="131" t="n">
        <x:f>55</x:f>
        <x:v>55</x:v>
      </x:c>
      <x:c r="B62" s="131" t="n">
        <x:f>MOD(ABS(SIN((A62+1)*12.9898+78.233)*43758.5453),1)</x:f>
        <x:v>0.2937468927484588</x:v>
      </x:c>
      <x:c r="C62" s="131" t="n">
        <x:f>MOD(ABS(SIN((A62+2)*12.9898+78.233)*43758.5453),1)</x:f>
        <x:v>0.34113794618315296</x:v>
      </x:c>
      <x:c r="D62" s="131" t="n">
        <x:f>MOD(ABS(SIN((A62+3)*12.9898+78.233)*43758.5453),1)</x:f>
        <x:v>0.6167297995343688</x:v>
      </x:c>
      <x:c r="E62" s="131" t="n">
        <x:f>MOD(ABS(SIN((A62+4)*12.9898+78.233)*43758.5453),1)</x:f>
        <x:v>0.5945673839996743</x:v>
      </x:c>
      <x:c r="F62" s="131" t="n">
        <x:f>MOD(ABS(SIN((A62+5)*12.9898+78.233)*43758.5453),1)</x:f>
        <x:v>0.5136330539680785</x:v>
      </x:c>
      <x:c r="G62" s="132" t="n">
        <x:f>IF(B62&lt;(('Assumptions'!$C$47-'Assumptions'!$B$47)/('Assumptions'!$D$47-'Assumptions'!$B$47)),'Assumptions'!$B$47+SQRT(B62*('Assumptions'!$D$47-'Assumptions'!$B$47)*('Assumptions'!$C$47-'Assumptions'!$B$47)),'Assumptions'!$D$47-SQRT((1-B62)*('Assumptions'!$D$47-'Assumptions'!$B$47)*('Assumptions'!$D$47-'Assumptions'!$C$47)))</x:f>
        <x:v>-0.016036165964368868</x:v>
      </x:c>
      <x:c r="H62" s="132" t="n">
        <x:f>IF(C62&lt;(('Assumptions'!$C$48-'Assumptions'!$B$48)/('Assumptions'!$D$48-'Assumptions'!$B$48)),'Assumptions'!$B$48+SQRT(C62*('Assumptions'!$D$48-'Assumptions'!$B$48)*('Assumptions'!$C$48-'Assumptions'!$B$48)),'Assumptions'!$D$48-SQRT((1-C62)*('Assumptions'!$D$48-'Assumptions'!$B$48)*('Assumptions'!$D$48-'Assumptions'!$C$48)))</x:f>
        <x:v>0.06385549216398957</x:v>
      </x:c>
      <x:c r="I62" s="132" t="n">
        <x:f>IF(D62&lt;(('Assumptions'!$C$49-'Assumptions'!$B$49)/('Assumptions'!$D$49-'Assumptions'!$B$49)),'Assumptions'!$B$49+SQRT(D62*('Assumptions'!$D$49-'Assumptions'!$B$49)*('Assumptions'!$C$49-'Assumptions'!$B$49)),'Assumptions'!$D$49-SQRT((1-D62)*('Assumptions'!$D$49-'Assumptions'!$B$49)*('Assumptions'!$D$49-'Assumptions'!$C$49)))</x:f>
        <x:v>0.05901298812436122</x:v>
      </x:c>
      <x:c r="J62" s="132" t="n">
        <x:f>IF(E62&lt;(('Assumptions'!$C$50-'Assumptions'!$B$50)/('Assumptions'!$D$50-'Assumptions'!$B$50)),'Assumptions'!$B$50+SQRT(E62*('Assumptions'!$D$50-'Assumptions'!$B$50)*('Assumptions'!$C$50-'Assumptions'!$B$50)),'Assumptions'!$D$50-SQRT((1-E62)*('Assumptions'!$D$50-'Assumptions'!$B$50)*('Assumptions'!$D$50-'Assumptions'!$C$50)))</x:f>
        <x:v>0.06932161420203917</x:v>
      </x:c>
      <x:c r="K62" s="132" t="n">
        <x:f>IF(F62&lt;(('Assumptions'!$C$51-'Assumptions'!$B$51)/('Assumptions'!$D$51-'Assumptions'!$B$51)),'Assumptions'!$B$51+SQRT(F62*('Assumptions'!$D$51-'Assumptions'!$B$51)*('Assumptions'!$C$51-'Assumptions'!$B$51)),'Assumptions'!$D$51-SQRT((1-F62)*('Assumptions'!$D$51-'Assumptions'!$B$51)*('Assumptions'!$D$51-'Assumptions'!$C$51)))</x:f>
        <x:v>0.06970084666467252</x:v>
      </x:c>
      <x:c r="L62" s="133" t="n">
        <x:f>(('Assumptions'!$B$17*(1+G62)+'Assumptions'!$B$18)*(1-H62-'Assumptions'!$B$20)-SUM('Assumptions'!$B$21:$B$25)*(1+I62))-(('Assumptions'!$B$17*(1+G62)+'Assumptions'!$B$18)*(1-H62-'Assumptions'!$B$20)*'Assumptions'!$B$26)</x:f>
        <x:v>197510.89798868797</x:v>
      </x:c>
      <x:c r="M62" s="133" t="n">
        <x:f>'Assumptions'!$B$10*'Assumptions'!$B$33</x:f>
        <x:v>1950000</x:v>
      </x:c>
      <x:c r="N62" s="133" t="n">
        <x:f>-PMT(K62/12,'Assumptions'!$B$35*12,M62)*12</x:f>
        <x:v>155210.93770996033</x:v>
      </x:c>
      <x:c r="O62" s="133" t="n">
        <x:f>(L62*(1+'Assumptions'!$B$29)^('Assumptions'!$B$14/12)/J62)*(1-'Assumptions'!$B$42)-'Debt Schedule'!$F$9</x:f>
        <x:v>3104819.616532629</x:v>
      </x:c>
      <x:c r="P62" s="132" t="n">
        <x:f>((O62+(L62-N62-'Assumptions'!$B$27-'Assumptions'!$B$28)*('Assumptions'!$B$14/12))/ABS('Monthly Cash Flow'!$S$5))^(1/('Assumptions'!$B$14/12))-1</x:f>
        <x:v>0.19208708314159462</x:v>
      </x:c>
      <x:c r="Q62" s="133" t="n">
        <x:f>-ABS('Monthly Cash Flow'!$S$5)+((L62-N62-'Assumptions'!$B$27-'Assumptions'!$B$28)*(1-(1+'Assumptions'!$B$43)^-('Assumptions'!$B$14/12))/'Assumptions'!$B$43)+(O62/(1+'Assumptions'!$B$43)^('Assumptions'!$B$14/12))</x:f>
        <x:v>642067.3631522239</x:v>
      </x:c>
    </x:row>
    <x:row r="63">
      <x:c r="A63" s="131" t="n">
        <x:f>56</x:f>
        <x:v>56</x:v>
      </x:c>
      <x:c r="B63" s="131" t="n">
        <x:f>MOD(ABS(SIN((A63+1)*12.9898+78.233)*43758.5453),1)</x:f>
        <x:v>0.34113794618315296</x:v>
      </x:c>
      <x:c r="C63" s="131" t="n">
        <x:f>MOD(ABS(SIN((A63+2)*12.9898+78.233)*43758.5453),1)</x:f>
        <x:v>0.6167297995343688</x:v>
      </x:c>
      <x:c r="D63" s="131" t="n">
        <x:f>MOD(ABS(SIN((A63+3)*12.9898+78.233)*43758.5453),1)</x:f>
        <x:v>0.5945673839996743</x:v>
      </x:c>
      <x:c r="E63" s="131" t="n">
        <x:f>MOD(ABS(SIN((A63+4)*12.9898+78.233)*43758.5453),1)</x:f>
        <x:v>0.5136330539680785</x:v>
      </x:c>
      <x:c r="F63" s="131" t="n">
        <x:f>MOD(ABS(SIN((A63+5)*12.9898+78.233)*43758.5453),1)</x:f>
        <x:v>0.7165553128288593</x:v>
      </x:c>
      <x:c r="G63" s="132" t="n">
        <x:f>IF(B63&lt;(('Assumptions'!$C$47-'Assumptions'!$B$47)/('Assumptions'!$D$47-'Assumptions'!$B$47)),'Assumptions'!$B$47+SQRT(B63*('Assumptions'!$D$47-'Assumptions'!$B$47)*('Assumptions'!$C$47-'Assumptions'!$B$47)),'Assumptions'!$D$47-SQRT((1-B63)*('Assumptions'!$D$47-'Assumptions'!$B$47)*('Assumptions'!$D$47-'Assumptions'!$C$47)))</x:f>
        <x:v>-0.009516240637362602</x:v>
      </x:c>
      <x:c r="H63" s="132" t="n">
        <x:f>IF(C63&lt;(('Assumptions'!$C$48-'Assumptions'!$B$48)/('Assumptions'!$D$48-'Assumptions'!$B$48)),'Assumptions'!$B$48+SQRT(C63*('Assumptions'!$D$48-'Assumptions'!$B$48)*('Assumptions'!$C$48-'Assumptions'!$B$48)),'Assumptions'!$D$48-SQRT((1-C63)*('Assumptions'!$D$48-'Assumptions'!$B$48)*('Assumptions'!$D$48-'Assumptions'!$C$48)))</x:f>
        <x:v>0.08192437891767705</x:v>
      </x:c>
      <x:c r="I63" s="132" t="n">
        <x:f>IF(D63&lt;(('Assumptions'!$C$49-'Assumptions'!$B$49)/('Assumptions'!$D$49-'Assumptions'!$B$49)),'Assumptions'!$B$49+SQRT(D63*('Assumptions'!$D$49-'Assumptions'!$B$49)*('Assumptions'!$C$49-'Assumptions'!$B$49)),'Assumptions'!$D$49-SQRT((1-D63)*('Assumptions'!$D$49-'Assumptions'!$B$49)*('Assumptions'!$D$49-'Assumptions'!$C$49)))</x:f>
        <x:v>0.05641931553142479</x:v>
      </x:c>
      <x:c r="J63" s="132" t="n">
        <x:f>IF(E63&lt;(('Assumptions'!$C$50-'Assumptions'!$B$50)/('Assumptions'!$D$50-'Assumptions'!$B$50)),'Assumptions'!$B$50+SQRT(E63*('Assumptions'!$D$50-'Assumptions'!$B$50)*('Assumptions'!$C$50-'Assumptions'!$B$50)),'Assumptions'!$D$50-SQRT((1-E63)*('Assumptions'!$D$50-'Assumptions'!$B$50)*('Assumptions'!$D$50-'Assumptions'!$C$50)))</x:f>
        <x:v>0.06830424420691515</x:v>
      </x:c>
      <x:c r="K63" s="132" t="n">
        <x:f>IF(F63&lt;(('Assumptions'!$C$51-'Assumptions'!$B$51)/('Assumptions'!$D$51-'Assumptions'!$B$51)),'Assumptions'!$B$51+SQRT(F63*('Assumptions'!$D$51-'Assumptions'!$B$51)*('Assumptions'!$C$51-'Assumptions'!$B$51)),'Assumptions'!$D$51-SQRT((1-F63)*('Assumptions'!$D$51-'Assumptions'!$B$51)*('Assumptions'!$D$51-'Assumptions'!$C$51)))</x:f>
        <x:v>0.07332062691318103</x:v>
      </x:c>
      <x:c r="L63" s="133" t="n">
        <x:f>(('Assumptions'!$B$17*(1+G63)+'Assumptions'!$B$18)*(1-H63-'Assumptions'!$B$20)-SUM('Assumptions'!$B$21:$B$25)*(1+I63))-(('Assumptions'!$B$17*(1+G63)+'Assumptions'!$B$18)*(1-H63-'Assumptions'!$B$20)*'Assumptions'!$B$26)</x:f>
        <x:v>193427.15692785365</x:v>
      </x:c>
      <x:c r="M63" s="133" t="n">
        <x:f>'Assumptions'!$B$10*'Assumptions'!$B$33</x:f>
        <x:v>1950000</x:v>
      </x:c>
      <x:c r="N63" s="133" t="n">
        <x:f>-PMT(K63/12,'Assumptions'!$B$35*12,M63)*12</x:f>
        <x:v>160933.7814235519</x:v>
      </x:c>
      <x:c r="O63" s="133" t="n">
        <x:f>(L63*(1+'Assumptions'!$B$29)^('Assumptions'!$B$14/12)/J63)*(1-'Assumptions'!$B$42)-'Debt Schedule'!$F$9</x:f>
        <x:v>3085913.407605756</x:v>
      </x:c>
      <x:c r="P63" s="132" t="n">
        <x:f>((O63+(L63-N63-'Assumptions'!$B$27-'Assumptions'!$B$28)*('Assumptions'!$B$14/12))/ABS('Monthly Cash Flow'!$S$5))^(1/('Assumptions'!$B$14/12))-1</x:f>
        <x:v>0.18684339687631568</x:v>
      </x:c>
      <x:c r="Q63" s="133" t="n">
        <x:f>-ABS('Monthly Cash Flow'!$S$5)+((L63-N63-'Assumptions'!$B$27-'Assumptions'!$B$28)*(1-(1+'Assumptions'!$B$43)^-('Assumptions'!$B$14/12))/'Assumptions'!$B$43)+(O63/(1+'Assumptions'!$B$43)^('Assumptions'!$B$14/12))</x:f>
        <x:v>593153.4230753412</x:v>
      </x:c>
    </x:row>
    <x:row r="64">
      <x:c r="A64" s="131" t="n">
        <x:f>57</x:f>
        <x:v>57</x:v>
      </x:c>
      <x:c r="B64" s="131" t="n">
        <x:f>MOD(ABS(SIN((A64+1)*12.9898+78.233)*43758.5453),1)</x:f>
        <x:v>0.6167297995343688</x:v>
      </x:c>
      <x:c r="C64" s="131" t="n">
        <x:f>MOD(ABS(SIN((A64+2)*12.9898+78.233)*43758.5453),1)</x:f>
        <x:v>0.5945673839996743</x:v>
      </x:c>
      <x:c r="D64" s="131" t="n">
        <x:f>MOD(ABS(SIN((A64+3)*12.9898+78.233)*43758.5453),1)</x:f>
        <x:v>0.5136330539680785</x:v>
      </x:c>
      <x:c r="E64" s="131" t="n">
        <x:f>MOD(ABS(SIN((A64+4)*12.9898+78.233)*43758.5453),1)</x:f>
        <x:v>0.7165553128288593</x:v>
      </x:c>
      <x:c r="F64" s="131" t="n">
        <x:f>MOD(ABS(SIN((A64+5)*12.9898+78.233)*43758.5453),1)</x:f>
        <x:v>0.05979465334530687</x:v>
      </x:c>
      <x:c r="G64" s="132" t="n">
        <x:f>IF(B64&lt;(('Assumptions'!$C$47-'Assumptions'!$B$47)/('Assumptions'!$D$47-'Assumptions'!$B$47)),'Assumptions'!$B$47+SQRT(B64*('Assumptions'!$D$47-'Assumptions'!$B$47)*('Assumptions'!$C$47-'Assumptions'!$B$47)),'Assumptions'!$D$47-SQRT((1-B64)*('Assumptions'!$D$47-'Assumptions'!$B$47)*('Assumptions'!$D$47-'Assumptions'!$C$47)))</x:f>
        <x:v>0.02169084850766101</x:v>
      </x:c>
      <x:c r="H64" s="132" t="n">
        <x:f>IF(C64&lt;(('Assumptions'!$C$48-'Assumptions'!$B$48)/('Assumptions'!$D$48-'Assumptions'!$B$48)),'Assumptions'!$B$48+SQRT(C64*('Assumptions'!$D$48-'Assumptions'!$B$48)*('Assumptions'!$C$48-'Assumptions'!$B$48)),'Assumptions'!$D$48-SQRT((1-C64)*('Assumptions'!$D$48-'Assumptions'!$B$48)*('Assumptions'!$D$48-'Assumptions'!$C$48)))</x:f>
        <x:v>0.08026887728492904</x:v>
      </x:c>
      <x:c r="I64" s="132" t="n">
        <x:f>IF(D64&lt;(('Assumptions'!$C$49-'Assumptions'!$B$49)/('Assumptions'!$D$49-'Assumptions'!$B$49)),'Assumptions'!$B$49+SQRT(D64*('Assumptions'!$D$49-'Assumptions'!$B$49)*('Assumptions'!$C$49-'Assumptions'!$B$49)),'Assumptions'!$D$49-SQRT((1-D64)*('Assumptions'!$D$49-'Assumptions'!$B$49)*('Assumptions'!$D$49-'Assumptions'!$C$49)))</x:f>
        <x:v>0.04750353160089121</x:v>
      </x:c>
      <x:c r="J64" s="132" t="n">
        <x:f>IF(E64&lt;(('Assumptions'!$C$50-'Assumptions'!$B$50)/('Assumptions'!$D$50-'Assumptions'!$B$50)),'Assumptions'!$B$50+SQRT(E64*('Assumptions'!$D$50-'Assumptions'!$B$50)*('Assumptions'!$C$50-'Assumptions'!$B$50)),'Assumptions'!$D$50-SQRT((1-E64)*('Assumptions'!$D$50-'Assumptions'!$B$50)*('Assumptions'!$D$50-'Assumptions'!$C$50)))</x:f>
        <x:v>0.07107146046282578</x:v>
      </x:c>
      <x:c r="K64" s="132" t="n">
        <x:f>IF(F64&lt;(('Assumptions'!$C$51-'Assumptions'!$B$51)/('Assumptions'!$D$51-'Assumptions'!$B$51)),'Assumptions'!$B$51+SQRT(F64*('Assumptions'!$D$51-'Assumptions'!$B$51)*('Assumptions'!$C$51-'Assumptions'!$B$51)),'Assumptions'!$D$51-SQRT((1-F64)*('Assumptions'!$D$51-'Assumptions'!$B$51)*('Assumptions'!$D$51-'Assumptions'!$C$51)))</x:f>
        <x:v>0.06155506222763096</x:v>
      </x:c>
      <x:c r="L64" s="133" t="n">
        <x:f>(('Assumptions'!$B$17*(1+G64)+'Assumptions'!$B$18)*(1-H64-'Assumptions'!$B$20)-SUM('Assumptions'!$B$21:$B$25)*(1+I64))-(('Assumptions'!$B$17*(1+G64)+'Assumptions'!$B$18)*(1-H64-'Assumptions'!$B$20)*'Assumptions'!$B$26)</x:f>
        <x:v>204957.45432121534</x:v>
      </x:c>
      <x:c r="M64" s="133" t="n">
        <x:f>'Assumptions'!$B$10*'Assumptions'!$B$33</x:f>
        <x:v>1950000</x:v>
      </x:c>
      <x:c r="N64" s="133" t="n">
        <x:f>-PMT(K64/12,'Assumptions'!$B$35*12,M64)*12</x:f>
        <x:v>142642.8171681301</x:v>
      </x:c>
      <x:c r="O64" s="133" t="n">
        <x:f>(L64*(1+'Assumptions'!$B$29)^('Assumptions'!$B$14/12)/J64)*(1-'Assumptions'!$B$42)-'Debt Schedule'!$F$9</x:f>
        <x:v>3142551.875069272</x:v>
      </x:c>
      <x:c r="P64" s="132" t="n">
        <x:f>((O64+(L64-N64-'Assumptions'!$B$27-'Assumptions'!$B$28)*('Assumptions'!$B$14/12))/ABS('Monthly Cash Flow'!$S$5))^(1/('Assumptions'!$B$14/12))-1</x:f>
        <x:v>0.20244836715697034</x:v>
      </x:c>
      <x:c r="Q64" s="133" t="n">
        <x:f>-ABS('Monthly Cash Flow'!$S$5)+((L64-N64-'Assumptions'!$B$27-'Assumptions'!$B$28)*(1-(1+'Assumptions'!$B$43)^-('Assumptions'!$B$14/12))/'Assumptions'!$B$43)+(O64/(1+'Assumptions'!$B$43)^('Assumptions'!$B$14/12))</x:f>
        <x:v>741367.4993341062</x:v>
      </x:c>
    </x:row>
    <x:row r="65">
      <x:c r="A65" s="131" t="n">
        <x:f>58</x:f>
        <x:v>58</x:v>
      </x:c>
      <x:c r="B65" s="131" t="n">
        <x:f>MOD(ABS(SIN((A65+1)*12.9898+78.233)*43758.5453),1)</x:f>
        <x:v>0.5945673839996743</x:v>
      </x:c>
      <x:c r="C65" s="131" t="n">
        <x:f>MOD(ABS(SIN((A65+2)*12.9898+78.233)*43758.5453),1)</x:f>
        <x:v>0.5136330539680785</x:v>
      </x:c>
      <x:c r="D65" s="131" t="n">
        <x:f>MOD(ABS(SIN((A65+3)*12.9898+78.233)*43758.5453),1)</x:f>
        <x:v>0.7165553128288593</x:v>
      </x:c>
      <x:c r="E65" s="131" t="n">
        <x:f>MOD(ABS(SIN((A65+4)*12.9898+78.233)*43758.5453),1)</x:f>
        <x:v>0.05979465334530687</x:v>
      </x:c>
      <x:c r="F65" s="131" t="n">
        <x:f>MOD(ABS(SIN((A65+5)*12.9898+78.233)*43758.5453),1)</x:f>
        <x:v>0.04438450207817368</x:v>
      </x:c>
      <x:c r="G65" s="132" t="n">
        <x:f>IF(B65&lt;(('Assumptions'!$C$47-'Assumptions'!$B$47)/('Assumptions'!$D$47-'Assumptions'!$B$47)),'Assumptions'!$B$47+SQRT(B65*('Assumptions'!$D$47-'Assumptions'!$B$47)*('Assumptions'!$C$47-'Assumptions'!$B$47)),'Assumptions'!$D$47-SQRT((1-B65)*('Assumptions'!$D$47-'Assumptions'!$B$47)*('Assumptions'!$D$47-'Assumptions'!$C$47)))</x:f>
        <x:v>0.019455503079565922</x:v>
      </x:c>
      <x:c r="H65" s="132" t="n">
        <x:f>IF(C65&lt;(('Assumptions'!$C$48-'Assumptions'!$B$48)/('Assumptions'!$D$48-'Assumptions'!$B$48)),'Assumptions'!$B$48+SQRT(C65*('Assumptions'!$D$48-'Assumptions'!$B$48)*('Assumptions'!$C$48-'Assumptions'!$B$48)),'Assumptions'!$D$48-SQRT((1-C65)*('Assumptions'!$D$48-'Assumptions'!$B$48)*('Assumptions'!$D$48-'Assumptions'!$C$48)))</x:f>
        <x:v>0.07457806847026825</x:v>
      </x:c>
      <x:c r="I65" s="132" t="n">
        <x:f>IF(D65&lt;(('Assumptions'!$C$49-'Assumptions'!$B$49)/('Assumptions'!$D$49-'Assumptions'!$B$49)),'Assumptions'!$B$49+SQRT(D65*('Assumptions'!$D$49-'Assumptions'!$B$49)*('Assumptions'!$C$49-'Assumptions'!$B$49)),'Assumptions'!$D$49-SQRT((1-D65)*('Assumptions'!$D$49-'Assumptions'!$B$49)*('Assumptions'!$D$49-'Assumptions'!$C$49)))</x:f>
        <x:v>0.07175419983860706</x:v>
      </x:c>
      <x:c r="J65" s="132" t="n">
        <x:f>IF(E65&lt;(('Assumptions'!$C$50-'Assumptions'!$B$50)/('Assumptions'!$D$50-'Assumptions'!$B$50)),'Assumptions'!$B$50+SQRT(E65*('Assumptions'!$D$50-'Assumptions'!$B$50)*('Assumptions'!$C$50-'Assumptions'!$B$50)),'Assumptions'!$D$50-SQRT((1-E65)*('Assumptions'!$D$50-'Assumptions'!$B$50)*('Assumptions'!$D$50-'Assumptions'!$C$50)))</x:f>
        <x:v>0.061167941793798544</x:v>
      </x:c>
      <x:c r="K65" s="132" t="n">
        <x:f>IF(F65&lt;(('Assumptions'!$C$51-'Assumptions'!$B$51)/('Assumptions'!$D$51-'Assumptions'!$B$51)),'Assumptions'!$B$51+SQRT(F65*('Assumptions'!$D$51-'Assumptions'!$B$51)*('Assumptions'!$C$51-'Assumptions'!$B$51)),'Assumptions'!$D$51-SQRT((1-F65)*('Assumptions'!$D$51-'Assumptions'!$B$51)*('Assumptions'!$D$51-'Assumptions'!$C$51)))</x:f>
        <x:v>0.060993671145299425</x:v>
      </x:c>
      <x:c r="L65" s="133" t="n">
        <x:f>(('Assumptions'!$B$17*(1+G65)+'Assumptions'!$B$18)*(1-H65-'Assumptions'!$B$20)-SUM('Assumptions'!$B$21:$B$25)*(1+I65))-(('Assumptions'!$B$17*(1+G65)+'Assumptions'!$B$18)*(1-H65-'Assumptions'!$B$20)*'Assumptions'!$B$26)</x:f>
        <x:v>203302.41533212207</x:v>
      </x:c>
      <x:c r="M65" s="133" t="n">
        <x:f>'Assumptions'!$B$10*'Assumptions'!$B$33</x:f>
        <x:v>1950000</x:v>
      </x:c>
      <x:c r="N65" s="133" t="n">
        <x:f>-PMT(K65/12,'Assumptions'!$B$35*12,M65)*12</x:f>
        <x:v>141793.21407733366</x:v>
      </x:c>
      <x:c r="O65" s="133" t="n">
        <x:f>(L65*(1+'Assumptions'!$B$29)^('Assumptions'!$B$14/12)/J65)*(1-'Assumptions'!$B$42)-'Debt Schedule'!$F$9</x:f>
        <x:v>3621868.2479738886</x:v>
      </x:c>
      <x:c r="P65" s="132" t="n">
        <x:f>((O65+(L65-N65-'Assumptions'!$B$27-'Assumptions'!$B$28)*('Assumptions'!$B$14/12))/ABS('Monthly Cash Flow'!$S$5))^(1/('Assumptions'!$B$14/12))-1</x:f>
        <x:v>0.23568482794118428</x:v>
      </x:c>
      <x:c r="Q65" s="133" t="n">
        <x:f>-ABS('Monthly Cash Flow'!$S$5)+((L65-N65-'Assumptions'!$B$27-'Assumptions'!$B$28)*(1-(1+'Assumptions'!$B$43)^-('Assumptions'!$B$14/12))/'Assumptions'!$B$43)+(O65/(1+'Assumptions'!$B$43)^('Assumptions'!$B$14/12))</x:f>
        <x:v>1035932.020015086</x:v>
      </x:c>
    </x:row>
    <x:row r="66">
      <x:c r="A66" s="131" t="n">
        <x:f>59</x:f>
        <x:v>59</x:v>
      </x:c>
      <x:c r="B66" s="131" t="n">
        <x:f>MOD(ABS(SIN((A66+1)*12.9898+78.233)*43758.5453),1)</x:f>
        <x:v>0.5136330539680785</x:v>
      </x:c>
      <x:c r="C66" s="131" t="n">
        <x:f>MOD(ABS(SIN((A66+2)*12.9898+78.233)*43758.5453),1)</x:f>
        <x:v>0.7165553128288593</x:v>
      </x:c>
      <x:c r="D66" s="131" t="n">
        <x:f>MOD(ABS(SIN((A66+3)*12.9898+78.233)*43758.5453),1)</x:f>
        <x:v>0.05979465334530687</x:v>
      </x:c>
      <x:c r="E66" s="131" t="n">
        <x:f>MOD(ABS(SIN((A66+4)*12.9898+78.233)*43758.5453),1)</x:f>
        <x:v>0.04438450207817368</x:v>
      </x:c>
      <x:c r="F66" s="131" t="n">
        <x:f>MOD(ABS(SIN((A66+5)*12.9898+78.233)*43758.5453),1)</x:f>
        <x:v>0.8604801883921027</x:v>
      </x:c>
      <x:c r="G66" s="132" t="n">
        <x:f>IF(B66&lt;(('Assumptions'!$C$47-'Assumptions'!$B$47)/('Assumptions'!$D$47-'Assumptions'!$B$47)),'Assumptions'!$B$47+SQRT(B66*('Assumptions'!$D$47-'Assumptions'!$B$47)*('Assumptions'!$C$47-'Assumptions'!$B$47)),'Assumptions'!$D$47-SQRT((1-B66)*('Assumptions'!$D$47-'Assumptions'!$B$47)*('Assumptions'!$D$47-'Assumptions'!$C$47)))</x:f>
        <x:v>0.011027894221379717</x:v>
      </x:c>
      <x:c r="H66" s="132" t="n">
        <x:f>IF(C66&lt;(('Assumptions'!$C$48-'Assumptions'!$B$48)/('Assumptions'!$D$48-'Assumptions'!$B$48)),'Assumptions'!$B$48+SQRT(C66*('Assumptions'!$D$48-'Assumptions'!$B$48)*('Assumptions'!$C$48-'Assumptions'!$B$48)),'Assumptions'!$D$48-SQRT((1-C66)*('Assumptions'!$D$48-'Assumptions'!$B$48)*('Assumptions'!$D$48-'Assumptions'!$C$48)))</x:f>
        <x:v>0.09005689990493143</x:v>
      </x:c>
      <x:c r="I66" s="132" t="n">
        <x:f>IF(D66&lt;(('Assumptions'!$C$49-'Assumptions'!$B$49)/('Assumptions'!$D$49-'Assumptions'!$B$49)),'Assumptions'!$B$49+SQRT(D66*('Assumptions'!$D$49-'Assumptions'!$B$49)*('Assumptions'!$C$49-'Assumptions'!$B$49)),'Assumptions'!$D$49-SQRT((1-D66)*('Assumptions'!$D$49-'Assumptions'!$B$49)*('Assumptions'!$D$49-'Assumptions'!$C$49)))</x:f>
        <x:v>-0.0045877538157424146</x:v>
      </x:c>
      <x:c r="J66" s="132" t="n">
        <x:f>IF(E66&lt;(('Assumptions'!$C$50-'Assumptions'!$B$50)/('Assumptions'!$D$50-'Assumptions'!$B$50)),'Assumptions'!$B$50+SQRT(E66*('Assumptions'!$D$50-'Assumptions'!$B$50)*('Assumptions'!$C$50-'Assumptions'!$B$50)),'Assumptions'!$D$50-SQRT((1-E66)*('Assumptions'!$D$50-'Assumptions'!$B$50)*('Assumptions'!$D$50-'Assumptions'!$C$50)))</x:f>
        <x:v>0.06066014445359529</x:v>
      </x:c>
      <x:c r="K66" s="132" t="n">
        <x:f>IF(F66&lt;(('Assumptions'!$C$51-'Assumptions'!$B$51)/('Assumptions'!$D$51-'Assumptions'!$B$51)),'Assumptions'!$B$51+SQRT(F66*('Assumptions'!$D$51-'Assumptions'!$B$51)*('Assumptions'!$C$51-'Assumptions'!$B$51)),'Assumptions'!$D$51-SQRT((1-F66)*('Assumptions'!$D$51-'Assumptions'!$B$51)*('Assumptions'!$D$51-'Assumptions'!$C$51)))</x:f>
        <x:v>0.07680586128160498</x:v>
      </x:c>
      <x:c r="L66" s="133" t="n">
        <x:f>(('Assumptions'!$B$17*(1+G66)+'Assumptions'!$B$18)*(1-H66-'Assumptions'!$B$20)-SUM('Assumptions'!$B$21:$B$25)*(1+I66))-(('Assumptions'!$B$17*(1+G66)+'Assumptions'!$B$18)*(1-H66-'Assumptions'!$B$20)*'Assumptions'!$B$26)</x:f>
        <x:v>204579.3085026925</x:v>
      </x:c>
      <x:c r="M66" s="133" t="n">
        <x:f>'Assumptions'!$B$10*'Assumptions'!$B$33</x:f>
        <x:v>1950000</x:v>
      </x:c>
      <x:c r="N66" s="133" t="n">
        <x:f>-PMT(K66/12,'Assumptions'!$B$35*12,M66)*12</x:f>
        <x:v>166519.42802610373</x:v>
      </x:c>
      <x:c r="O66" s="133" t="n">
        <x:f>(L66*(1+'Assumptions'!$B$29)^('Assumptions'!$B$14/12)/J66)*(1-'Assumptions'!$B$42)-'Debt Schedule'!$F$9</x:f>
        <x:v>3675126.084587756</x:v>
      </x:c>
      <x:c r="P66" s="132" t="n">
        <x:f>((O66+(L66-N66-'Assumptions'!$B$27-'Assumptions'!$B$28)*('Assumptions'!$B$14/12))/ABS('Monthly Cash Flow'!$S$5))^(1/('Assumptions'!$B$14/12))-1</x:f>
        <x:v>0.23141508119277487</x:v>
      </x:c>
      <x:c r="Q66" s="133" t="n">
        <x:f>-ABS('Monthly Cash Flow'!$S$5)+((L66-N66-'Assumptions'!$B$27-'Assumptions'!$B$28)*(1-(1+'Assumptions'!$B$43)^-('Assumptions'!$B$14/12))/'Assumptions'!$B$43)+(O66/(1+'Assumptions'!$B$43)^('Assumptions'!$B$14/12))</x:f>
        <x:v>980109.5714310233</x:v>
      </x:c>
    </x:row>
    <x:row r="67">
      <x:c r="A67" s="131" t="n">
        <x:f>60</x:f>
        <x:v>60</x:v>
      </x:c>
      <x:c r="B67" s="131" t="n">
        <x:f>MOD(ABS(SIN((A67+1)*12.9898+78.233)*43758.5453),1)</x:f>
        <x:v>0.7165553128288593</x:v>
      </x:c>
      <x:c r="C67" s="131" t="n">
        <x:f>MOD(ABS(SIN((A67+2)*12.9898+78.233)*43758.5453),1)</x:f>
        <x:v>0.05979465334530687</x:v>
      </x:c>
      <x:c r="D67" s="131" t="n">
        <x:f>MOD(ABS(SIN((A67+3)*12.9898+78.233)*43758.5453),1)</x:f>
        <x:v>0.04438450207817368</x:v>
      </x:c>
      <x:c r="E67" s="131" t="n">
        <x:f>MOD(ABS(SIN((A67+4)*12.9898+78.233)*43758.5453),1)</x:f>
        <x:v>0.8604801883921027</x:v>
      </x:c>
      <x:c r="F67" s="131" t="n">
        <x:f>MOD(ABS(SIN((A67+5)*12.9898+78.233)*43758.5453),1)</x:f>
        <x:v>0.30062097749032546</x:v>
      </x:c>
      <x:c r="G67" s="132" t="n">
        <x:f>IF(B67&lt;(('Assumptions'!$C$47-'Assumptions'!$B$47)/('Assumptions'!$D$47-'Assumptions'!$B$47)),'Assumptions'!$B$47+SQRT(B67*('Assumptions'!$D$47-'Assumptions'!$B$47)*('Assumptions'!$C$47-'Assumptions'!$B$47)),'Assumptions'!$D$47-SQRT((1-B67)*('Assumptions'!$D$47-'Assumptions'!$B$47)*('Assumptions'!$D$47-'Assumptions'!$C$47)))</x:f>
        <x:v>0.03265673756983367</x:v>
      </x:c>
      <x:c r="H67" s="132" t="n">
        <x:f>IF(C67&lt;(('Assumptions'!$C$48-'Assumptions'!$B$48)/('Assumptions'!$D$48-'Assumptions'!$B$48)),'Assumptions'!$B$48+SQRT(C67*('Assumptions'!$D$48-'Assumptions'!$B$48)*('Assumptions'!$C$48-'Assumptions'!$B$48)),'Assumptions'!$D$48-SQRT((1-C67)*('Assumptions'!$D$48-'Assumptions'!$B$48)*('Assumptions'!$D$48-'Assumptions'!$C$48)))</x:f>
        <x:v>0.04404714761222052</x:v>
      </x:c>
      <x:c r="I67" s="132" t="n">
        <x:f>IF(D67&lt;(('Assumptions'!$C$49-'Assumptions'!$B$49)/('Assumptions'!$D$49-'Assumptions'!$B$49)),'Assumptions'!$B$49+SQRT(D67*('Assumptions'!$D$49-'Assumptions'!$B$49)*('Assumptions'!$C$49-'Assumptions'!$B$49)),'Assumptions'!$D$49-SQRT((1-D67)*('Assumptions'!$D$49-'Assumptions'!$B$49)*('Assumptions'!$D$49-'Assumptions'!$C$49)))</x:f>
        <x:v>-0.008105876988463875</x:v>
      </x:c>
      <x:c r="J67" s="132" t="n">
        <x:f>IF(E67&lt;(('Assumptions'!$C$50-'Assumptions'!$B$50)/('Assumptions'!$D$50-'Assumptions'!$B$50)),'Assumptions'!$B$50+SQRT(E67*('Assumptions'!$D$50-'Assumptions'!$B$50)*('Assumptions'!$C$50-'Assumptions'!$B$50)),'Assumptions'!$D$50-SQRT((1-E67)*('Assumptions'!$D$50-'Assumptions'!$B$50)*('Assumptions'!$D$50-'Assumptions'!$C$50)))</x:f>
        <x:v>0.0737358203238795</x:v>
      </x:c>
      <x:c r="K67" s="132" t="n">
        <x:f>IF(F67&lt;(('Assumptions'!$C$51-'Assumptions'!$B$51)/('Assumptions'!$D$51-'Assumptions'!$B$51)),'Assumptions'!$B$51+SQRT(F67*('Assumptions'!$D$51-'Assumptions'!$B$51)*('Assumptions'!$C$51-'Assumptions'!$B$51)),'Assumptions'!$D$51-SQRT((1-F67)*('Assumptions'!$D$51-'Assumptions'!$B$51)*('Assumptions'!$D$51-'Assumptions'!$C$51)))</x:f>
        <x:v>0.06659234671632355</x:v>
      </x:c>
      <x:c r="L67" s="133" t="n">
        <x:f>(('Assumptions'!$B$17*(1+G67)+'Assumptions'!$B$18)*(1-H67-'Assumptions'!$B$20)-SUM('Assumptions'!$B$21:$B$25)*(1+I67))-(('Assumptions'!$B$17*(1+G67)+'Assumptions'!$B$18)*(1-H67-'Assumptions'!$B$20)*'Assumptions'!$B$26)</x:f>
        <x:v>228964.89486403903</x:v>
      </x:c>
      <x:c r="M67" s="133" t="n">
        <x:f>'Assumptions'!$B$10*'Assumptions'!$B$33</x:f>
        <x:v>1950000</x:v>
      </x:c>
      <x:c r="N67" s="133" t="n">
        <x:f>-PMT(K67/12,'Assumptions'!$B$35*12,M67)*12</x:f>
        <x:v>150362.84277795514</x:v>
      </x:c>
      <x:c r="O67" s="133" t="n">
        <x:f>(L67*(1+'Assumptions'!$B$29)^('Assumptions'!$B$14/12)/J67)*(1-'Assumptions'!$B$42)-'Debt Schedule'!$F$9</x:f>
        <x:v>3383797.473905094</x:v>
      </x:c>
      <x:c r="P67" s="132" t="n">
        <x:f>((O67+(L67-N67-'Assumptions'!$B$27-'Assumptions'!$B$28)*('Assumptions'!$B$14/12))/ABS('Monthly Cash Flow'!$S$5))^(1/('Assumptions'!$B$14/12))-1</x:f>
        <x:v>0.22540234824619731</x:v>
      </x:c>
      <x:c r="Q67" s="133" t="n">
        <x:f>-ABS('Monthly Cash Flow'!$S$5)+((L67-N67-'Assumptions'!$B$27-'Assumptions'!$B$28)*(1-(1+'Assumptions'!$B$43)^-('Assumptions'!$B$14/12))/'Assumptions'!$B$43)+(O67/(1+'Assumptions'!$B$43)^('Assumptions'!$B$14/12))</x:f>
        <x:v>952904.15278132</x:v>
      </x:c>
    </x:row>
    <x:row r="68">
      <x:c r="A68" s="131" t="n">
        <x:f>61</x:f>
        <x:v>61</x:v>
      </x:c>
      <x:c r="B68" s="131" t="n">
        <x:f>MOD(ABS(SIN((A68+1)*12.9898+78.233)*43758.5453),1)</x:f>
        <x:v>0.05979465334530687</x:v>
      </x:c>
      <x:c r="C68" s="131" t="n">
        <x:f>MOD(ABS(SIN((A68+2)*12.9898+78.233)*43758.5453),1)</x:f>
        <x:v>0.04438450207817368</x:v>
      </x:c>
      <x:c r="D68" s="131" t="n">
        <x:f>MOD(ABS(SIN((A68+3)*12.9898+78.233)*43758.5453),1)</x:f>
        <x:v>0.8604801883921027</x:v>
      </x:c>
      <x:c r="E68" s="131" t="n">
        <x:f>MOD(ABS(SIN((A68+4)*12.9898+78.233)*43758.5453),1)</x:f>
        <x:v>0.30062097749032546</x:v>
      </x:c>
      <x:c r="F68" s="131" t="n">
        <x:f>MOD(ABS(SIN((A68+5)*12.9898+78.233)*43758.5453),1)</x:f>
        <x:v>0.9183202336607792</x:v>
      </x:c>
      <x:c r="G68" s="132" t="n">
        <x:f>IF(B68&lt;(('Assumptions'!$C$47-'Assumptions'!$B$47)/('Assumptions'!$D$47-'Assumptions'!$B$47)),'Assumptions'!$B$47+SQRT(B68*('Assumptions'!$D$47-'Assumptions'!$B$47)*('Assumptions'!$C$47-'Assumptions'!$B$47)),'Assumptions'!$D$47-SQRT((1-B68)*('Assumptions'!$D$47-'Assumptions'!$B$47)*('Assumptions'!$D$47-'Assumptions'!$C$47)))</x:f>
        <x:v>-0.06211766004736027</x:v>
      </x:c>
      <x:c r="H68" s="132" t="n">
        <x:f>IF(C68&lt;(('Assumptions'!$C$48-'Assumptions'!$B$48)/('Assumptions'!$D$48-'Assumptions'!$B$48)),'Assumptions'!$B$48+SQRT(C68*('Assumptions'!$D$48-'Assumptions'!$B$48)*('Assumptions'!$C$48-'Assumptions'!$B$48)),'Assumptions'!$D$48-SQRT((1-C68)*('Assumptions'!$D$48-'Assumptions'!$B$48)*('Assumptions'!$D$48-'Assumptions'!$C$48)))</x:f>
        <x:v>0.04210243185719189</x:v>
      </x:c>
      <x:c r="I68" s="132" t="n">
        <x:f>IF(D68&lt;(('Assumptions'!$C$49-'Assumptions'!$B$49)/('Assumptions'!$D$49-'Assumptions'!$B$49)),'Assumptions'!$B$49+SQRT(D68*('Assumptions'!$D$49-'Assumptions'!$B$49)*('Assumptions'!$C$49-'Assumptions'!$B$49)),'Assumptions'!$D$49-SQRT((1-D68)*('Assumptions'!$D$49-'Assumptions'!$B$49)*('Assumptions'!$D$49-'Assumptions'!$C$49)))</x:f>
        <x:v>0.09510347979397436</x:v>
      </x:c>
      <x:c r="J68" s="132" t="n">
        <x:f>IF(E68&lt;(('Assumptions'!$C$50-'Assumptions'!$B$50)/('Assumptions'!$D$50-'Assumptions'!$B$50)),'Assumptions'!$B$50+SQRT(E68*('Assumptions'!$D$50-'Assumptions'!$B$50)*('Assumptions'!$C$50-'Assumptions'!$B$50)),'Assumptions'!$D$50-SQRT((1-E68)*('Assumptions'!$D$50-'Assumptions'!$B$50)*('Assumptions'!$D$50-'Assumptions'!$C$50)))</x:f>
        <x:v>0.06572433705141778</x:v>
      </x:c>
      <x:c r="K68" s="132" t="n">
        <x:f>IF(F68&lt;(('Assumptions'!$C$51-'Assumptions'!$B$51)/('Assumptions'!$D$51-'Assumptions'!$B$51)),'Assumptions'!$B$51+SQRT(F68*('Assumptions'!$D$51-'Assumptions'!$B$51)*('Assumptions'!$C$51-'Assumptions'!$B$51)),'Assumptions'!$D$51-SQRT((1-F68)*('Assumptions'!$D$51-'Assumptions'!$B$51)*('Assumptions'!$D$51-'Assumptions'!$C$51)))</x:f>
        <x:v>0.0787303598547644</x:v>
      </x:c>
      <x:c r="L68" s="133" t="n">
        <x:f>(('Assumptions'!$B$17*(1+G68)+'Assumptions'!$B$18)*(1-H68-'Assumptions'!$B$20)-SUM('Assumptions'!$B$21:$B$25)*(1+I68))-(('Assumptions'!$B$17*(1+G68)+'Assumptions'!$B$18)*(1-H68-'Assumptions'!$B$20)*'Assumptions'!$B$26)</x:f>
        <x:v>185640.69564660586</x:v>
      </x:c>
      <x:c r="M68" s="133" t="n">
        <x:f>'Assumptions'!$B$10*'Assumptions'!$B$33</x:f>
        <x:v>1950000</x:v>
      </x:c>
      <x:c r="N68" s="133" t="n">
        <x:f>-PMT(K68/12,'Assumptions'!$B$35*12,M68)*12</x:f>
        <x:v>169634.33939850243</x:v>
      </x:c>
      <x:c r="O68" s="133" t="n">
        <x:f>(L68*(1+'Assumptions'!$B$29)^('Assumptions'!$B$14/12)/J68)*(1-'Assumptions'!$B$42)-'Debt Schedule'!$F$9</x:f>
        <x:v>3077945.673365686</x:v>
      </x:c>
      <x:c r="P68" s="132" t="n">
        <x:f>((O68+(L68-N68-'Assumptions'!$B$27-'Assumptions'!$B$28)*('Assumptions'!$B$14/12))/ABS('Monthly Cash Flow'!$S$5))^(1/('Assumptions'!$B$14/12))-1</x:f>
        <x:v>0.1797189645105779</x:v>
      </x:c>
      <x:c r="Q68" s="133" t="n">
        <x:f>-ABS('Monthly Cash Flow'!$S$5)+((L68-N68-'Assumptions'!$B$27-'Assumptions'!$B$28)*(1-(1+'Assumptions'!$B$43)^-('Assumptions'!$B$14/12))/'Assumptions'!$B$43)+(O68/(1+'Assumptions'!$B$43)^('Assumptions'!$B$14/12))</x:f>
        <x:v>525707.312525834</x:v>
      </x:c>
    </x:row>
    <x:row r="69">
      <x:c r="A69" s="131" t="n">
        <x:f>62</x:f>
        <x:v>62</x:v>
      </x:c>
      <x:c r="B69" s="131" t="n">
        <x:f>MOD(ABS(SIN((A69+1)*12.9898+78.233)*43758.5453),1)</x:f>
        <x:v>0.04438450207817368</x:v>
      </x:c>
      <x:c r="C69" s="131" t="n">
        <x:f>MOD(ABS(SIN((A69+2)*12.9898+78.233)*43758.5453),1)</x:f>
        <x:v>0.8604801883921027</x:v>
      </x:c>
      <x:c r="D69" s="131" t="n">
        <x:f>MOD(ABS(SIN((A69+3)*12.9898+78.233)*43758.5453),1)</x:f>
        <x:v>0.30062097749032546</x:v>
      </x:c>
      <x:c r="E69" s="131" t="n">
        <x:f>MOD(ABS(SIN((A69+4)*12.9898+78.233)*43758.5453),1)</x:f>
        <x:v>0.9183202336607792</x:v>
      </x:c>
      <x:c r="F69" s="131" t="n">
        <x:f>MOD(ABS(SIN((A69+5)*12.9898+78.233)*43758.5453),1)</x:f>
        <x:v>0.012634828155569267</x:v>
      </x:c>
      <x:c r="G69" s="132" t="n">
        <x:f>IF(B69&lt;(('Assumptions'!$C$47-'Assumptions'!$B$47)/('Assumptions'!$D$47-'Assumptions'!$B$47)),'Assumptions'!$B$47+SQRT(B69*('Assumptions'!$D$47-'Assumptions'!$B$47)*('Assumptions'!$C$47-'Assumptions'!$B$47)),'Assumptions'!$D$47-SQRT((1-B69)*('Assumptions'!$D$47-'Assumptions'!$B$47)*('Assumptions'!$D$47-'Assumptions'!$C$47)))</x:f>
        <x:v>-0.06736216842564188</x:v>
      </x:c>
      <x:c r="H69" s="132" t="n">
        <x:f>IF(C69&lt;(('Assumptions'!$C$48-'Assumptions'!$B$48)/('Assumptions'!$D$48-'Assumptions'!$B$48)),'Assumptions'!$B$48+SQRT(C69*('Assumptions'!$D$48-'Assumptions'!$B$48)*('Assumptions'!$C$48-'Assumptions'!$B$48)),'Assumptions'!$D$48-SQRT((1-C69)*('Assumptions'!$D$48-'Assumptions'!$B$48)*('Assumptions'!$D$48-'Assumptions'!$C$48)))</x:f>
        <x:v>0.104960388955505</x:v>
      </x:c>
      <x:c r="I69" s="132" t="n">
        <x:f>IF(D69&lt;(('Assumptions'!$C$49-'Assumptions'!$B$49)/('Assumptions'!$D$49-'Assumptions'!$B$49)),'Assumptions'!$B$49+SQRT(D69*('Assumptions'!$D$49-'Assumptions'!$B$49)*('Assumptions'!$C$49-'Assumptions'!$B$49)),'Assumptions'!$D$49-SQRT((1-D69)*('Assumptions'!$D$49-'Assumptions'!$B$49)*('Assumptions'!$D$49-'Assumptions'!$C$49)))</x:f>
        <x:v>0.02697987852650719</x:v>
      </x:c>
      <x:c r="J69" s="132" t="n">
        <x:f>IF(E69&lt;(('Assumptions'!$C$50-'Assumptions'!$B$50)/('Assumptions'!$D$50-'Assumptions'!$B$50)),'Assumptions'!$B$50+SQRT(E69*('Assumptions'!$D$50-'Assumptions'!$B$50)*('Assumptions'!$C$50-'Assumptions'!$B$50)),'Assumptions'!$D$50-SQRT((1-E69)*('Assumptions'!$D$50-'Assumptions'!$B$50)*('Assumptions'!$D$50-'Assumptions'!$C$50)))</x:f>
        <x:v>0.07520704326298414</x:v>
      </x:c>
      <x:c r="K69" s="132" t="n">
        <x:f>IF(F69&lt;(('Assumptions'!$C$51-'Assumptions'!$B$51)/('Assumptions'!$D$51-'Assumptions'!$B$51)),'Assumptions'!$B$51+SQRT(F69*('Assumptions'!$D$51-'Assumptions'!$B$51)*('Assumptions'!$C$51-'Assumptions'!$B$51)),'Assumptions'!$D$51-SQRT((1-F69)*('Assumptions'!$D$51-'Assumptions'!$B$51)*('Assumptions'!$D$51-'Assumptions'!$C$51)))</x:f>
        <x:v>0.05936402192658283</x:v>
      </x:c>
      <x:c r="L69" s="133" t="n">
        <x:f>(('Assumptions'!$B$17*(1+G69)+'Assumptions'!$B$18)*(1-H69-'Assumptions'!$B$20)-SUM('Assumptions'!$B$21:$B$25)*(1+I69))-(('Assumptions'!$B$17*(1+G69)+'Assumptions'!$B$18)*(1-H69-'Assumptions'!$B$20)*'Assumptions'!$B$26)</x:f>
        <x:v>171159.6638159033</x:v>
      </x:c>
      <x:c r="M69" s="133" t="n">
        <x:f>'Assumptions'!$B$10*'Assumptions'!$B$33</x:f>
        <x:v>1950000</x:v>
      </x:c>
      <x:c r="N69" s="133" t="n">
        <x:f>-PMT(K69/12,'Assumptions'!$B$35*12,M69)*12</x:f>
        <x:v>139339.47215297184</x:v>
      </x:c>
      <x:c r="O69" s="133" t="n">
        <x:f>(L69*(1+'Assumptions'!$B$29)^('Assumptions'!$B$14/12)/J69)*(1-'Assumptions'!$B$42)-'Debt Schedule'!$F$9</x:f>
        <x:v>2480029.7297396893</x:v>
      </x:c>
      <x:c r="P69" s="132" t="n">
        <x:f>((O69+(L69-N69-'Assumptions'!$B$27-'Assumptions'!$B$28)*('Assumptions'!$B$14/12))/ABS('Monthly Cash Flow'!$S$5))^(1/('Assumptions'!$B$14/12))-1</x:f>
        <x:v>0.13508034394568869</x:v>
      </x:c>
      <x:c r="Q69" s="133" t="n">
        <x:f>-ABS('Monthly Cash Flow'!$S$5)+((L69-N69-'Assumptions'!$B$27-'Assumptions'!$B$28)*(1-(1+'Assumptions'!$B$43)^-('Assumptions'!$B$14/12))/'Assumptions'!$B$43)+(O69/(1+'Assumptions'!$B$43)^('Assumptions'!$B$14/12))</x:f>
        <x:v>214395.43179555004</x:v>
      </x:c>
    </x:row>
    <x:row r="70">
      <x:c r="A70" s="131" t="n">
        <x:f>63</x:f>
        <x:v>63</x:v>
      </x:c>
      <x:c r="B70" s="131" t="n">
        <x:f>MOD(ABS(SIN((A70+1)*12.9898+78.233)*43758.5453),1)</x:f>
        <x:v>0.8604801883921027</x:v>
      </x:c>
      <x:c r="C70" s="131" t="n">
        <x:f>MOD(ABS(SIN((A70+2)*12.9898+78.233)*43758.5453),1)</x:f>
        <x:v>0.30062097749032546</x:v>
      </x:c>
      <x:c r="D70" s="131" t="n">
        <x:f>MOD(ABS(SIN((A70+3)*12.9898+78.233)*43758.5453),1)</x:f>
        <x:v>0.9183202336607792</x:v>
      </x:c>
      <x:c r="E70" s="131" t="n">
        <x:f>MOD(ABS(SIN((A70+4)*12.9898+78.233)*43758.5453),1)</x:f>
        <x:v>0.012634828155569267</x:v>
      </x:c>
      <x:c r="F70" s="131" t="n">
        <x:f>MOD(ABS(SIN((A70+5)*12.9898+78.233)*43758.5453),1)</x:f>
        <x:v>0.5315307955115713</x:v>
      </x:c>
      <x:c r="G70" s="132" t="n">
        <x:f>IF(B70&lt;(('Assumptions'!$C$47-'Assumptions'!$B$47)/('Assumptions'!$D$47-'Assumptions'!$B$47)),'Assumptions'!$B$47+SQRT(B70*('Assumptions'!$D$47-'Assumptions'!$B$47)*('Assumptions'!$C$47-'Assumptions'!$B$47)),'Assumptions'!$D$47-SQRT((1-B70)*('Assumptions'!$D$47-'Assumptions'!$B$47)*('Assumptions'!$D$47-'Assumptions'!$C$47)))</x:f>
        <x:v>0.05275259810607195</x:v>
      </x:c>
      <x:c r="H70" s="132" t="n">
        <x:f>IF(C70&lt;(('Assumptions'!$C$48-'Assumptions'!$B$48)/('Assumptions'!$D$48-'Assumptions'!$B$48)),'Assumptions'!$B$48+SQRT(C70*('Assumptions'!$D$48-'Assumptions'!$B$48)*('Assumptions'!$C$48-'Assumptions'!$B$48)),'Assumptions'!$D$48-SQRT((1-C70)*('Assumptions'!$D$48-'Assumptions'!$B$48)*('Assumptions'!$D$48-'Assumptions'!$C$48)))</x:f>
        <x:v>0.061549152980448094</x:v>
      </x:c>
      <x:c r="I70" s="132" t="n">
        <x:f>IF(D70&lt;(('Assumptions'!$C$49-'Assumptions'!$B$49)/('Assumptions'!$D$49-'Assumptions'!$B$49)),'Assumptions'!$B$49+SQRT(D70*('Assumptions'!$D$49-'Assumptions'!$B$49)*('Assumptions'!$C$49-'Assumptions'!$B$49)),'Assumptions'!$D$49-SQRT((1-D70)*('Assumptions'!$D$49-'Assumptions'!$B$49)*('Assumptions'!$D$49-'Assumptions'!$C$49)))</x:f>
        <x:v>0.10799663164784079</x:v>
      </x:c>
      <x:c r="J70" s="132" t="n">
        <x:f>IF(E70&lt;(('Assumptions'!$C$50-'Assumptions'!$B$50)/('Assumptions'!$D$50-'Assumptions'!$B$50)),'Assumptions'!$B$50+SQRT(E70*('Assumptions'!$D$50-'Assumptions'!$B$50)*('Assumptions'!$C$50-'Assumptions'!$B$50)),'Assumptions'!$D$50-SQRT((1-E70)*('Assumptions'!$D$50-'Assumptions'!$B$50)*('Assumptions'!$D$50-'Assumptions'!$C$50)))</x:f>
        <x:v>0.05918607127221927</x:v>
      </x:c>
      <x:c r="K70" s="132" t="n">
        <x:f>IF(F70&lt;(('Assumptions'!$C$51-'Assumptions'!$B$51)/('Assumptions'!$D$51-'Assumptions'!$B$51)),'Assumptions'!$B$51+SQRT(F70*('Assumptions'!$D$51-'Assumptions'!$B$51)*('Assumptions'!$C$51-'Assumptions'!$B$51)),'Assumptions'!$D$51-SQRT((1-F70)*('Assumptions'!$D$51-'Assumptions'!$B$51)*('Assumptions'!$D$51-'Assumptions'!$C$51)))</x:f>
        <x:v>0.06998498069731324</x:v>
      </x:c>
      <x:c r="L70" s="133" t="n">
        <x:f>(('Assumptions'!$B$17*(1+G70)+'Assumptions'!$B$18)*(1-H70-'Assumptions'!$B$20)-SUM('Assumptions'!$B$21:$B$25)*(1+I70))-(('Assumptions'!$B$17*(1+G70)+'Assumptions'!$B$18)*(1-H70-'Assumptions'!$B$20)*'Assumptions'!$B$26)</x:f>
        <x:v>214235.5317614158</x:v>
      </x:c>
      <x:c r="M70" s="133" t="n">
        <x:f>'Assumptions'!$B$10*'Assumptions'!$B$33</x:f>
        <x:v>1950000</x:v>
      </x:c>
      <x:c r="N70" s="133" t="n">
        <x:f>-PMT(K70/12,'Assumptions'!$B$35*12,M70)*12</x:f>
        <x:v>155657.1812108794</x:v>
      </x:c>
      <x:c r="O70" s="133" t="n">
        <x:f>(L70*(1+'Assumptions'!$B$29)^('Assumptions'!$B$14/12)/J70)*(1-'Assumptions'!$B$42)-'Debt Schedule'!$F$9</x:f>
        <x:v>3944445.557557562</x:v>
      </x:c>
      <x:c r="P70" s="132" t="n">
        <x:f>((O70+(L70-N70-'Assumptions'!$B$27-'Assumptions'!$B$28)*('Assumptions'!$B$14/12))/ABS('Monthly Cash Flow'!$S$5))^(1/('Assumptions'!$B$14/12))-1</x:f>
        <x:v>0.2554476153026417</x:v>
      </x:c>
      <x:c r="Q70" s="133" t="n">
        <x:f>-ABS('Monthly Cash Flow'!$S$5)+((L70-N70-'Assumptions'!$B$27-'Assumptions'!$B$28)*(1-(1+'Assumptions'!$B$43)^-('Assumptions'!$B$14/12))/'Assumptions'!$B$43)+(O70/(1+'Assumptions'!$B$43)^('Assumptions'!$B$14/12))</x:f>
        <x:v>1225116.9197978529</x:v>
      </x:c>
    </x:row>
    <x:row r="71">
      <x:c r="A71" s="131" t="n">
        <x:f>64</x:f>
        <x:v>64</x:v>
      </x:c>
      <x:c r="B71" s="131" t="n">
        <x:f>MOD(ABS(SIN((A71+1)*12.9898+78.233)*43758.5453),1)</x:f>
        <x:v>0.30062097749032546</x:v>
      </x:c>
      <x:c r="C71" s="131" t="n">
        <x:f>MOD(ABS(SIN((A71+2)*12.9898+78.233)*43758.5453),1)</x:f>
        <x:v>0.9183202336607792</x:v>
      </x:c>
      <x:c r="D71" s="131" t="n">
        <x:f>MOD(ABS(SIN((A71+3)*12.9898+78.233)*43758.5453),1)</x:f>
        <x:v>0.012634828155569267</x:v>
      </x:c>
      <x:c r="E71" s="131" t="n">
        <x:f>MOD(ABS(SIN((A71+4)*12.9898+78.233)*43758.5453),1)</x:f>
        <x:v>0.5315307955115713</x:v>
      </x:c>
      <x:c r="F71" s="131" t="n">
        <x:f>MOD(ABS(SIN((A71+5)*12.9898+78.233)*43758.5453),1)</x:f>
        <x:v>0.3999353446488385</x:v>
      </x:c>
      <x:c r="G71" s="132" t="n">
        <x:f>IF(B71&lt;(('Assumptions'!$C$47-'Assumptions'!$B$47)/('Assumptions'!$D$47-'Assumptions'!$B$47)),'Assumptions'!$B$47+SQRT(B71*('Assumptions'!$D$47-'Assumptions'!$B$47)*('Assumptions'!$C$47-'Assumptions'!$B$47)),'Assumptions'!$D$47-SQRT((1-B71)*('Assumptions'!$D$47-'Assumptions'!$B$47)*('Assumptions'!$D$47-'Assumptions'!$C$47)))</x:f>
        <x:v>-0.01505941217669958</x:v>
      </x:c>
      <x:c r="H71" s="132" t="n">
        <x:f>IF(C71&lt;(('Assumptions'!$C$48-'Assumptions'!$B$48)/('Assumptions'!$D$48-'Assumptions'!$B$48)),'Assumptions'!$B$48+SQRT(C71*('Assumptions'!$D$48-'Assumptions'!$B$48)*('Assumptions'!$C$48-'Assumptions'!$B$48)),'Assumptions'!$D$48-SQRT((1-C71)*('Assumptions'!$D$48-'Assumptions'!$B$48)*('Assumptions'!$D$48-'Assumptions'!$C$48)))</x:f>
        <x:v>0.11318989101504541</x:v>
      </x:c>
      <x:c r="I71" s="132" t="n">
        <x:f>IF(D71&lt;(('Assumptions'!$C$49-'Assumptions'!$B$49)/('Assumptions'!$D$49-'Assumptions'!$B$49)),'Assumptions'!$B$49+SQRT(D71*('Assumptions'!$D$49-'Assumptions'!$B$49)*('Assumptions'!$C$49-'Assumptions'!$B$49)),'Assumptions'!$D$49-SQRT((1-D71)*('Assumptions'!$D$49-'Assumptions'!$B$49)*('Assumptions'!$D$49-'Assumptions'!$C$49)))</x:f>
        <x:v>-0.018318555565335765</x:v>
      </x:c>
      <x:c r="J71" s="132" t="n">
        <x:f>IF(E71&lt;(('Assumptions'!$C$50-'Assumptions'!$B$50)/('Assumptions'!$D$50-'Assumptions'!$B$50)),'Assumptions'!$B$50+SQRT(E71*('Assumptions'!$D$50-'Assumptions'!$B$50)*('Assumptions'!$C$50-'Assumptions'!$B$50)),'Assumptions'!$D$50-SQRT((1-E71)*('Assumptions'!$D$50-'Assumptions'!$B$50)*('Assumptions'!$D$50-'Assumptions'!$C$50)))</x:f>
        <x:v>0.06852145637450593</x:v>
      </x:c>
      <x:c r="K71" s="132" t="n">
        <x:f>IF(F71&lt;(('Assumptions'!$C$51-'Assumptions'!$B$51)/('Assumptions'!$D$51-'Assumptions'!$B$51)),'Assumptions'!$B$51+SQRT(F71*('Assumptions'!$D$51-'Assumptions'!$B$51)*('Assumptions'!$C$51-'Assumptions'!$B$51)),'Assumptions'!$D$51-SQRT((1-F71)*('Assumptions'!$D$51-'Assumptions'!$B$51)*('Assumptions'!$D$51-'Assumptions'!$C$51)))</x:f>
        <x:v>0.06800643900214713</x:v>
      </x:c>
      <x:c r="L71" s="133" t="n">
        <x:f>(('Assumptions'!$B$17*(1+G71)+'Assumptions'!$B$18)*(1-H71-'Assumptions'!$B$20)-SUM('Assumptions'!$B$21:$B$25)*(1+I71))-(('Assumptions'!$B$17*(1+G71)+'Assumptions'!$B$18)*(1-H71-'Assumptions'!$B$20)*'Assumptions'!$B$26)</x:f>
        <x:v>189921.6033357875</x:v>
      </x:c>
      <x:c r="M71" s="133" t="n">
        <x:f>'Assumptions'!$B$10*'Assumptions'!$B$33</x:f>
        <x:v>1950000</x:v>
      </x:c>
      <x:c r="N71" s="133" t="n">
        <x:f>-PMT(K71/12,'Assumptions'!$B$35*12,M71)*12</x:f>
        <x:v>152560.5306661384</x:v>
      </x:c>
      <x:c r="O71" s="133" t="n">
        <x:f>(L71*(1+'Assumptions'!$B$29)^('Assumptions'!$B$14/12)/J71)*(1-'Assumptions'!$B$42)-'Debt Schedule'!$F$9</x:f>
        <x:v>3020381.2118603573</x:v>
      </x:c>
      <x:c r="P71" s="132" t="n">
        <x:f>((O71+(L71-N71-'Assumptions'!$B$27-'Assumptions'!$B$28)*('Assumptions'!$B$14/12))/ABS('Monthly Cash Flow'!$S$5))^(1/('Assumptions'!$B$14/12))-1</x:f>
        <x:v>0.18361827992290491</x:v>
      </x:c>
      <x:c r="Q71" s="133" t="n">
        <x:f>-ABS('Monthly Cash Flow'!$S$5)+((L71-N71-'Assumptions'!$B$27-'Assumptions'!$B$28)*(1-(1+'Assumptions'!$B$43)^-('Assumptions'!$B$14/12))/'Assumptions'!$B$43)+(O71/(1+'Assumptions'!$B$43)^('Assumptions'!$B$14/12))</x:f>
        <x:v>570915.4874020224</x:v>
      </x:c>
    </x:row>
    <x:row r="72">
      <x:c r="A72" s="131" t="n">
        <x:f>65</x:f>
        <x:v>65</x:v>
      </x:c>
      <x:c r="B72" s="131" t="n">
        <x:f>MOD(ABS(SIN((A72+1)*12.9898+78.233)*43758.5453),1)</x:f>
        <x:v>0.9183202336607792</x:v>
      </x:c>
      <x:c r="C72" s="131" t="n">
        <x:f>MOD(ABS(SIN((A72+2)*12.9898+78.233)*43758.5453),1)</x:f>
        <x:v>0.012634828155569267</x:v>
      </x:c>
      <x:c r="D72" s="131" t="n">
        <x:f>MOD(ABS(SIN((A72+3)*12.9898+78.233)*43758.5453),1)</x:f>
        <x:v>0.5315307955115713</x:v>
      </x:c>
      <x:c r="E72" s="131" t="n">
        <x:f>MOD(ABS(SIN((A72+4)*12.9898+78.233)*43758.5453),1)</x:f>
        <x:v>0.3999353446488385</x:v>
      </x:c>
      <x:c r="F72" s="131" t="n">
        <x:f>MOD(ABS(SIN((A72+5)*12.9898+78.233)*43758.5453),1)</x:f>
        <x:v>0.5974072363751475</x:v>
      </x:c>
      <x:c r="G72" s="132" t="n">
        <x:f>IF(B72&lt;(('Assumptions'!$C$47-'Assumptions'!$B$47)/('Assumptions'!$D$47-'Assumptions'!$B$47)),'Assumptions'!$B$47+SQRT(B72*('Assumptions'!$D$47-'Assumptions'!$B$47)*('Assumptions'!$C$47-'Assumptions'!$B$47)),'Assumptions'!$D$47-SQRT((1-B72)*('Assumptions'!$D$47-'Assumptions'!$B$47)*('Assumptions'!$D$47-'Assumptions'!$C$47)))</x:f>
        <x:v>0.06384925641943817</x:v>
      </x:c>
      <x:c r="H72" s="132" t="n">
        <x:f>IF(C72&lt;(('Assumptions'!$C$48-'Assumptions'!$B$48)/('Assumptions'!$D$48-'Assumptions'!$B$48)),'Assumptions'!$B$48+SQRT(C72*('Assumptions'!$D$48-'Assumptions'!$B$48)*('Assumptions'!$C$48-'Assumptions'!$B$48)),'Assumptions'!$D$48-SQRT((1-C72)*('Assumptions'!$D$48-'Assumptions'!$B$48)*('Assumptions'!$D$48-'Assumptions'!$C$48)))</x:f>
        <x:v>0.036457161366527754</x:v>
      </x:c>
      <x:c r="I72" s="132" t="n">
        <x:f>IF(D72&lt;(('Assumptions'!$C$49-'Assumptions'!$B$49)/('Assumptions'!$D$49-'Assumptions'!$B$49)),'Assumptions'!$B$49+SQRT(D72*('Assumptions'!$D$49-'Assumptions'!$B$49)*('Assumptions'!$C$49-'Assumptions'!$B$49)),'Assumptions'!$D$49-SQRT((1-D72)*('Assumptions'!$D$49-'Assumptions'!$B$49)*('Assumptions'!$D$49-'Assumptions'!$C$49)))</x:f>
        <x:v>0.04940708366415626</x:v>
      </x:c>
      <x:c r="J72" s="132" t="n">
        <x:f>IF(E72&lt;(('Assumptions'!$C$50-'Assumptions'!$B$50)/('Assumptions'!$D$50-'Assumptions'!$B$50)),'Assumptions'!$B$50+SQRT(E72*('Assumptions'!$D$50-'Assumptions'!$B$50)*('Assumptions'!$C$50-'Assumptions'!$B$50)),'Assumptions'!$D$50-SQRT((1-E72)*('Assumptions'!$D$50-'Assumptions'!$B$50)*('Assumptions'!$D$50-'Assumptions'!$C$50)))</x:f>
        <x:v>0.06698606623137265</x:v>
      </x:c>
      <x:c r="K72" s="132" t="n">
        <x:f>IF(F72&lt;(('Assumptions'!$C$51-'Assumptions'!$B$51)/('Assumptions'!$D$51-'Assumptions'!$B$51)),'Assumptions'!$B$51+SQRT(F72*('Assumptions'!$D$51-'Assumptions'!$B$51)*('Assumptions'!$C$51-'Assumptions'!$B$51)),'Assumptions'!$D$51-SQRT((1-F72)*('Assumptions'!$D$51-'Assumptions'!$B$51)*('Assumptions'!$D$51-'Assumptions'!$C$51)))</x:f>
        <x:v>0.07108066928712231</x:v>
      </x:c>
      <x:c r="L72" s="133" t="n">
        <x:f>(('Assumptions'!$B$17*(1+G72)+'Assumptions'!$B$18)*(1-H72-'Assumptions'!$B$20)-SUM('Assumptions'!$B$21:$B$25)*(1+I72))-(('Assumptions'!$B$17*(1+G72)+'Assumptions'!$B$18)*(1-H72-'Assumptions'!$B$20)*'Assumptions'!$B$26)</x:f>
        <x:v>234837.4979600927</x:v>
      </x:c>
      <x:c r="M72" s="133" t="n">
        <x:f>'Assumptions'!$B$10*'Assumptions'!$B$33</x:f>
        <x:v>1950000</x:v>
      </x:c>
      <x:c r="N72" s="133" t="n">
        <x:f>-PMT(K72/12,'Assumptions'!$B$35*12,M72)*12</x:f>
        <x:v>157382.7822378573</x:v>
      </x:c>
      <x:c r="O72" s="133" t="n">
        <x:f>(L72*(1+'Assumptions'!$B$29)^('Assumptions'!$B$14/12)/J72)*(1-'Assumptions'!$B$42)-'Debt Schedule'!$F$9</x:f>
        <x:v>3820295.4147387287</x:v>
      </x:c>
      <x:c r="P72" s="132" t="n">
        <x:f>((O72+(L72-N72-'Assumptions'!$B$27-'Assumptions'!$B$28)*('Assumptions'!$B$14/12))/ABS('Monthly Cash Flow'!$S$5))^(1/('Assumptions'!$B$14/12))-1</x:f>
        <x:v>0.253590783793058</x:v>
      </x:c>
      <x:c r="Q72" s="133" t="n">
        <x:f>-ABS('Monthly Cash Flow'!$S$5)+((L72-N72-'Assumptions'!$B$27-'Assumptions'!$B$28)*(1-(1+'Assumptions'!$B$43)^-('Assumptions'!$B$14/12))/'Assumptions'!$B$43)+(O72/(1+'Assumptions'!$B$43)^('Assumptions'!$B$14/12))</x:f>
        <x:v>1219585.7242081992</x:v>
      </x:c>
    </x:row>
    <x:row r="73">
      <x:c r="A73" s="131" t="n">
        <x:f>66</x:f>
        <x:v>66</x:v>
      </x:c>
      <x:c r="B73" s="131" t="n">
        <x:f>MOD(ABS(SIN((A73+1)*12.9898+78.233)*43758.5453),1)</x:f>
        <x:v>0.012634828155569267</x:v>
      </x:c>
      <x:c r="C73" s="131" t="n">
        <x:f>MOD(ABS(SIN((A73+2)*12.9898+78.233)*43758.5453),1)</x:f>
        <x:v>0.5315307955115713</x:v>
      </x:c>
      <x:c r="D73" s="131" t="n">
        <x:f>MOD(ABS(SIN((A73+3)*12.9898+78.233)*43758.5453),1)</x:f>
        <x:v>0.3999353446488385</x:v>
      </x:c>
      <x:c r="E73" s="131" t="n">
        <x:f>MOD(ABS(SIN((A73+4)*12.9898+78.233)*43758.5453),1)</x:f>
        <x:v>0.5974072363751475</x:v>
      </x:c>
      <x:c r="F73" s="131" t="n">
        <x:f>MOD(ABS(SIN((A73+5)*12.9898+78.233)*43758.5453),1)</x:f>
        <x:v>0.4472021277033491</x:v>
      </x:c>
      <x:c r="G73" s="132" t="n">
        <x:f>IF(B73&lt;(('Assumptions'!$C$47-'Assumptions'!$B$47)/('Assumptions'!$D$47-'Assumptions'!$B$47)),'Assumptions'!$B$47+SQRT(B73*('Assumptions'!$D$47-'Assumptions'!$B$47)*('Assumptions'!$C$47-'Assumptions'!$B$47)),'Assumptions'!$D$47-SQRT((1-B73)*('Assumptions'!$D$47-'Assumptions'!$B$47)*('Assumptions'!$D$47-'Assumptions'!$C$47)))</x:f>
        <x:v>-0.08258633077913612</x:v>
      </x:c>
      <x:c r="H73" s="132" t="n">
        <x:f>IF(C73&lt;(('Assumptions'!$C$48-'Assumptions'!$B$48)/('Assumptions'!$D$48-'Assumptions'!$B$48)),'Assumptions'!$B$48+SQRT(C73*('Assumptions'!$D$48-'Assumptions'!$B$48)*('Assumptions'!$C$48-'Assumptions'!$B$48)),'Assumptions'!$D$48-SQRT((1-C73)*('Assumptions'!$D$48-'Assumptions'!$B$48)*('Assumptions'!$D$48-'Assumptions'!$C$48)))</x:f>
        <x:v>0.07579307670119856</x:v>
      </x:c>
      <x:c r="I73" s="132" t="n">
        <x:f>IF(D73&lt;(('Assumptions'!$C$49-'Assumptions'!$B$49)/('Assumptions'!$D$49-'Assumptions'!$B$49)),'Assumptions'!$B$49+SQRT(D73*('Assumptions'!$D$49-'Assumptions'!$B$49)*('Assumptions'!$C$49-'Assumptions'!$B$49)),'Assumptions'!$D$49-SQRT((1-D73)*('Assumptions'!$D$49-'Assumptions'!$B$49)*('Assumptions'!$D$49-'Assumptions'!$C$49)))</x:f>
        <x:v>0.03615187065399322</x:v>
      </x:c>
      <x:c r="J73" s="132" t="n">
        <x:f>IF(E73&lt;(('Assumptions'!$C$50-'Assumptions'!$B$50)/('Assumptions'!$D$50-'Assumptions'!$B$50)),'Assumptions'!$B$50+SQRT(E73*('Assumptions'!$D$50-'Assumptions'!$B$50)*('Assumptions'!$C$50-'Assumptions'!$B$50)),'Assumptions'!$D$50-SQRT((1-E73)*('Assumptions'!$D$50-'Assumptions'!$B$50)*('Assumptions'!$D$50-'Assumptions'!$C$50)))</x:f>
        <x:v>0.06935907829323561</x:v>
      </x:c>
      <x:c r="K73" s="132" t="n">
        <x:f>IF(F73&lt;(('Assumptions'!$C$51-'Assumptions'!$B$51)/('Assumptions'!$D$51-'Assumptions'!$B$51)),'Assumptions'!$B$51+SQRT(F73*('Assumptions'!$D$51-'Assumptions'!$B$51)*('Assumptions'!$C$51-'Assumptions'!$B$51)),'Assumptions'!$D$51-SQRT((1-F73)*('Assumptions'!$D$51-'Assumptions'!$B$51)*('Assumptions'!$D$51-'Assumptions'!$C$51)))</x:f>
        <x:v>0.06868945200053772</x:v>
      </x:c>
      <x:c r="L73" s="133" t="n">
        <x:f>(('Assumptions'!$B$17*(1+G73)+'Assumptions'!$B$18)*(1-H73-'Assumptions'!$B$20)-SUM('Assumptions'!$B$21:$B$25)*(1+I73))-(('Assumptions'!$B$17*(1+G73)+'Assumptions'!$B$18)*(1-H73-'Assumptions'!$B$20)*'Assumptions'!$B$26)</x:f>
        <x:v>175099.12862503983</x:v>
      </x:c>
      <x:c r="M73" s="133" t="n">
        <x:f>'Assumptions'!$B$10*'Assumptions'!$B$33</x:f>
        <x:v>1950000</x:v>
      </x:c>
      <x:c r="N73" s="133" t="n">
        <x:f>-PMT(K73/12,'Assumptions'!$B$35*12,M73)*12</x:f>
        <x:v>153626.6843133897</x:v>
      </x:c>
      <x:c r="O73" s="133" t="n">
        <x:f>(L73*(1+'Assumptions'!$B$29)^('Assumptions'!$B$14/12)/J73)*(1-'Assumptions'!$B$42)-'Debt Schedule'!$F$9</x:f>
        <x:v>2751025.7074925243</x:v>
      </x:c>
      <x:c r="P73" s="132" t="n">
        <x:f>((O73+(L73-N73-'Assumptions'!$B$27-'Assumptions'!$B$28)*('Assumptions'!$B$14/12))/ABS('Monthly Cash Flow'!$S$5))^(1/('Assumptions'!$B$14/12))-1</x:f>
        <x:v>0.1547906538079542</x:v>
      </x:c>
      <x:c r="Q73" s="133" t="n">
        <x:f>-ABS('Monthly Cash Flow'!$S$5)+((L73-N73-'Assumptions'!$B$27-'Assumptions'!$B$28)*(1-(1+'Assumptions'!$B$43)^-('Assumptions'!$B$14/12))/'Assumptions'!$B$43)+(O73/(1+'Assumptions'!$B$43)^('Assumptions'!$B$14/12))</x:f>
        <x:v>343436.50909313094</x:v>
      </x:c>
    </x:row>
    <x:row r="74">
      <x:c r="A74" s="131" t="n">
        <x:f>67</x:f>
        <x:v>67</x:v>
      </x:c>
      <x:c r="B74" s="131" t="n">
        <x:f>MOD(ABS(SIN((A74+1)*12.9898+78.233)*43758.5453),1)</x:f>
        <x:v>0.5315307955115713</x:v>
      </x:c>
      <x:c r="C74" s="131" t="n">
        <x:f>MOD(ABS(SIN((A74+2)*12.9898+78.233)*43758.5453),1)</x:f>
        <x:v>0.3999353446488385</x:v>
      </x:c>
      <x:c r="D74" s="131" t="n">
        <x:f>MOD(ABS(SIN((A74+3)*12.9898+78.233)*43758.5453),1)</x:f>
        <x:v>0.5974072363751475</x:v>
      </x:c>
      <x:c r="E74" s="131" t="n">
        <x:f>MOD(ABS(SIN((A74+4)*12.9898+78.233)*43758.5453),1)</x:f>
        <x:v>0.4472021277033491</x:v>
      </x:c>
      <x:c r="F74" s="131" t="n">
        <x:f>MOD(ABS(SIN((A74+5)*12.9898+78.233)*43758.5453),1)</x:f>
        <x:v>0.46415048623020994</x:v>
      </x:c>
      <x:c r="G74" s="132" t="n">
        <x:f>IF(B74&lt;(('Assumptions'!$C$47-'Assumptions'!$B$47)/('Assumptions'!$D$47-'Assumptions'!$B$47)),'Assumptions'!$B$47+SQRT(B74*('Assumptions'!$D$47-'Assumptions'!$B$47)*('Assumptions'!$C$47-'Assumptions'!$B$47)),'Assumptions'!$D$47-SQRT((1-B74)*('Assumptions'!$D$47-'Assumptions'!$B$47)*('Assumptions'!$D$47-'Assumptions'!$C$47)))</x:f>
        <x:v>0.01294573516639623</x:v>
      </x:c>
      <x:c r="H74" s="132" t="n">
        <x:f>IF(C74&lt;(('Assumptions'!$C$48-'Assumptions'!$B$48)/('Assumptions'!$D$48-'Assumptions'!$B$48)),'Assumptions'!$B$48+SQRT(C74*('Assumptions'!$D$48-'Assumptions'!$B$48)*('Assumptions'!$C$48-'Assumptions'!$B$48)),'Assumptions'!$D$48-SQRT((1-C74)*('Assumptions'!$D$48-'Assumptions'!$B$48)*('Assumptions'!$D$48-'Assumptions'!$C$48)))</x:f>
        <x:v>0.06733247653118883</x:v>
      </x:c>
      <x:c r="I74" s="132" t="n">
        <x:f>IF(D74&lt;(('Assumptions'!$C$49-'Assumptions'!$B$49)/('Assumptions'!$D$49-'Assumptions'!$B$49)),'Assumptions'!$B$49+SQRT(D74*('Assumptions'!$D$49-'Assumptions'!$B$49)*('Assumptions'!$C$49-'Assumptions'!$B$49)),'Assumptions'!$D$49-SQRT((1-D74)*('Assumptions'!$D$49-'Assumptions'!$B$49)*('Assumptions'!$D$49-'Assumptions'!$C$49)))</x:f>
        <x:v>0.05674763437694025</x:v>
      </x:c>
      <x:c r="J74" s="132" t="n">
        <x:f>IF(E74&lt;(('Assumptions'!$C$50-'Assumptions'!$B$50)/('Assumptions'!$D$50-'Assumptions'!$B$50)),'Assumptions'!$B$50+SQRT(E74*('Assumptions'!$D$50-'Assumptions'!$B$50)*('Assumptions'!$C$50-'Assumptions'!$B$50)),'Assumptions'!$D$50-SQRT((1-E74)*('Assumptions'!$D$50-'Assumptions'!$B$50)*('Assumptions'!$D$50-'Assumptions'!$C$50)))</x:f>
        <x:v>0.0675310625318982</x:v>
      </x:c>
      <x:c r="K74" s="132" t="n">
        <x:f>IF(F74&lt;(('Assumptions'!$C$51-'Assumptions'!$B$51)/('Assumptions'!$D$51-'Assumptions'!$B$51)),'Assumptions'!$B$51+SQRT(F74*('Assumptions'!$D$51-'Assumptions'!$B$51)*('Assumptions'!$C$51-'Assumptions'!$B$51)),'Assumptions'!$D$51-SQRT((1-F74)*('Assumptions'!$D$51-'Assumptions'!$B$51)*('Assumptions'!$D$51-'Assumptions'!$C$51)))</x:f>
        <x:v>0.06894143286274547</x:v>
      </x:c>
      <x:c r="L74" s="133" t="n">
        <x:f>(('Assumptions'!$B$17*(1+G74)+'Assumptions'!$B$18)*(1-H74-'Assumptions'!$B$20)-SUM('Assumptions'!$B$21:$B$25)*(1+I74))-(('Assumptions'!$B$17*(1+G74)+'Assumptions'!$B$18)*(1-H74-'Assumptions'!$B$20)*'Assumptions'!$B$26)</x:f>
        <x:v>205795.44599539536</x:v>
      </x:c>
      <x:c r="M74" s="133" t="n">
        <x:f>'Assumptions'!$B$10*'Assumptions'!$B$33</x:f>
        <x:v>1950000</x:v>
      </x:c>
      <x:c r="N74" s="133" t="n">
        <x:f>-PMT(K74/12,'Assumptions'!$B$35*12,M74)*12</x:f>
        <x:v>154020.77525177662</x:v>
      </x:c>
      <x:c r="O74" s="133" t="n">
        <x:f>(L74*(1+'Assumptions'!$B$29)^('Assumptions'!$B$14/12)/J74)*(1-'Assumptions'!$B$42)-'Debt Schedule'!$F$9</x:f>
        <x:v>3320826.257345665</x:v>
      </x:c>
      <x:c r="P74" s="132" t="n">
        <x:f>((O74+(L74-N74-'Assumptions'!$B$27-'Assumptions'!$B$28)*('Assumptions'!$B$14/12))/ABS('Monthly Cash Flow'!$S$5))^(1/('Assumptions'!$B$14/12))-1</x:f>
        <x:v>0.2115886866202974</x:v>
      </x:c>
      <x:c r="Q74" s="133" t="n">
        <x:f>-ABS('Monthly Cash Flow'!$S$5)+((L74-N74-'Assumptions'!$B$27-'Assumptions'!$B$28)*(1-(1+'Assumptions'!$B$43)^-('Assumptions'!$B$14/12))/'Assumptions'!$B$43)+(O74/(1+'Assumptions'!$B$43)^('Assumptions'!$B$14/12))</x:f>
        <x:v>812107.0994297026</x:v>
      </x:c>
    </x:row>
    <x:row r="75">
      <x:c r="A75" s="131" t="n">
        <x:f>68</x:f>
        <x:v>68</x:v>
      </x:c>
      <x:c r="B75" s="131" t="n">
        <x:f>MOD(ABS(SIN((A75+1)*12.9898+78.233)*43758.5453),1)</x:f>
        <x:v>0.3999353446488385</x:v>
      </x:c>
      <x:c r="C75" s="131" t="n">
        <x:f>MOD(ABS(SIN((A75+2)*12.9898+78.233)*43758.5453),1)</x:f>
        <x:v>0.5974072363751475</x:v>
      </x:c>
      <x:c r="D75" s="131" t="n">
        <x:f>MOD(ABS(SIN((A75+3)*12.9898+78.233)*43758.5453),1)</x:f>
        <x:v>0.4472021277033491</x:v>
      </x:c>
      <x:c r="E75" s="131" t="n">
        <x:f>MOD(ABS(SIN((A75+4)*12.9898+78.233)*43758.5453),1)</x:f>
        <x:v>0.46415048623020994</x:v>
      </x:c>
      <x:c r="F75" s="131" t="n">
        <x:f>MOD(ABS(SIN((A75+5)*12.9898+78.233)*43758.5453),1)</x:f>
        <x:v>0.00475747748350841</x:v>
      </x:c>
      <x:c r="G75" s="132" t="n">
        <x:f>IF(B75&lt;(('Assumptions'!$C$47-'Assumptions'!$B$47)/('Assumptions'!$D$47-'Assumptions'!$B$47)),'Assumptions'!$B$47+SQRT(B75*('Assumptions'!$D$47-'Assumptions'!$B$47)*('Assumptions'!$C$47-'Assumptions'!$B$47)),'Assumptions'!$D$47-SQRT((1-B75)*('Assumptions'!$D$47-'Assumptions'!$B$47)*('Assumptions'!$D$47-'Assumptions'!$C$47)))</x:f>
        <x:v>-0.0020283292396617164</x:v>
      </x:c>
      <x:c r="H75" s="132" t="n">
        <x:f>IF(C75&lt;(('Assumptions'!$C$48-'Assumptions'!$B$48)/('Assumptions'!$D$48-'Assumptions'!$B$48)),'Assumptions'!$B$48+SQRT(C75*('Assumptions'!$D$48-'Assumptions'!$B$48)*('Assumptions'!$C$48-'Assumptions'!$B$48)),'Assumptions'!$D$48-SQRT((1-C75)*('Assumptions'!$D$48-'Assumptions'!$B$48)*('Assumptions'!$D$48-'Assumptions'!$C$48)))</x:f>
        <x:v>0.08047843819338489</x:v>
      </x:c>
      <x:c r="I75" s="132" t="n">
        <x:f>IF(D75&lt;(('Assumptions'!$C$49-'Assumptions'!$B$49)/('Assumptions'!$D$49-'Assumptions'!$B$49)),'Assumptions'!$B$49+SQRT(D75*('Assumptions'!$D$49-'Assumptions'!$B$49)*('Assumptions'!$C$49-'Assumptions'!$B$49)),'Assumptions'!$D$49-SQRT((1-D75)*('Assumptions'!$D$49-'Assumptions'!$B$49)*('Assumptions'!$D$49-'Assumptions'!$C$49)))</x:f>
        <x:v>0.040727706889588614</x:v>
      </x:c>
      <x:c r="J75" s="132" t="n">
        <x:f>IF(E75&lt;(('Assumptions'!$C$50-'Assumptions'!$B$50)/('Assumptions'!$D$50-'Assumptions'!$B$50)),'Assumptions'!$B$50+SQRT(E75*('Assumptions'!$D$50-'Assumptions'!$B$50)*('Assumptions'!$C$50-'Assumptions'!$B$50)),'Assumptions'!$D$50-SQRT((1-E75)*('Assumptions'!$D$50-'Assumptions'!$B$50)*('Assumptions'!$D$50-'Assumptions'!$C$50)))</x:f>
        <x:v>0.06772369453997851</x:v>
      </x:c>
      <x:c r="K75" s="132" t="n">
        <x:f>IF(F75&lt;(('Assumptions'!$C$51-'Assumptions'!$B$51)/('Assumptions'!$D$51-'Assumptions'!$B$51)),'Assumptions'!$B$51+SQRT(F75*('Assumptions'!$D$51-'Assumptions'!$B$51)*('Assumptions'!$C$51-'Assumptions'!$B$51)),'Assumptions'!$D$51-SQRT((1-F75)*('Assumptions'!$D$51-'Assumptions'!$B$51)*('Assumptions'!$D$51-'Assumptions'!$C$51)))</x:f>
        <x:v>0.058643812182119434</x:v>
      </x:c>
      <x:c r="L75" s="133" t="n">
        <x:f>(('Assumptions'!$B$17*(1+G75)+'Assumptions'!$B$18)*(1-H75-'Assumptions'!$B$20)-SUM('Assumptions'!$B$21:$B$25)*(1+I75))-(('Assumptions'!$B$17*(1+G75)+'Assumptions'!$B$18)*(1-H75-'Assumptions'!$B$20)*'Assumptions'!$B$26)</x:f>
        <x:v>198277.9272284089</x:v>
      </x:c>
      <x:c r="M75" s="133" t="n">
        <x:f>'Assumptions'!$B$10*'Assumptions'!$B$33</x:f>
        <x:v>1950000</x:v>
      </x:c>
      <x:c r="N75" s="133" t="n">
        <x:f>-PMT(K75/12,'Assumptions'!$B$35*12,M75)*12</x:f>
        <x:v>138261.0700904057</x:v>
      </x:c>
      <x:c r="O75" s="133" t="n">
        <x:f>(L75*(1+'Assumptions'!$B$29)^('Assumptions'!$B$14/12)/J75)*(1-'Assumptions'!$B$42)-'Debt Schedule'!$F$9</x:f>
        <x:v>3190418.868565685</x:v>
      </x:c>
      <x:c r="P75" s="132" t="n">
        <x:f>((O75+(L75-N75-'Assumptions'!$B$27-'Assumptions'!$B$28)*('Assumptions'!$B$14/12))/ABS('Monthly Cash Flow'!$S$5))^(1/('Assumptions'!$B$14/12))-1</x:f>
        <x:v>0.20512487642329202</x:v>
      </x:c>
      <x:c r="Q75" s="133" t="n">
        <x:f>-ABS('Monthly Cash Flow'!$S$5)+((L75-N75-'Assumptions'!$B$27-'Assumptions'!$B$28)*(1-(1+'Assumptions'!$B$43)^-('Assumptions'!$B$14/12))/'Assumptions'!$B$43)+(O75/(1+'Assumptions'!$B$43)^('Assumptions'!$B$14/12))</x:f>
        <x:v>762378.7421865789</x:v>
      </x:c>
    </x:row>
    <x:row r="76">
      <x:c r="A76" s="131" t="n">
        <x:f>69</x:f>
        <x:v>69</x:v>
      </x:c>
      <x:c r="B76" s="131" t="n">
        <x:f>MOD(ABS(SIN((A76+1)*12.9898+78.233)*43758.5453),1)</x:f>
        <x:v>0.5974072363751475</x:v>
      </x:c>
      <x:c r="C76" s="131" t="n">
        <x:f>MOD(ABS(SIN((A76+2)*12.9898+78.233)*43758.5453),1)</x:f>
        <x:v>0.4472021277033491</x:v>
      </x:c>
      <x:c r="D76" s="131" t="n">
        <x:f>MOD(ABS(SIN((A76+3)*12.9898+78.233)*43758.5453),1)</x:f>
        <x:v>0.46415048623020994</x:v>
      </x:c>
      <x:c r="E76" s="131" t="n">
        <x:f>MOD(ABS(SIN((A76+4)*12.9898+78.233)*43758.5453),1)</x:f>
        <x:v>0.00475747748350841</x:v>
      </x:c>
      <x:c r="F76" s="131" t="n">
        <x:f>MOD(ABS(SIN((A76+5)*12.9898+78.233)*43758.5453),1)</x:f>
        <x:v>0.7290279205953993</x:v>
      </x:c>
      <x:c r="G76" s="132" t="n">
        <x:f>IF(B76&lt;(('Assumptions'!$C$47-'Assumptions'!$B$47)/('Assumptions'!$D$47-'Assumptions'!$B$47)),'Assumptions'!$B$47+SQRT(B76*('Assumptions'!$D$47-'Assumptions'!$B$47)*('Assumptions'!$C$47-'Assumptions'!$B$47)),'Assumptions'!$D$47-SQRT((1-B76)*('Assumptions'!$D$47-'Assumptions'!$B$47)*('Assumptions'!$D$47-'Assumptions'!$C$47)))</x:f>
        <x:v>0.01974044292971168</x:v>
      </x:c>
      <x:c r="H76" s="132" t="n">
        <x:f>IF(C76&lt;(('Assumptions'!$C$48-'Assumptions'!$B$48)/('Assumptions'!$D$48-'Assumptions'!$B$48)),'Assumptions'!$B$48+SQRT(C76*('Assumptions'!$D$48-'Assumptions'!$B$48)*('Assumptions'!$C$48-'Assumptions'!$B$48)),'Assumptions'!$D$48-SQRT((1-C76)*('Assumptions'!$D$48-'Assumptions'!$B$48)*('Assumptions'!$D$48-'Assumptions'!$C$48)))</x:f>
        <x:v>0.070253162966264</x:v>
      </x:c>
      <x:c r="I76" s="132" t="n">
        <x:f>IF(D76&lt;(('Assumptions'!$C$49-'Assumptions'!$B$49)/('Assumptions'!$D$49-'Assumptions'!$B$49)),'Assumptions'!$B$49+SQRT(D76*('Assumptions'!$D$49-'Assumptions'!$B$49)*('Assumptions'!$C$49-'Assumptions'!$B$49)),'Assumptions'!$D$49-SQRT((1-D76)*('Assumptions'!$D$49-'Assumptions'!$B$49)*('Assumptions'!$D$49-'Assumptions'!$C$49)))</x:f>
        <x:v>0.04241584922755831</x:v>
      </x:c>
      <x:c r="J76" s="132" t="n">
        <x:f>IF(E76&lt;(('Assumptions'!$C$50-'Assumptions'!$B$50)/('Assumptions'!$D$50-'Assumptions'!$B$50)),'Assumptions'!$B$50+SQRT(E76*('Assumptions'!$D$50-'Assumptions'!$B$50)*('Assumptions'!$C$50-'Assumptions'!$B$50)),'Assumptions'!$D$50-SQRT((1-E76)*('Assumptions'!$D$50-'Assumptions'!$B$50)*('Assumptions'!$D$50-'Assumptions'!$C$50)))</x:f>
        <x:v>0.058534617046925766</x:v>
      </x:c>
      <x:c r="K76" s="132" t="n">
        <x:f>IF(F76&lt;(('Assumptions'!$C$51-'Assumptions'!$B$51)/('Assumptions'!$D$51-'Assumptions'!$B$51)),'Assumptions'!$B$51+SQRT(F76*('Assumptions'!$D$51-'Assumptions'!$B$51)*('Assumptions'!$C$51-'Assumptions'!$B$51)),'Assumptions'!$D$51-SQRT((1-F76)*('Assumptions'!$D$51-'Assumptions'!$B$51)*('Assumptions'!$D$51-'Assumptions'!$C$51)))</x:f>
        <x:v>0.0735804854212859</x:v>
      </x:c>
      <x:c r="L76" s="133" t="n">
        <x:f>(('Assumptions'!$B$17*(1+G76)+'Assumptions'!$B$18)*(1-H76-'Assumptions'!$B$20)-SUM('Assumptions'!$B$21:$B$25)*(1+I76))-(('Assumptions'!$B$17*(1+G76)+'Assumptions'!$B$18)*(1-H76-'Assumptions'!$B$20)*'Assumptions'!$B$26)</x:f>
        <x:v>208688.12137755283</x:v>
      </x:c>
      <x:c r="M76" s="133" t="n">
        <x:f>'Assumptions'!$B$10*'Assumptions'!$B$33</x:f>
        <x:v>1950000</x:v>
      </x:c>
      <x:c r="N76" s="133" t="n">
        <x:f>-PMT(K76/12,'Assumptions'!$B$35*12,M76)*12</x:f>
        <x:v>161347.73031100977</x:v>
      </x:c>
      <x:c r="O76" s="133" t="n">
        <x:f>(L76*(1+'Assumptions'!$B$29)^('Assumptions'!$B$14/12)/J76)*(1-'Assumptions'!$B$42)-'Debt Schedule'!$F$9</x:f>
        <x:v>3885070.6893908023</x:v>
      </x:c>
      <x:c r="P76" s="132" t="n">
        <x:f>((O76+(L76-N76-'Assumptions'!$B$27-'Assumptions'!$B$28)*('Assumptions'!$B$14/12))/ABS('Monthly Cash Flow'!$S$5))^(1/('Assumptions'!$B$14/12))-1</x:f>
        <x:v>0.24817670108570966</x:v>
      </x:c>
      <x:c r="Q76" s="133" t="n">
        <x:f>-ABS('Monthly Cash Flow'!$S$5)+((L76-N76-'Assumptions'!$B$27-'Assumptions'!$B$28)*(1-(1+'Assumptions'!$B$43)^-('Assumptions'!$B$14/12))/'Assumptions'!$B$43)+(O76/(1+'Assumptions'!$B$43)^('Assumptions'!$B$14/12))</x:f>
        <x:v>1145649.0899722155</x:v>
      </x:c>
    </x:row>
    <x:row r="77">
      <x:c r="A77" s="131" t="n">
        <x:f>70</x:f>
        <x:v>70</x:v>
      </x:c>
      <x:c r="B77" s="131" t="n">
        <x:f>MOD(ABS(SIN((A77+1)*12.9898+78.233)*43758.5453),1)</x:f>
        <x:v>0.4472021277033491</x:v>
      </x:c>
      <x:c r="C77" s="131" t="n">
        <x:f>MOD(ABS(SIN((A77+2)*12.9898+78.233)*43758.5453),1)</x:f>
        <x:v>0.46415048623020994</x:v>
      </x:c>
      <x:c r="D77" s="131" t="n">
        <x:f>MOD(ABS(SIN((A77+3)*12.9898+78.233)*43758.5453),1)</x:f>
        <x:v>0.00475747748350841</x:v>
      </x:c>
      <x:c r="E77" s="131" t="n">
        <x:f>MOD(ABS(SIN((A77+4)*12.9898+78.233)*43758.5453),1)</x:f>
        <x:v>0.7290279205953993</x:v>
      </x:c>
      <x:c r="F77" s="131" t="n">
        <x:f>MOD(ABS(SIN((A77+5)*12.9898+78.233)*43758.5453),1)</x:f>
        <x:v>0.6668548080572236</x:v>
      </x:c>
      <x:c r="G77" s="132" t="n">
        <x:f>IF(B77&lt;(('Assumptions'!$C$47-'Assumptions'!$B$47)/('Assumptions'!$D$47-'Assumptions'!$B$47)),'Assumptions'!$B$47+SQRT(B77*('Assumptions'!$D$47-'Assumptions'!$B$47)*('Assumptions'!$C$47-'Assumptions'!$B$47)),'Assumptions'!$D$47-SQRT((1-B77)*('Assumptions'!$D$47-'Assumptions'!$B$47)*('Assumptions'!$D$47-'Assumptions'!$C$47)))</x:f>
        <x:v>0.0035994742500191357</x:v>
      </x:c>
      <x:c r="H77" s="132" t="n">
        <x:f>IF(C77&lt;(('Assumptions'!$C$48-'Assumptions'!$B$48)/('Assumptions'!$D$48-'Assumptions'!$B$48)),'Assumptions'!$B$48+SQRT(C77*('Assumptions'!$D$48-'Assumptions'!$B$48)*('Assumptions'!$C$48-'Assumptions'!$B$48)),'Assumptions'!$D$48-SQRT((1-C77)*('Assumptions'!$D$48-'Assumptions'!$B$48)*('Assumptions'!$D$48-'Assumptions'!$C$48)))</x:f>
        <x:v>0.0713306784570129</x:v>
      </x:c>
      <x:c r="I77" s="132" t="n">
        <x:f>IF(D77&lt;(('Assumptions'!$C$49-'Assumptions'!$B$49)/('Assumptions'!$D$49-'Assumptions'!$B$49)),'Assumptions'!$B$49+SQRT(D77*('Assumptions'!$D$49-'Assumptions'!$B$49)*('Assumptions'!$C$49-'Assumptions'!$B$49)),'Assumptions'!$D$49-SQRT((1-D77)*('Assumptions'!$D$49-'Assumptions'!$B$49)*('Assumptions'!$D$49-'Assumptions'!$C$49)))</x:f>
        <x:v>-0.0228319628333908</x:v>
      </x:c>
      <x:c r="J77" s="132" t="n">
        <x:f>IF(E77&lt;(('Assumptions'!$C$50-'Assumptions'!$B$50)/('Assumptions'!$D$50-'Assumptions'!$B$50)),'Assumptions'!$B$50+SQRT(E77*('Assumptions'!$D$50-'Assumptions'!$B$50)*('Assumptions'!$C$50-'Assumptions'!$B$50)),'Assumptions'!$D$50-SQRT((1-E77)*('Assumptions'!$D$50-'Assumptions'!$B$50)*('Assumptions'!$D$50-'Assumptions'!$C$50)))</x:f>
        <x:v>0.071270114701066</x:v>
      </x:c>
      <x:c r="K77" s="132" t="n">
        <x:f>IF(F77&lt;(('Assumptions'!$C$51-'Assumptions'!$B$51)/('Assumptions'!$D$51-'Assumptions'!$B$51)),'Assumptions'!$B$51+SQRT(F77*('Assumptions'!$D$51-'Assumptions'!$B$51)*('Assumptions'!$C$51-'Assumptions'!$B$51)),'Assumptions'!$D$51-SQRT((1-F77)*('Assumptions'!$D$51-'Assumptions'!$B$51)*('Assumptions'!$D$51-'Assumptions'!$C$51)))</x:f>
        <x:v>0.07233800475349714</x:v>
      </x:c>
      <x:c r="L77" s="133" t="n">
        <x:f>(('Assumptions'!$B$17*(1+G77)+'Assumptions'!$B$18)*(1-H77-'Assumptions'!$B$20)-SUM('Assumptions'!$B$21:$B$25)*(1+I77))-(('Assumptions'!$B$17*(1+G77)+'Assumptions'!$B$18)*(1-H77-'Assumptions'!$B$20)*'Assumptions'!$B$26)</x:f>
        <x:v>211386.3554201426</x:v>
      </x:c>
      <x:c r="M77" s="133" t="n">
        <x:f>'Assumptions'!$B$10*'Assumptions'!$B$33</x:f>
        <x:v>1950000</x:v>
      </x:c>
      <x:c r="N77" s="133" t="n">
        <x:f>-PMT(K77/12,'Assumptions'!$B$35*12,M77)*12</x:f>
        <x:v>159372.2181067036</x:v>
      </x:c>
      <x:c r="O77" s="133" t="n">
        <x:f>(L77*(1+'Assumptions'!$B$29)^('Assumptions'!$B$14/12)/J77)*(1-'Assumptions'!$B$42)-'Debt Schedule'!$F$9</x:f>
        <x:v>3232090.1850033216</x:v>
      </x:c>
      <x:c r="P77" s="132" t="n">
        <x:f>((O77+(L77-N77-'Assumptions'!$B$27-'Assumptions'!$B$28)*('Assumptions'!$B$14/12))/ABS('Monthly Cash Flow'!$S$5))^(1/('Assumptions'!$B$14/12))-1</x:f>
        <x:v>0.20524627754789693</x:v>
      </x:c>
      <x:c r="Q77" s="133" t="n">
        <x:f>-ABS('Monthly Cash Flow'!$S$5)+((L77-N77-'Assumptions'!$B$27-'Assumptions'!$B$28)*(1-(1+'Assumptions'!$B$43)^-('Assumptions'!$B$14/12))/'Assumptions'!$B$43)+(O77/(1+'Assumptions'!$B$43)^('Assumptions'!$B$14/12))</x:f>
        <x:v>757916.7466924123</x:v>
      </x:c>
    </x:row>
    <x:row r="78">
      <x:c r="A78" s="131" t="n">
        <x:f>71</x:f>
        <x:v>71</x:v>
      </x:c>
      <x:c r="B78" s="131" t="n">
        <x:f>MOD(ABS(SIN((A78+1)*12.9898+78.233)*43758.5453),1)</x:f>
        <x:v>0.46415048623020994</x:v>
      </x:c>
      <x:c r="C78" s="131" t="n">
        <x:f>MOD(ABS(SIN((A78+2)*12.9898+78.233)*43758.5453),1)</x:f>
        <x:v>0.00475747748350841</x:v>
      </x:c>
      <x:c r="D78" s="131" t="n">
        <x:f>MOD(ABS(SIN((A78+3)*12.9898+78.233)*43758.5453),1)</x:f>
        <x:v>0.7290279205953993</x:v>
      </x:c>
      <x:c r="E78" s="131" t="n">
        <x:f>MOD(ABS(SIN((A78+4)*12.9898+78.233)*43758.5453),1)</x:f>
        <x:v>0.6668548080572236</x:v>
      </x:c>
      <x:c r="F78" s="131" t="n">
        <x:f>MOD(ABS(SIN((A78+5)*12.9898+78.233)*43758.5453),1)</x:f>
        <x:v>0.7641619491369056</x:v>
      </x:c>
      <x:c r="G78" s="132" t="n">
        <x:f>IF(B78&lt;(('Assumptions'!$C$47-'Assumptions'!$B$47)/('Assumptions'!$D$47-'Assumptions'!$B$47)),'Assumptions'!$B$47+SQRT(B78*('Assumptions'!$D$47-'Assumptions'!$B$47)*('Assumptions'!$C$47-'Assumptions'!$B$47)),'Assumptions'!$D$47-SQRT((1-B78)*('Assumptions'!$D$47-'Assumptions'!$B$47)*('Assumptions'!$D$47-'Assumptions'!$C$47)))</x:f>
        <x:v>0.005544358776417027</x:v>
      </x:c>
      <x:c r="H78" s="132" t="n">
        <x:f>IF(C78&lt;(('Assumptions'!$C$48-'Assumptions'!$B$48)/('Assumptions'!$D$48-'Assumptions'!$B$48)),'Assumptions'!$B$48+SQRT(C78*('Assumptions'!$D$48-'Assumptions'!$B$48)*('Assumptions'!$C$48-'Assumptions'!$B$48)),'Assumptions'!$D$48-SQRT((1-C78)*('Assumptions'!$D$48-'Assumptions'!$B$48)*('Assumptions'!$D$48-'Assumptions'!$C$48)))</x:f>
        <x:v>0.03396228162749416</x:v>
      </x:c>
      <x:c r="I78" s="132" t="n">
        <x:f>IF(D78&lt;(('Assumptions'!$C$49-'Assumptions'!$B$49)/('Assumptions'!$D$49-'Assumptions'!$B$49)),'Assumptions'!$B$49+SQRT(D78*('Assumptions'!$D$49-'Assumptions'!$B$49)*('Assumptions'!$C$49-'Assumptions'!$B$49)),'Assumptions'!$D$49-SQRT((1-D78)*('Assumptions'!$D$49-'Assumptions'!$B$49)*('Assumptions'!$D$49-'Assumptions'!$C$49)))</x:f>
        <x:v>0.07349511835745791</x:v>
      </x:c>
      <x:c r="J78" s="132" t="n">
        <x:f>IF(E78&lt;(('Assumptions'!$C$50-'Assumptions'!$B$50)/('Assumptions'!$D$50-'Assumptions'!$B$50)),'Assumptions'!$B$50+SQRT(E78*('Assumptions'!$D$50-'Assumptions'!$B$50)*('Assumptions'!$C$50-'Assumptions'!$B$50)),'Assumptions'!$D$50-SQRT((1-E78)*('Assumptions'!$D$50-'Assumptions'!$B$50)*('Assumptions'!$D$50-'Assumptions'!$C$50)))</x:f>
        <x:v>0.07032027452693487</x:v>
      </x:c>
      <x:c r="K78" s="132" t="n">
        <x:f>IF(F78&lt;(('Assumptions'!$C$51-'Assumptions'!$B$51)/('Assumptions'!$D$51-'Assumptions'!$B$51)),'Assumptions'!$B$51+SQRT(F78*('Assumptions'!$D$51-'Assumptions'!$B$51)*('Assumptions'!$C$51-'Assumptions'!$B$51)),'Assumptions'!$D$51-SQRT((1-F78)*('Assumptions'!$D$51-'Assumptions'!$B$51)*('Assumptions'!$D$51-'Assumptions'!$C$51)))</x:f>
        <x:v>0.07434650001277214</x:v>
      </x:c>
      <x:c r="L78" s="133" t="n">
        <x:f>(('Assumptions'!$B$17*(1+G78)+'Assumptions'!$B$18)*(1-H78-'Assumptions'!$B$20)-SUM('Assumptions'!$B$21:$B$25)*(1+I78))-(('Assumptions'!$B$17*(1+G78)+'Assumptions'!$B$18)*(1-H78-'Assumptions'!$B$20)*'Assumptions'!$B$26)</x:f>
        <x:v>213498.47525912715</x:v>
      </x:c>
      <x:c r="M78" s="133" t="n">
        <x:f>'Assumptions'!$B$10*'Assumptions'!$B$33</x:f>
        <x:v>1950000</x:v>
      </x:c>
      <x:c r="N78" s="133" t="n">
        <x:f>-PMT(K78/12,'Assumptions'!$B$35*12,M78)*12</x:f>
        <x:v>162570.35748895584</x:v>
      </x:c>
      <x:c r="O78" s="133" t="n">
        <x:f>(L78*(1+'Assumptions'!$B$29)^('Assumptions'!$B$14/12)/J78)*(1-'Assumptions'!$B$42)-'Debt Schedule'!$F$9</x:f>
        <x:v>3308477.59055809</x:v>
      </x:c>
      <x:c r="P78" s="132" t="n">
        <x:f>((O78+(L78-N78-'Assumptions'!$B$27-'Assumptions'!$B$28)*('Assumptions'!$B$14/12))/ABS('Monthly Cash Flow'!$S$5))^(1/('Assumptions'!$B$14/12))-1</x:f>
        <x:v>0.21039749097373273</x:v>
      </x:c>
      <x:c r="Q78" s="133" t="n">
        <x:f>-ABS('Monthly Cash Flow'!$S$5)+((L78-N78-'Assumptions'!$B$27-'Assumptions'!$B$28)*(1-(1+'Assumptions'!$B$43)^-('Assumptions'!$B$14/12))/'Assumptions'!$B$43)+(O78/(1+'Assumptions'!$B$43)^('Assumptions'!$B$14/12))</x:f>
        <x:v>801230.4470985972</x:v>
      </x:c>
    </x:row>
    <x:row r="79">
      <x:c r="A79" s="131" t="n">
        <x:f>72</x:f>
        <x:v>72</x:v>
      </x:c>
      <x:c r="B79" s="131" t="n">
        <x:f>MOD(ABS(SIN((A79+1)*12.9898+78.233)*43758.5453),1)</x:f>
        <x:v>0.00475747748350841</x:v>
      </x:c>
      <x:c r="C79" s="131" t="n">
        <x:f>MOD(ABS(SIN((A79+2)*12.9898+78.233)*43758.5453),1)</x:f>
        <x:v>0.7290279205953993</x:v>
      </x:c>
      <x:c r="D79" s="131" t="n">
        <x:f>MOD(ABS(SIN((A79+3)*12.9898+78.233)*43758.5453),1)</x:f>
        <x:v>0.6668548080572236</x:v>
      </x:c>
      <x:c r="E79" s="131" t="n">
        <x:f>MOD(ABS(SIN((A79+4)*12.9898+78.233)*43758.5453),1)</x:f>
        <x:v>0.7641619491369056</x:v>
      </x:c>
      <x:c r="F79" s="131" t="n">
        <x:f>MOD(ABS(SIN((A79+5)*12.9898+78.233)*43758.5453),1)</x:f>
        <x:v>0.18037246007588692</x:v>
      </x:c>
      <x:c r="G79" s="132" t="n">
        <x:f>IF(B79&lt;(('Assumptions'!$C$47-'Assumptions'!$B$47)/('Assumptions'!$D$47-'Assumptions'!$B$47)),'Assumptions'!$B$47+SQRT(B79*('Assumptions'!$D$47-'Assumptions'!$B$47)*('Assumptions'!$C$47-'Assumptions'!$B$47)),'Assumptions'!$D$47-SQRT((1-B79)*('Assumptions'!$D$47-'Assumptions'!$B$47)*('Assumptions'!$D$47-'Assumptions'!$C$47)))</x:f>
        <x:v>-0.08931452108681123</x:v>
      </x:c>
      <x:c r="H79" s="132" t="n">
        <x:f>IF(C79&lt;(('Assumptions'!$C$48-'Assumptions'!$B$48)/('Assumptions'!$D$48-'Assumptions'!$B$48)),'Assumptions'!$B$48+SQRT(C79*('Assumptions'!$D$48-'Assumptions'!$B$48)*('Assumptions'!$C$48-'Assumptions'!$B$48)),'Assumptions'!$D$48-SQRT((1-C79)*('Assumptions'!$D$48-'Assumptions'!$B$48)*('Assumptions'!$D$48-'Assumptions'!$C$48)))</x:f>
        <x:v>0.0911681016264933</x:v>
      </x:c>
      <x:c r="I79" s="132" t="n">
        <x:f>IF(D79&lt;(('Assumptions'!$C$49-'Assumptions'!$B$49)/('Assumptions'!$D$49-'Assumptions'!$B$49)),'Assumptions'!$B$49+SQRT(D79*('Assumptions'!$D$49-'Assumptions'!$B$49)*('Assumptions'!$C$49-'Assumptions'!$B$49)),'Assumptions'!$D$49-SQRT((1-D79)*('Assumptions'!$D$49-'Assumptions'!$B$49)*('Assumptions'!$D$49-'Assumptions'!$C$49)))</x:f>
        <x:v>0.06517113612711786</x:v>
      </x:c>
      <x:c r="J79" s="132" t="n">
        <x:f>IF(E79&lt;(('Assumptions'!$C$50-'Assumptions'!$B$50)/('Assumptions'!$D$50-'Assumptions'!$B$50)),'Assumptions'!$B$50+SQRT(E79*('Assumptions'!$D$50-'Assumptions'!$B$50)*('Assumptions'!$C$50-'Assumptions'!$B$50)),'Assumptions'!$D$50-SQRT((1-E79)*('Assumptions'!$D$50-'Assumptions'!$B$50)*('Assumptions'!$D$50-'Assumptions'!$C$50)))</x:f>
        <x:v>0.07185571047879281</x:v>
      </x:c>
      <x:c r="K79" s="132" t="n">
        <x:f>IF(F79&lt;(('Assumptions'!$C$51-'Assumptions'!$B$51)/('Assumptions'!$D$51-'Assumptions'!$B$51)),'Assumptions'!$B$51+SQRT(F79*('Assumptions'!$D$51-'Assumptions'!$B$51)*('Assumptions'!$C$51-'Assumptions'!$B$51)),'Assumptions'!$D$51-SQRT((1-F79)*('Assumptions'!$D$51-'Assumptions'!$B$51)*('Assumptions'!$D$51-'Assumptions'!$C$51)))</x:f>
        <x:v>0.06454289901396215</x:v>
      </x:c>
      <x:c r="L79" s="133" t="n">
        <x:f>(('Assumptions'!$B$17*(1+G79)+'Assumptions'!$B$18)*(1-H79-'Assumptions'!$B$20)-SUM('Assumptions'!$B$21:$B$25)*(1+I79))-(('Assumptions'!$B$17*(1+G79)+'Assumptions'!$B$18)*(1-H79-'Assumptions'!$B$20)*'Assumptions'!$B$26)</x:f>
        <x:v>164212.22339886797</x:v>
      </x:c>
      <x:c r="M79" s="133" t="n">
        <x:f>'Assumptions'!$B$10*'Assumptions'!$B$33</x:f>
        <x:v>1950000</x:v>
      </x:c>
      <x:c r="N79" s="133" t="n">
        <x:f>-PMT(K79/12,'Assumptions'!$B$35*12,M79)*12</x:f>
        <x:v>147201.1859006539</x:v>
      </x:c>
      <x:c r="O79" s="133" t="n">
        <x:f>(L79*(1+'Assumptions'!$B$29)^('Assumptions'!$B$14/12)/J79)*(1-'Assumptions'!$B$42)-'Debt Schedule'!$F$9</x:f>
        <x:v>2490337.2839951594</x:v>
      </x:c>
      <x:c r="P79" s="132" t="n">
        <x:f>((O79+(L79-N79-'Assumptions'!$B$27-'Assumptions'!$B$28)*('Assumptions'!$B$14/12))/ABS('Monthly Cash Flow'!$S$5))^(1/('Assumptions'!$B$14/12))-1</x:f>
        <x:v>0.12908506859920088</x:v>
      </x:c>
      <x:c r="Q79" s="133" t="n">
        <x:f>-ABS('Monthly Cash Flow'!$S$5)+((L79-N79-'Assumptions'!$B$27-'Assumptions'!$B$28)*(1-(1+'Assumptions'!$B$43)^-('Assumptions'!$B$14/12))/'Assumptions'!$B$43)+(O79/(1+'Assumptions'!$B$43)^('Assumptions'!$B$14/12))</x:f>
        <x:v>164657.26634761994</x:v>
      </x:c>
    </x:row>
    <x:row r="80">
      <x:c r="A80" s="131" t="n">
        <x:f>73</x:f>
        <x:v>73</x:v>
      </x:c>
      <x:c r="B80" s="131" t="n">
        <x:f>MOD(ABS(SIN((A80+1)*12.9898+78.233)*43758.5453),1)</x:f>
        <x:v>0.7290279205953993</x:v>
      </x:c>
      <x:c r="C80" s="131" t="n">
        <x:f>MOD(ABS(SIN((A80+2)*12.9898+78.233)*43758.5453),1)</x:f>
        <x:v>0.6668548080572236</x:v>
      </x:c>
      <x:c r="D80" s="131" t="n">
        <x:f>MOD(ABS(SIN((A80+3)*12.9898+78.233)*43758.5453),1)</x:f>
        <x:v>0.7641619491369056</x:v>
      </x:c>
      <x:c r="E80" s="131" t="n">
        <x:f>MOD(ABS(SIN((A80+4)*12.9898+78.233)*43758.5453),1)</x:f>
        <x:v>0.18037246007588692</x:v>
      </x:c>
      <x:c r="F80" s="131" t="n">
        <x:f>MOD(ABS(SIN((A80+5)*12.9898+78.233)*43758.5453),1)</x:f>
        <x:v>0.019940156518714502</x:v>
      </x:c>
      <x:c r="G80" s="132" t="n">
        <x:f>IF(B80&lt;(('Assumptions'!$C$47-'Assumptions'!$B$47)/('Assumptions'!$D$47-'Assumptions'!$B$47)),'Assumptions'!$B$47+SQRT(B80*('Assumptions'!$D$47-'Assumptions'!$B$47)*('Assumptions'!$C$47-'Assumptions'!$B$47)),'Assumptions'!$D$47-SQRT((1-B80)*('Assumptions'!$D$47-'Assumptions'!$B$47)*('Assumptions'!$D$47-'Assumptions'!$C$47)))</x:f>
        <x:v>0.03415508166552554</x:v>
      </x:c>
      <x:c r="H80" s="132" t="n">
        <x:f>IF(C80&lt;(('Assumptions'!$C$48-'Assumptions'!$B$48)/('Assumptions'!$D$48-'Assumptions'!$B$48)),'Assumptions'!$B$48+SQRT(C80*('Assumptions'!$D$48-'Assumptions'!$B$48)*('Assumptions'!$C$48-'Assumptions'!$B$48)),'Assumptions'!$D$48-SQRT((1-C80)*('Assumptions'!$D$48-'Assumptions'!$B$48)*('Assumptions'!$D$48-'Assumptions'!$C$48)))</x:f>
        <x:v>0.08585503080528689</x:v>
      </x:c>
      <x:c r="I80" s="132" t="n">
        <x:f>IF(D80&lt;(('Assumptions'!$C$49-'Assumptions'!$B$49)/('Assumptions'!$D$49-'Assumptions'!$B$49)),'Assumptions'!$B$49+SQRT(D80*('Assumptions'!$D$49-'Assumptions'!$B$49)*('Assumptions'!$C$49-'Assumptions'!$B$49)),'Assumptions'!$D$49-SQRT((1-D80)*('Assumptions'!$D$49-'Assumptions'!$B$49)*('Assumptions'!$D$49-'Assumptions'!$C$49)))</x:f>
        <x:v>0.07862702263010994</x:v>
      </x:c>
      <x:c r="J80" s="132" t="n">
        <x:f>IF(E80&lt;(('Assumptions'!$C$50-'Assumptions'!$B$50)/('Assumptions'!$D$50-'Assumptions'!$B$50)),'Assumptions'!$B$50+SQRT(E80*('Assumptions'!$D$50-'Assumptions'!$B$50)*('Assumptions'!$C$50-'Assumptions'!$B$50)),'Assumptions'!$D$50-SQRT((1-E80)*('Assumptions'!$D$50-'Assumptions'!$B$50)*('Assumptions'!$D$50-'Assumptions'!$C$50)))</x:f>
        <x:v>0.06387054185427539</x:v>
      </x:c>
      <x:c r="K80" s="132" t="n">
        <x:f>IF(F80&lt;(('Assumptions'!$C$51-'Assumptions'!$B$51)/('Assumptions'!$D$51-'Assumptions'!$B$51)),'Assumptions'!$B$51+SQRT(F80*('Assumptions'!$D$51-'Assumptions'!$B$51)*('Assumptions'!$C$51-'Assumptions'!$B$51)),'Assumptions'!$D$51-SQRT((1-F80)*('Assumptions'!$D$51-'Assumptions'!$B$51)*('Assumptions'!$D$51-'Assumptions'!$C$51)))</x:f>
        <x:v>0.059841696616269174</x:v>
      </x:c>
      <x:c r="L80" s="133" t="n">
        <x:f>(('Assumptions'!$B$17*(1+G80)+'Assumptions'!$B$18)*(1-H80-'Assumptions'!$B$20)-SUM('Assumptions'!$B$21:$B$25)*(1+I80))-(('Assumptions'!$B$17*(1+G80)+'Assumptions'!$B$18)*(1-H80-'Assumptions'!$B$20)*'Assumptions'!$B$26)</x:f>
        <x:v>202861.64537195006</x:v>
      </x:c>
      <x:c r="M80" s="133" t="n">
        <x:f>'Assumptions'!$B$10*'Assumptions'!$B$33</x:f>
        <x:v>1950000</x:v>
      </x:c>
      <x:c r="N80" s="133" t="n">
        <x:f>-PMT(K80/12,'Assumptions'!$B$35*12,M80)*12</x:f>
        <x:v>140056.75512740485</x:v>
      </x:c>
      <x:c r="O80" s="133" t="n">
        <x:f>(L80*(1+'Assumptions'!$B$29)^('Assumptions'!$B$14/12)/J80)*(1-'Assumptions'!$B$42)-'Debt Schedule'!$F$9</x:f>
        <x:v>3461093.4080524356</x:v>
      </x:c>
      <x:c r="P80" s="132" t="n">
        <x:f>((O80+(L80-N80-'Assumptions'!$B$27-'Assumptions'!$B$28)*('Assumptions'!$B$14/12))/ABS('Monthly Cash Flow'!$S$5))^(1/('Assumptions'!$B$14/12))-1</x:f>
        <x:v>0.22528653725101666</x:v>
      </x:c>
      <x:c r="Q80" s="133" t="n">
        <x:f>-ABS('Monthly Cash Flow'!$S$5)+((L80-N80-'Assumptions'!$B$27-'Assumptions'!$B$28)*(1-(1+'Assumptions'!$B$43)^-('Assumptions'!$B$14/12))/'Assumptions'!$B$43)+(O80/(1+'Assumptions'!$B$43)^('Assumptions'!$B$14/12))</x:f>
        <x:v>941015.1743760717</x:v>
      </x:c>
    </x:row>
    <x:row r="81">
      <x:c r="A81" s="131" t="n">
        <x:f>74</x:f>
        <x:v>74</x:v>
      </x:c>
      <x:c r="B81" s="131" t="n">
        <x:f>MOD(ABS(SIN((A81+1)*12.9898+78.233)*43758.5453),1)</x:f>
        <x:v>0.6668548080572236</x:v>
      </x:c>
      <x:c r="C81" s="131" t="n">
        <x:f>MOD(ABS(SIN((A81+2)*12.9898+78.233)*43758.5453),1)</x:f>
        <x:v>0.7641619491369056</x:v>
      </x:c>
      <x:c r="D81" s="131" t="n">
        <x:f>MOD(ABS(SIN((A81+3)*12.9898+78.233)*43758.5453),1)</x:f>
        <x:v>0.18037246007588692</x:v>
      </x:c>
      <x:c r="E81" s="131" t="n">
        <x:f>MOD(ABS(SIN((A81+4)*12.9898+78.233)*43758.5453),1)</x:f>
        <x:v>0.019940156518714502</x:v>
      </x:c>
      <x:c r="F81" s="131" t="n">
        <x:f>MOD(ABS(SIN((A81+5)*12.9898+78.233)*43758.5453),1)</x:f>
        <x:v>0.7314049748820253</x:v>
      </x:c>
      <x:c r="G81" s="132" t="n">
        <x:f>IF(B81&lt;(('Assumptions'!$C$47-'Assumptions'!$B$47)/('Assumptions'!$D$47-'Assumptions'!$B$47)),'Assumptions'!$B$47+SQRT(B81*('Assumptions'!$D$47-'Assumptions'!$B$47)*('Assumptions'!$C$47-'Assumptions'!$B$47)),'Assumptions'!$D$47-SQRT((1-B81)*('Assumptions'!$D$47-'Assumptions'!$B$47)*('Assumptions'!$D$47-'Assumptions'!$C$47)))</x:f>
        <x:v>0.02699093843169588</x:v>
      </x:c>
      <x:c r="H81" s="132" t="n">
        <x:f>IF(C81&lt;(('Assumptions'!$C$48-'Assumptions'!$B$48)/('Assumptions'!$D$48-'Assumptions'!$B$48)),'Assumptions'!$B$48+SQRT(C81*('Assumptions'!$D$48-'Assumptions'!$B$48)*('Assumptions'!$C$48-'Assumptions'!$B$48)),'Assumptions'!$D$48-SQRT((1-C81)*('Assumptions'!$D$48-'Assumptions'!$B$48)*('Assumptions'!$D$48-'Assumptions'!$C$48)))</x:f>
        <x:v>0.09444371780319173</x:v>
      </x:c>
      <x:c r="I81" s="132" t="n">
        <x:f>IF(D81&lt;(('Assumptions'!$C$49-'Assumptions'!$B$49)/('Assumptions'!$D$49-'Assumptions'!$B$49)),'Assumptions'!$B$49+SQRT(D81*('Assumptions'!$D$49-'Assumptions'!$B$49)*('Assumptions'!$C$49-'Assumptions'!$B$49)),'Assumptions'!$D$49-SQRT((1-D81)*('Assumptions'!$D$49-'Assumptions'!$B$49)*('Assumptions'!$D$49-'Assumptions'!$C$49)))</x:f>
        <x:v>0.014136408653396104</x:v>
      </x:c>
      <x:c r="J81" s="132" t="n">
        <x:f>IF(E81&lt;(('Assumptions'!$C$50-'Assumptions'!$B$50)/('Assumptions'!$D$50-'Assumptions'!$B$50)),'Assumptions'!$B$50+SQRT(E81*('Assumptions'!$D$50-'Assumptions'!$B$50)*('Assumptions'!$C$50-'Assumptions'!$B$50)),'Assumptions'!$D$50-SQRT((1-E81)*('Assumptions'!$D$50-'Assumptions'!$B$50)*('Assumptions'!$D$50-'Assumptions'!$C$50)))</x:f>
        <x:v>0.059618144286093556</x:v>
      </x:c>
      <x:c r="K81" s="132" t="n">
        <x:f>IF(F81&lt;(('Assumptions'!$C$51-'Assumptions'!$B$51)/('Assumptions'!$D$51-'Assumptions'!$B$51)),'Assumptions'!$B$51+SQRT(F81*('Assumptions'!$D$51-'Assumptions'!$B$51)*('Assumptions'!$C$51-'Assumptions'!$B$51)),'Assumptions'!$D$51-SQRT((1-F81)*('Assumptions'!$D$51-'Assumptions'!$B$51)*('Assumptions'!$D$51-'Assumptions'!$C$51)))</x:f>
        <x:v>0.07363068358088204</x:v>
      </x:c>
      <x:c r="L81" s="133" t="n">
        <x:f>(('Assumptions'!$B$17*(1+G81)+'Assumptions'!$B$18)*(1-H81-'Assumptions'!$B$20)-SUM('Assumptions'!$B$21:$B$25)*(1+I81))-(('Assumptions'!$B$17*(1+G81)+'Assumptions'!$B$18)*(1-H81-'Assumptions'!$B$20)*'Assumptions'!$B$26)</x:f>
        <x:v>205552.08637977278</x:v>
      </x:c>
      <x:c r="M81" s="133" t="n">
        <x:f>'Assumptions'!$B$10*'Assumptions'!$B$33</x:f>
        <x:v>1950000</x:v>
      </x:c>
      <x:c r="N81" s="133" t="n">
        <x:f>-PMT(K81/12,'Assumptions'!$B$35*12,M81)*12</x:f>
        <x:v>161427.74220590323</x:v>
      </x:c>
      <x:c r="O81" s="133" t="n">
        <x:f>(L81*(1+'Assumptions'!$B$29)^('Assumptions'!$B$14/12)/J81)*(1-'Assumptions'!$B$42)-'Debt Schedule'!$F$9</x:f>
        <x:v>3757140.2978252796</x:v>
      </x:c>
      <x:c r="P81" s="132" t="n">
        <x:f>((O81+(L81-N81-'Assumptions'!$B$27-'Assumptions'!$B$28)*('Assumptions'!$B$14/12))/ABS('Monthly Cash Flow'!$S$5))^(1/('Assumptions'!$B$14/12))-1</x:f>
        <x:v>0.23887220183451885</x:v>
      </x:c>
      <x:c r="Q81" s="133" t="n">
        <x:f>-ABS('Monthly Cash Flow'!$S$5)+((L81-N81-'Assumptions'!$B$27-'Assumptions'!$B$28)*(1-(1+'Assumptions'!$B$43)^-('Assumptions'!$B$14/12))/'Assumptions'!$B$43)+(O81/(1+'Assumptions'!$B$43)^('Assumptions'!$B$14/12))</x:f>
        <x:v>1054023.0339713318</x:v>
      </x:c>
    </x:row>
    <x:row r="82">
      <x:c r="A82" s="131" t="n">
        <x:f>75</x:f>
        <x:v>75</x:v>
      </x:c>
      <x:c r="B82" s="131" t="n">
        <x:f>MOD(ABS(SIN((A82+1)*12.9898+78.233)*43758.5453),1)</x:f>
        <x:v>0.7641619491369056</x:v>
      </x:c>
      <x:c r="C82" s="131" t="n">
        <x:f>MOD(ABS(SIN((A82+2)*12.9898+78.233)*43758.5453),1)</x:f>
        <x:v>0.18037246007588692</x:v>
      </x:c>
      <x:c r="D82" s="131" t="n">
        <x:f>MOD(ABS(SIN((A82+3)*12.9898+78.233)*43758.5453),1)</x:f>
        <x:v>0.019940156518714502</x:v>
      </x:c>
      <x:c r="E82" s="131" t="n">
        <x:f>MOD(ABS(SIN((A82+4)*12.9898+78.233)*43758.5453),1)</x:f>
        <x:v>0.7314049748820253</x:v>
      </x:c>
      <x:c r="F82" s="131" t="n">
        <x:f>MOD(ABS(SIN((A82+5)*12.9898+78.233)*43758.5453),1)</x:f>
        <x:v>0.912772238618345</x:v>
      </x:c>
      <x:c r="G82" s="132" t="n">
        <x:f>IF(B82&lt;(('Assumptions'!$C$47-'Assumptions'!$B$47)/('Assumptions'!$D$47-'Assumptions'!$B$47)),'Assumptions'!$B$47+SQRT(B82*('Assumptions'!$D$47-'Assumptions'!$B$47)*('Assumptions'!$C$47-'Assumptions'!$B$47)),'Assumptions'!$D$47-SQRT((1-B82)*('Assumptions'!$D$47-'Assumptions'!$B$47)*('Assumptions'!$D$47-'Assumptions'!$C$47)))</x:f>
        <x:v>0.03857192161715043</x:v>
      </x:c>
      <x:c r="H82" s="132" t="n">
        <x:f>IF(C82&lt;(('Assumptions'!$C$48-'Assumptions'!$B$48)/('Assumptions'!$D$48-'Assumptions'!$B$48)),'Assumptions'!$B$48+SQRT(C82*('Assumptions'!$D$48-'Assumptions'!$B$48)*('Assumptions'!$C$48-'Assumptions'!$B$48)),'Assumptions'!$D$48-SQRT((1-C82)*('Assumptions'!$D$48-'Assumptions'!$B$48)*('Assumptions'!$D$48-'Assumptions'!$C$48)))</x:f>
        <x:v>0.05439731784951835</x:v>
      </x:c>
      <x:c r="I82" s="132" t="n">
        <x:f>IF(D82&lt;(('Assumptions'!$C$49-'Assumptions'!$B$49)/('Assumptions'!$D$49-'Assumptions'!$B$49)),'Assumptions'!$B$49+SQRT(D82*('Assumptions'!$D$49-'Assumptions'!$B$49)*('Assumptions'!$C$49-'Assumptions'!$B$49)),'Assumptions'!$D$49-SQRT((1-D82)*('Assumptions'!$D$49-'Assumptions'!$B$49)*('Assumptions'!$D$49-'Assumptions'!$C$49)))</x:f>
        <x:v>-0.01532506591489704</x:v>
      </x:c>
      <x:c r="J82" s="132" t="n">
        <x:f>IF(E82&lt;(('Assumptions'!$C$50-'Assumptions'!$B$50)/('Assumptions'!$D$50-'Assumptions'!$B$50)),'Assumptions'!$B$50+SQRT(E82*('Assumptions'!$D$50-'Assumptions'!$B$50)*('Assumptions'!$C$50-'Assumptions'!$B$50)),'Assumptions'!$D$50-SQRT((1-E82)*('Assumptions'!$D$50-'Assumptions'!$B$50)*('Assumptions'!$D$50-'Assumptions'!$C$50)))</x:f>
        <x:v>0.07130848972764628</x:v>
      </x:c>
      <x:c r="K82" s="132" t="n">
        <x:f>IF(F82&lt;(('Assumptions'!$C$51-'Assumptions'!$B$51)/('Assumptions'!$D$51-'Assumptions'!$B$51)),'Assumptions'!$B$51+SQRT(F82*('Assumptions'!$D$51-'Assumptions'!$B$51)*('Assumptions'!$C$51-'Assumptions'!$B$51)),'Assumptions'!$D$51-SQRT((1-F82)*('Assumptions'!$D$51-'Assumptions'!$B$51)*('Assumptions'!$D$51-'Assumptions'!$C$51)))</x:f>
        <x:v>0.07852092906622243</x:v>
      </x:c>
      <x:c r="L82" s="133" t="n">
        <x:f>(('Assumptions'!$B$17*(1+G82)+'Assumptions'!$B$18)*(1-H82-'Assumptions'!$B$20)-SUM('Assumptions'!$B$21:$B$25)*(1+I82))-(('Assumptions'!$B$17*(1+G82)+'Assumptions'!$B$18)*(1-H82-'Assumptions'!$B$20)*'Assumptions'!$B$26)</x:f>
        <x:v>227914.4700956791</x:v>
      </x:c>
      <x:c r="M82" s="133" t="n">
        <x:f>'Assumptions'!$B$10*'Assumptions'!$B$33</x:f>
        <x:v>1950000</x:v>
      </x:c>
      <x:c r="N82" s="133" t="n">
        <x:f>-PMT(K82/12,'Assumptions'!$B$35*12,M82)*12</x:f>
        <x:v>169294.33103484113</x:v>
      </x:c>
      <x:c r="O82" s="133" t="n">
        <x:f>(L82*(1+'Assumptions'!$B$29)^('Assumptions'!$B$14/12)/J82)*(1-'Assumptions'!$B$42)-'Debt Schedule'!$F$9</x:f>
        <x:v>3482929.130990539</x:v>
      </x:c>
      <x:c r="P82" s="132" t="n">
        <x:f>((O82+(L82-N82-'Assumptions'!$B$27-'Assumptions'!$B$28)*('Assumptions'!$B$14/12))/ABS('Monthly Cash Flow'!$S$5))^(1/('Assumptions'!$B$14/12))-1</x:f>
        <x:v>0.2253490418708355</x:v>
      </x:c>
      <x:c r="Q82" s="133" t="n">
        <x:f>-ABS('Monthly Cash Flow'!$S$5)+((L82-N82-'Assumptions'!$B$27-'Assumptions'!$B$28)*(1-(1+'Assumptions'!$B$43)^-('Assumptions'!$B$14/12))/'Assumptions'!$B$43)+(O82/(1+'Assumptions'!$B$43)^('Assumptions'!$B$14/12))</x:f>
        <x:v>938709.9409322883</x:v>
      </x:c>
    </x:row>
    <x:row r="83">
      <x:c r="A83" s="131" t="n">
        <x:f>76</x:f>
        <x:v>76</x:v>
      </x:c>
      <x:c r="B83" s="131" t="n">
        <x:f>MOD(ABS(SIN((A83+1)*12.9898+78.233)*43758.5453),1)</x:f>
        <x:v>0.18037246007588692</x:v>
      </x:c>
      <x:c r="C83" s="131" t="n">
        <x:f>MOD(ABS(SIN((A83+2)*12.9898+78.233)*43758.5453),1)</x:f>
        <x:v>0.019940156518714502</x:v>
      </x:c>
      <x:c r="D83" s="131" t="n">
        <x:f>MOD(ABS(SIN((A83+3)*12.9898+78.233)*43758.5453),1)</x:f>
        <x:v>0.7314049748820253</x:v>
      </x:c>
      <x:c r="E83" s="131" t="n">
        <x:f>MOD(ABS(SIN((A83+4)*12.9898+78.233)*43758.5453),1)</x:f>
        <x:v>0.912772238618345</x:v>
      </x:c>
      <x:c r="F83" s="131" t="n">
        <x:f>MOD(ABS(SIN((A83+5)*12.9898+78.233)*43758.5453),1)</x:f>
        <x:v>0.4693242946596001</x:v>
      </x:c>
      <x:c r="G83" s="132" t="n">
        <x:f>IF(B83&lt;(('Assumptions'!$C$47-'Assumptions'!$B$47)/('Assumptions'!$D$47-'Assumptions'!$B$47)),'Assumptions'!$B$47+SQRT(B83*('Assumptions'!$D$47-'Assumptions'!$B$47)*('Assumptions'!$C$47-'Assumptions'!$B$47)),'Assumptions'!$D$47-SQRT((1-B83)*('Assumptions'!$D$47-'Assumptions'!$B$47)*('Assumptions'!$D$47-'Assumptions'!$C$47)))</x:f>
        <x:v>-0.0342053266455309</x:v>
      </x:c>
      <x:c r="H83" s="132" t="n">
        <x:f>IF(C83&lt;(('Assumptions'!$C$48-'Assumptions'!$B$48)/('Assumptions'!$D$48-'Assumptions'!$B$48)),'Assumptions'!$B$48+SQRT(C83*('Assumptions'!$D$48-'Assumptions'!$B$48)*('Assumptions'!$C$48-'Assumptions'!$B$48)),'Assumptions'!$D$48-SQRT((1-C83)*('Assumptions'!$D$48-'Assumptions'!$B$48)*('Assumptions'!$D$48-'Assumptions'!$C$48)))</x:f>
        <x:v>0.03811187503058065</x:v>
      </x:c>
      <x:c r="I83" s="132" t="n">
        <x:f>IF(D83&lt;(('Assumptions'!$C$49-'Assumptions'!$B$49)/('Assumptions'!$D$49-'Assumptions'!$B$49)),'Assumptions'!$B$49+SQRT(D83*('Assumptions'!$D$49-'Assumptions'!$B$49)*('Assumptions'!$C$49-'Assumptions'!$B$49)),'Assumptions'!$D$49-SQRT((1-D83)*('Assumptions'!$D$49-'Assumptions'!$B$49)*('Assumptions'!$D$49-'Assumptions'!$C$49)))</x:f>
        <x:v>0.07383142024070388</x:v>
      </x:c>
      <x:c r="J83" s="132" t="n">
        <x:f>IF(E83&lt;(('Assumptions'!$C$50-'Assumptions'!$B$50)/('Assumptions'!$D$50-'Assumptions'!$B$50)),'Assumptions'!$B$50+SQRT(E83*('Assumptions'!$D$50-'Assumptions'!$B$50)*('Assumptions'!$C$50-'Assumptions'!$B$50)),'Assumptions'!$D$50-SQRT((1-E83)*('Assumptions'!$D$50-'Assumptions'!$B$50)*('Assumptions'!$D$50-'Assumptions'!$C$50)))</x:f>
        <x:v>0.07504693954321266</x:v>
      </x:c>
      <x:c r="K83" s="132" t="n">
        <x:f>IF(F83&lt;(('Assumptions'!$C$51-'Assumptions'!$B$51)/('Assumptions'!$D$51-'Assumptions'!$B$51)),'Assumptions'!$B$51+SQRT(F83*('Assumptions'!$D$51-'Assumptions'!$B$51)*('Assumptions'!$C$51-'Assumptions'!$B$51)),'Assumptions'!$D$51-SQRT((1-F83)*('Assumptions'!$D$51-'Assumptions'!$B$51)*('Assumptions'!$D$51-'Assumptions'!$C$51)))</x:f>
        <x:v>0.06901914635587111</x:v>
      </x:c>
      <x:c r="L83" s="133" t="n">
        <x:f>(('Assumptions'!$B$17*(1+G83)+'Assumptions'!$B$18)*(1-H83-'Assumptions'!$B$20)-SUM('Assumptions'!$B$21:$B$25)*(1+I83))-(('Assumptions'!$B$17*(1+G83)+'Assumptions'!$B$18)*(1-H83-'Assumptions'!$B$20)*'Assumptions'!$B$26)</x:f>
        <x:v>198865.790787647</x:v>
      </x:c>
      <x:c r="M83" s="133" t="n">
        <x:f>'Assumptions'!$B$10*'Assumptions'!$B$33</x:f>
        <x:v>1950000</x:v>
      </x:c>
      <x:c r="N83" s="133" t="n">
        <x:f>-PMT(K83/12,'Assumptions'!$B$35*12,M83)*12</x:f>
        <x:v>154142.3992591796</x:v>
      </x:c>
      <x:c r="O83" s="133" t="n">
        <x:f>(L83*(1+'Assumptions'!$B$29)^('Assumptions'!$B$14/12)/J83)*(1-'Assumptions'!$B$42)-'Debt Schedule'!$F$9</x:f>
        <x:v>2887626.857441504</x:v>
      </x:c>
      <x:c r="P83" s="132" t="n">
        <x:f>((O83+(L83-N83-'Assumptions'!$B$27-'Assumptions'!$B$28)*('Assumptions'!$B$14/12))/ABS('Monthly Cash Flow'!$S$5))^(1/('Assumptions'!$B$14/12))-1</x:f>
        <x:v>0.17596746056178736</x:v>
      </x:c>
      <x:c r="Q83" s="133" t="n">
        <x:f>-ABS('Monthly Cash Flow'!$S$5)+((L83-N83-'Assumptions'!$B$27-'Assumptions'!$B$28)*(1-(1+'Assumptions'!$B$43)^-('Assumptions'!$B$14/12))/'Assumptions'!$B$43)+(O83/(1+'Assumptions'!$B$43)^('Assumptions'!$B$14/12))</x:f>
        <x:v>516394.4589365788</x:v>
      </x:c>
    </x:row>
    <x:row r="84">
      <x:c r="A84" s="131" t="n">
        <x:f>77</x:f>
        <x:v>77</x:v>
      </x:c>
      <x:c r="B84" s="131" t="n">
        <x:f>MOD(ABS(SIN((A84+1)*12.9898+78.233)*43758.5453),1)</x:f>
        <x:v>0.019940156518714502</x:v>
      </x:c>
      <x:c r="C84" s="131" t="n">
        <x:f>MOD(ABS(SIN((A84+2)*12.9898+78.233)*43758.5453),1)</x:f>
        <x:v>0.7314049748820253</x:v>
      </x:c>
      <x:c r="D84" s="131" t="n">
        <x:f>MOD(ABS(SIN((A84+3)*12.9898+78.233)*43758.5453),1)</x:f>
        <x:v>0.912772238618345</x:v>
      </x:c>
      <x:c r="E84" s="131" t="n">
        <x:f>MOD(ABS(SIN((A84+4)*12.9898+78.233)*43758.5453),1)</x:f>
        <x:v>0.4693242946596001</x:v>
      </x:c>
      <x:c r="F84" s="131" t="n">
        <x:f>MOD(ABS(SIN((A84+5)*12.9898+78.233)*43758.5453),1)</x:f>
        <x:v>0.6204731974148672</x:v>
      </x:c>
      <x:c r="G84" s="132" t="n">
        <x:f>IF(B84&lt;(('Assumptions'!$C$47-'Assumptions'!$B$47)/('Assumptions'!$D$47-'Assumptions'!$B$47)),'Assumptions'!$B$47+SQRT(B84*('Assumptions'!$D$47-'Assumptions'!$B$47)*('Assumptions'!$C$47-'Assumptions'!$B$47)),'Assumptions'!$D$47-SQRT((1-B84)*('Assumptions'!$D$47-'Assumptions'!$B$47)*('Assumptions'!$D$47-'Assumptions'!$C$47)))</x:f>
        <x:v>-0.07812389988025407</x:v>
      </x:c>
      <x:c r="H84" s="132" t="n">
        <x:f>IF(C84&lt;(('Assumptions'!$C$48-'Assumptions'!$B$48)/('Assumptions'!$D$48-'Assumptions'!$B$48)),'Assumptions'!$B$48+SQRT(C84*('Assumptions'!$D$48-'Assumptions'!$B$48)*('Assumptions'!$C$48-'Assumptions'!$B$48)),'Assumptions'!$D$48-SQRT((1-C84)*('Assumptions'!$D$48-'Assumptions'!$B$48)*('Assumptions'!$D$48-'Assumptions'!$C$48)))</x:f>
        <x:v>0.09138275798609945</x:v>
      </x:c>
      <x:c r="I84" s="132" t="n">
        <x:f>IF(D84&lt;(('Assumptions'!$C$49-'Assumptions'!$B$49)/('Assumptions'!$D$49-'Assumptions'!$B$49)),'Assumptions'!$B$49+SQRT(D84*('Assumptions'!$D$49-'Assumptions'!$B$49)*('Assumptions'!$C$49-'Assumptions'!$B$49)),'Assumptions'!$D$49-SQRT((1-D84)*('Assumptions'!$D$49-'Assumptions'!$B$49)*('Assumptions'!$D$49-'Assumptions'!$C$49)))</x:f>
        <x:v>0.10659355294609166</x:v>
      </x:c>
      <x:c r="J84" s="132" t="n">
        <x:f>IF(E84&lt;(('Assumptions'!$C$50-'Assumptions'!$B$50)/('Assumptions'!$D$50-'Assumptions'!$B$50)),'Assumptions'!$B$50+SQRT(E84*('Assumptions'!$D$50-'Assumptions'!$B$50)*('Assumptions'!$C$50-'Assumptions'!$B$50)),'Assumptions'!$D$50-SQRT((1-E84)*('Assumptions'!$D$50-'Assumptions'!$B$50)*('Assumptions'!$D$50-'Assumptions'!$C$50)))</x:f>
        <x:v>0.06778310423524096</x:v>
      </x:c>
      <x:c r="K84" s="132" t="n">
        <x:f>IF(F84&lt;(('Assumptions'!$C$51-'Assumptions'!$B$51)/('Assumptions'!$D$51-'Assumptions'!$B$51)),'Assumptions'!$B$51+SQRT(F84*('Assumptions'!$D$51-'Assumptions'!$B$51)*('Assumptions'!$C$51-'Assumptions'!$B$51)),'Assumptions'!$D$51-SQRT((1-F84)*('Assumptions'!$D$51-'Assumptions'!$B$51)*('Assumptions'!$D$51-'Assumptions'!$C$51)))</x:f>
        <x:v>0.07148529416731185</x:v>
      </x:c>
      <x:c r="L84" s="133" t="n">
        <x:f>(('Assumptions'!$B$17*(1+G84)+'Assumptions'!$B$18)*(1-H84-'Assumptions'!$B$20)-SUM('Assumptions'!$B$21:$B$25)*(1+I84))-(('Assumptions'!$B$17*(1+G84)+'Assumptions'!$B$18)*(1-H84-'Assumptions'!$B$20)*'Assumptions'!$B$26)</x:f>
        <x:v>162397.11323194066</x:v>
      </x:c>
      <x:c r="M84" s="133" t="n">
        <x:f>'Assumptions'!$B$10*'Assumptions'!$B$33</x:f>
        <x:v>1950000</x:v>
      </x:c>
      <x:c r="N84" s="133" t="n">
        <x:f>-PMT(K84/12,'Assumptions'!$B$35*12,M84)*12</x:f>
        <x:v>158021.93219489165</x:v>
      </x:c>
      <x:c r="O84" s="133" t="n">
        <x:f>(L84*(1+'Assumptions'!$B$29)^('Assumptions'!$B$14/12)/J84)*(1-'Assumptions'!$B$42)-'Debt Schedule'!$F$9</x:f>
        <x:v>2610783.3112825593</x:v>
      </x:c>
      <x:c r="P84" s="132" t="n">
        <x:f>((O84+(L84-N84-'Assumptions'!$B$27-'Assumptions'!$B$28)*('Assumptions'!$B$14/12))/ABS('Monthly Cash Flow'!$S$5))^(1/('Assumptions'!$B$14/12))-1</x:f>
        <x:v>0.13447738745725757</x:v>
      </x:c>
      <x:c r="Q84" s="133" t="n">
        <x:f>-ABS('Monthly Cash Flow'!$S$5)+((L84-N84-'Assumptions'!$B$27-'Assumptions'!$B$28)*(1-(1+'Assumptions'!$B$43)^-('Assumptions'!$B$14/12))/'Assumptions'!$B$43)+(O84/(1+'Assumptions'!$B$43)^('Assumptions'!$B$14/12))</x:f>
        <x:v>191544.9354750025</x:v>
      </x:c>
    </x:row>
    <x:row r="85">
      <x:c r="A85" s="131" t="n">
        <x:f>78</x:f>
        <x:v>78</x:v>
      </x:c>
      <x:c r="B85" s="131" t="n">
        <x:f>MOD(ABS(SIN((A85+1)*12.9898+78.233)*43758.5453),1)</x:f>
        <x:v>0.7314049748820253</x:v>
      </x:c>
      <x:c r="C85" s="131" t="n">
        <x:f>MOD(ABS(SIN((A85+2)*12.9898+78.233)*43758.5453),1)</x:f>
        <x:v>0.912772238618345</x:v>
      </x:c>
      <x:c r="D85" s="131" t="n">
        <x:f>MOD(ABS(SIN((A85+3)*12.9898+78.233)*43758.5453),1)</x:f>
        <x:v>0.4693242946596001</x:v>
      </x:c>
      <x:c r="E85" s="131" t="n">
        <x:f>MOD(ABS(SIN((A85+4)*12.9898+78.233)*43758.5453),1)</x:f>
        <x:v>0.6204731974148672</x:v>
      </x:c>
      <x:c r="F85" s="131" t="n">
        <x:f>MOD(ABS(SIN((A85+5)*12.9898+78.233)*43758.5453),1)</x:f>
        <x:v>0.6832312847327557</x:v>
      </x:c>
      <x:c r="G85" s="132" t="n">
        <x:f>IF(B85&lt;(('Assumptions'!$C$47-'Assumptions'!$B$47)/('Assumptions'!$D$47-'Assumptions'!$B$47)),'Assumptions'!$B$47+SQRT(B85*('Assumptions'!$D$47-'Assumptions'!$B$47)*('Assumptions'!$C$47-'Assumptions'!$B$47)),'Assumptions'!$D$47-SQRT((1-B85)*('Assumptions'!$D$47-'Assumptions'!$B$47)*('Assumptions'!$D$47-'Assumptions'!$C$47)))</x:f>
        <x:v>0.034444524241772176</x:v>
      </x:c>
      <x:c r="H85" s="132" t="n">
        <x:f>IF(C85&lt;(('Assumptions'!$C$48-'Assumptions'!$B$48)/('Assumptions'!$D$48-'Assumptions'!$B$48)),'Assumptions'!$B$48+SQRT(C85*('Assumptions'!$D$48-'Assumptions'!$B$48)*('Assumptions'!$C$48-'Assumptions'!$B$48)),'Assumptions'!$D$48-SQRT((1-C85)*('Assumptions'!$D$48-'Assumptions'!$B$48)*('Assumptions'!$D$48-'Assumptions'!$C$48)))</x:f>
        <x:v>0.11229432729279862</x:v>
      </x:c>
      <x:c r="I85" s="132" t="n">
        <x:f>IF(D85&lt;(('Assumptions'!$C$49-'Assumptions'!$B$49)/('Assumptions'!$D$49-'Assumptions'!$B$49)),'Assumptions'!$B$49+SQRT(D85*('Assumptions'!$D$49-'Assumptions'!$B$49)*('Assumptions'!$C$49-'Assumptions'!$B$49)),'Assumptions'!$D$49-SQRT((1-D85)*('Assumptions'!$D$49-'Assumptions'!$B$49)*('Assumptions'!$D$49-'Assumptions'!$C$49)))</x:f>
        <x:v>0.0429364897112343</x:v>
      </x:c>
      <x:c r="J85" s="132" t="n">
        <x:f>IF(E85&lt;(('Assumptions'!$C$50-'Assumptions'!$B$50)/('Assumptions'!$D$50-'Assumptions'!$B$50)),'Assumptions'!$B$50+SQRT(E85*('Assumptions'!$D$50-'Assumptions'!$B$50)*('Assumptions'!$C$50-'Assumptions'!$B$50)),'Assumptions'!$D$50-SQRT((1-E85)*('Assumptions'!$D$50-'Assumptions'!$B$50)*('Assumptions'!$D$50-'Assumptions'!$C$50)))</x:f>
        <x:v>0.06966840219389718</x:v>
      </x:c>
      <x:c r="K85" s="132" t="n">
        <x:f>IF(F85&lt;(('Assumptions'!$C$51-'Assumptions'!$B$51)/('Assumptions'!$D$51-'Assumptions'!$B$51)),'Assumptions'!$B$51+SQRT(F85*('Assumptions'!$D$51-'Assumptions'!$B$51)*('Assumptions'!$C$51-'Assumptions'!$B$51)),'Assumptions'!$D$51-SQRT((1-F85)*('Assumptions'!$D$51-'Assumptions'!$B$51)*('Assumptions'!$D$51-'Assumptions'!$C$51)))</x:f>
        <x:v>0.0726531403092786</x:v>
      </x:c>
      <x:c r="L85" s="133" t="n">
        <x:f>(('Assumptions'!$B$17*(1+G85)+'Assumptions'!$B$18)*(1-H85-'Assumptions'!$B$20)-SUM('Assumptions'!$B$21:$B$25)*(1+I85))-(('Assumptions'!$B$17*(1+G85)+'Assumptions'!$B$18)*(1-H85-'Assumptions'!$B$20)*'Assumptions'!$B$26)</x:f>
        <x:v>197540.06934160902</x:v>
      </x:c>
      <x:c r="M85" s="133" t="n">
        <x:f>'Assumptions'!$B$10*'Assumptions'!$B$33</x:f>
        <x:v>1950000</x:v>
      </x:c>
      <x:c r="N85" s="133" t="n">
        <x:f>-PMT(K85/12,'Assumptions'!$B$35*12,M85)*12</x:f>
        <x:v>159872.37974964496</x:v>
      </x:c>
      <x:c r="O85" s="133" t="n">
        <x:f>(L85*(1+'Assumptions'!$B$29)^('Assumptions'!$B$14/12)/J85)*(1-'Assumptions'!$B$42)-'Debt Schedule'!$F$9</x:f>
        <x:v>3089821.0577968317</x:v>
      </x:c>
      <x:c r="P85" s="132" t="n">
        <x:f>((O85+(L85-N85-'Assumptions'!$B$27-'Assumptions'!$B$28)*('Assumptions'!$B$14/12))/ABS('Monthly Cash Flow'!$S$5))^(1/('Assumptions'!$B$14/12))-1</x:f>
        <x:v>0.18915321170113408</x:v>
      </x:c>
      <x:c r="Q85" s="133" t="n">
        <x:f>-ABS('Monthly Cash Flow'!$S$5)+((L85-N85-'Assumptions'!$B$27-'Assumptions'!$B$28)*(1-(1+'Assumptions'!$B$43)^-('Assumptions'!$B$14/12))/'Assumptions'!$B$43)+(O85/(1+'Assumptions'!$B$43)^('Assumptions'!$B$14/12))</x:f>
        <x:v>615194.4877863103</x:v>
      </x:c>
    </x:row>
    <x:row r="86">
      <x:c r="A86" s="131" t="n">
        <x:f>79</x:f>
        <x:v>79</x:v>
      </x:c>
      <x:c r="B86" s="131" t="n">
        <x:f>MOD(ABS(SIN((A86+1)*12.9898+78.233)*43758.5453),1)</x:f>
        <x:v>0.912772238618345</x:v>
      </x:c>
      <x:c r="C86" s="131" t="n">
        <x:f>MOD(ABS(SIN((A86+2)*12.9898+78.233)*43758.5453),1)</x:f>
        <x:v>0.4693242946596001</x:v>
      </x:c>
      <x:c r="D86" s="131" t="n">
        <x:f>MOD(ABS(SIN((A86+3)*12.9898+78.233)*43758.5453),1)</x:f>
        <x:v>0.6204731974148672</x:v>
      </x:c>
      <x:c r="E86" s="131" t="n">
        <x:f>MOD(ABS(SIN((A86+4)*12.9898+78.233)*43758.5453),1)</x:f>
        <x:v>0.6832312847327557</x:v>
      </x:c>
      <x:c r="F86" s="131" t="n">
        <x:f>MOD(ABS(SIN((A86+5)*12.9898+78.233)*43758.5453),1)</x:f>
        <x:v>0.7650927010727173</x:v>
      </x:c>
      <x:c r="G86" s="132" t="n">
        <x:f>IF(B86&lt;(('Assumptions'!$C$47-'Assumptions'!$B$47)/('Assumptions'!$D$47-'Assumptions'!$B$47)),'Assumptions'!$B$47+SQRT(B86*('Assumptions'!$D$47-'Assumptions'!$B$47)*('Assumptions'!$C$47-'Assumptions'!$B$47)),'Assumptions'!$D$47-SQRT((1-B86)*('Assumptions'!$D$47-'Assumptions'!$B$47)*('Assumptions'!$D$47-'Assumptions'!$C$47)))</x:f>
        <x:v>0.06264167854270644</x:v>
      </x:c>
      <x:c r="H86" s="132" t="n">
        <x:f>IF(C86&lt;(('Assumptions'!$C$48-'Assumptions'!$B$48)/('Assumptions'!$D$48-'Assumptions'!$B$48)),'Assumptions'!$B$48+SQRT(C86*('Assumptions'!$D$48-'Assumptions'!$B$48)*('Assumptions'!$C$48-'Assumptions'!$B$48)),'Assumptions'!$D$48-SQRT((1-C86)*('Assumptions'!$D$48-'Assumptions'!$B$48)*('Assumptions'!$D$48-'Assumptions'!$C$48)))</x:f>
        <x:v>0.07166299533199075</x:v>
      </x:c>
      <x:c r="I86" s="132" t="n">
        <x:f>IF(D86&lt;(('Assumptions'!$C$49-'Assumptions'!$B$49)/('Assumptions'!$D$49-'Assumptions'!$B$49)),'Assumptions'!$B$49+SQRT(D86*('Assumptions'!$D$49-'Assumptions'!$B$49)*('Assumptions'!$C$49-'Assumptions'!$B$49)),'Assumptions'!$D$49-SQRT((1-D86)*('Assumptions'!$D$49-'Assumptions'!$B$49)*('Assumptions'!$D$49-'Assumptions'!$C$49)))</x:f>
        <x:v>0.059458413224425605</x:v>
      </x:c>
      <x:c r="J86" s="132" t="n">
        <x:f>IF(E86&lt;(('Assumptions'!$C$50-'Assumptions'!$B$50)/('Assumptions'!$D$50-'Assumptions'!$B$50)),'Assumptions'!$B$50+SQRT(E86*('Assumptions'!$D$50-'Assumptions'!$B$50)*('Assumptions'!$C$50-'Assumptions'!$B$50)),'Assumptions'!$D$50-SQRT((1-E86)*('Assumptions'!$D$50-'Assumptions'!$B$50)*('Assumptions'!$D$50-'Assumptions'!$C$50)))</x:f>
        <x:v>0.0705611864533241</x:v>
      </x:c>
      <x:c r="K86" s="132" t="n">
        <x:f>IF(F86&lt;(('Assumptions'!$C$51-'Assumptions'!$B$51)/('Assumptions'!$D$51-'Assumptions'!$B$51)),'Assumptions'!$B$51+SQRT(F86*('Assumptions'!$D$51-'Assumptions'!$B$51)*('Assumptions'!$C$51-'Assumptions'!$B$51)),'Assumptions'!$D$51-SQRT((1-F86)*('Assumptions'!$D$51-'Assumptions'!$B$51)*('Assumptions'!$D$51-'Assumptions'!$C$51)))</x:f>
        <x:v>0.07436754319977011</x:v>
      </x:c>
      <x:c r="L86" s="133" t="n">
        <x:f>(('Assumptions'!$B$17*(1+G86)+'Assumptions'!$B$18)*(1-H86-'Assumptions'!$B$20)-SUM('Assumptions'!$B$21:$B$25)*(1+I86))-(('Assumptions'!$B$17*(1+G86)+'Assumptions'!$B$18)*(1-H86-'Assumptions'!$B$20)*'Assumptions'!$B$26)</x:f>
        <x:v>219635.41703741217</x:v>
      </x:c>
      <x:c r="M86" s="133" t="n">
        <x:f>'Assumptions'!$B$10*'Assumptions'!$B$33</x:f>
        <x:v>1950000</x:v>
      </x:c>
      <x:c r="N86" s="133" t="n">
        <x:f>-PMT(K86/12,'Assumptions'!$B$35*12,M86)*12</x:f>
        <x:v>162603.9942862584</x:v>
      </x:c>
      <x:c r="O86" s="133" t="n">
        <x:f>(L86*(1+'Assumptions'!$B$29)^('Assumptions'!$B$14/12)/J86)*(1-'Assumptions'!$B$42)-'Debt Schedule'!$F$9</x:f>
        <x:v>3391958.0737448446</x:v>
      </x:c>
      <x:c r="P86" s="132" t="n">
        <x:f>((O86+(L86-N86-'Assumptions'!$B$27-'Assumptions'!$B$28)*('Assumptions'!$B$14/12))/ABS('Monthly Cash Flow'!$S$5))^(1/('Assumptions'!$B$14/12))-1</x:f>
        <x:v>0.2184940269928033</x:v>
      </x:c>
      <x:c r="Q86" s="133" t="n">
        <x:f>-ABS('Monthly Cash Flow'!$S$5)+((L86-N86-'Assumptions'!$B$27-'Assumptions'!$B$28)*(1-(1+'Assumptions'!$B$43)^-('Assumptions'!$B$14/12))/'Assumptions'!$B$43)+(O86/(1+'Assumptions'!$B$43)^('Assumptions'!$B$14/12))</x:f>
        <x:v>876201.5869401074</x:v>
      </x:c>
    </x:row>
    <x:row r="87">
      <x:c r="A87" s="131" t="n">
        <x:f>80</x:f>
        <x:v>80</x:v>
      </x:c>
      <x:c r="B87" s="131" t="n">
        <x:f>MOD(ABS(SIN((A87+1)*12.9898+78.233)*43758.5453),1)</x:f>
        <x:v>0.4693242946596001</x:v>
      </x:c>
      <x:c r="C87" s="131" t="n">
        <x:f>MOD(ABS(SIN((A87+2)*12.9898+78.233)*43758.5453),1)</x:f>
        <x:v>0.6204731974148672</x:v>
      </x:c>
      <x:c r="D87" s="131" t="n">
        <x:f>MOD(ABS(SIN((A87+3)*12.9898+78.233)*43758.5453),1)</x:f>
        <x:v>0.6832312847327557</x:v>
      </x:c>
      <x:c r="E87" s="131" t="n">
        <x:f>MOD(ABS(SIN((A87+4)*12.9898+78.233)*43758.5453),1)</x:f>
        <x:v>0.7650927010727173</x:v>
      </x:c>
      <x:c r="F87" s="131" t="n">
        <x:f>MOD(ABS(SIN((A87+5)*12.9898+78.233)*43758.5453),1)</x:f>
        <x:v>0.6216580764521495</x:v>
      </x:c>
      <x:c r="G87" s="132" t="n">
        <x:f>IF(B87&lt;(('Assumptions'!$C$47-'Assumptions'!$B$47)/('Assumptions'!$D$47-'Assumptions'!$B$47)),'Assumptions'!$B$47+SQRT(B87*('Assumptions'!$D$47-'Assumptions'!$B$47)*('Assumptions'!$C$47-'Assumptions'!$B$47)),'Assumptions'!$D$47-SQRT((1-B87)*('Assumptions'!$D$47-'Assumptions'!$B$47)*('Assumptions'!$D$47-'Assumptions'!$C$47)))</x:f>
        <x:v>0.006130971312950886</x:v>
      </x:c>
      <x:c r="H87" s="132" t="n">
        <x:f>IF(C87&lt;(('Assumptions'!$C$48-'Assumptions'!$B$48)/('Assumptions'!$D$48-'Assumptions'!$B$48)),'Assumptions'!$B$48+SQRT(C87*('Assumptions'!$D$48-'Assumptions'!$B$48)*('Assumptions'!$C$48-'Assumptions'!$B$48)),'Assumptions'!$D$48-SQRT((1-C87)*('Assumptions'!$D$48-'Assumptions'!$B$48)*('Assumptions'!$D$48-'Assumptions'!$C$48)))</x:f>
        <x:v>0.08220868696119486</x:v>
      </x:c>
      <x:c r="I87" s="132" t="n">
        <x:f>IF(D87&lt;(('Assumptions'!$C$49-'Assumptions'!$B$49)/('Assumptions'!$D$49-'Assumptions'!$B$49)),'Assumptions'!$B$49+SQRT(D87*('Assumptions'!$D$49-'Assumptions'!$B$49)*('Assumptions'!$C$49-'Assumptions'!$B$49)),'Assumptions'!$D$49-SQRT((1-D87)*('Assumptions'!$D$49-'Assumptions'!$B$49)*('Assumptions'!$D$49-'Assumptions'!$C$49)))</x:f>
        <x:v>0.06728238247040431</x:v>
      </x:c>
      <x:c r="J87" s="132" t="n">
        <x:f>IF(E87&lt;(('Assumptions'!$C$50-'Assumptions'!$B$50)/('Assumptions'!$D$50-'Assumptions'!$B$50)),'Assumptions'!$B$50+SQRT(E87*('Assumptions'!$D$50-'Assumptions'!$B$50)*('Assumptions'!$C$50-'Assumptions'!$B$50)),'Assumptions'!$D$50-SQRT((1-E87)*('Assumptions'!$D$50-'Assumptions'!$B$50)*('Assumptions'!$D$50-'Assumptions'!$C$50)))</x:f>
        <x:v>0.07187179738052143</x:v>
      </x:c>
      <x:c r="K87" s="132" t="n">
        <x:f>IF(F87&lt;(('Assumptions'!$C$51-'Assumptions'!$B$51)/('Assumptions'!$D$51-'Assumptions'!$B$51)),'Assumptions'!$B$51+SQRT(F87*('Assumptions'!$D$51-'Assumptions'!$B$51)*('Assumptions'!$C$51-'Assumptions'!$B$51)),'Assumptions'!$D$51-SQRT((1-F87)*('Assumptions'!$D$51-'Assumptions'!$B$51)*('Assumptions'!$D$51-'Assumptions'!$C$51)))</x:f>
        <x:v>0.07150640704973642</x:v>
      </x:c>
      <x:c r="L87" s="133" t="n">
        <x:f>(('Assumptions'!$B$17*(1+G87)+'Assumptions'!$B$18)*(1-H87-'Assumptions'!$B$20)-SUM('Assumptions'!$B$21:$B$25)*(1+I87))-(('Assumptions'!$B$17*(1+G87)+'Assumptions'!$B$18)*(1-H87-'Assumptions'!$B$20)*'Assumptions'!$B$26)</x:f>
        <x:v>196865.2175316932</x:v>
      </x:c>
      <x:c r="M87" s="133" t="n">
        <x:f>'Assumptions'!$B$10*'Assumptions'!$B$33</x:f>
        <x:v>1950000</x:v>
      </x:c>
      <x:c r="N87" s="133" t="n">
        <x:f>-PMT(K87/12,'Assumptions'!$B$35*12,M87)*12</x:f>
        <x:v>158055.3103888035</x:v>
      </x:c>
      <x:c r="O87" s="133" t="n">
        <x:f>(L87*(1+'Assumptions'!$B$29)^('Assumptions'!$B$14/12)/J87)*(1-'Assumptions'!$B$42)-'Debt Schedule'!$F$9</x:f>
        <x:v>2984863.410485784</x:v>
      </x:c>
      <x:c r="P87" s="132" t="n">
        <x:f>((O87+(L87-N87-'Assumptions'!$B$27-'Assumptions'!$B$28)*('Assumptions'!$B$14/12))/ABS('Monthly Cash Flow'!$S$5))^(1/('Assumptions'!$B$14/12))-1</x:f>
        <x:v>0.18138418143139545</x:v>
      </x:c>
      <x:c r="Q87" s="133" t="n">
        <x:f>-ABS('Monthly Cash Flow'!$S$5)+((L87-N87-'Assumptions'!$B$27-'Assumptions'!$B$28)*(1-(1+'Assumptions'!$B$43)^-('Assumptions'!$B$14/12))/'Assumptions'!$B$43)+(O87/(1+'Assumptions'!$B$43)^('Assumptions'!$B$14/12))</x:f>
        <x:v>554353.9497325935</x:v>
      </x:c>
    </x:row>
    <x:row r="88">
      <x:c r="A88" s="131" t="n">
        <x:f>81</x:f>
        <x:v>81</x:v>
      </x:c>
      <x:c r="B88" s="131" t="n">
        <x:f>MOD(ABS(SIN((A88+1)*12.9898+78.233)*43758.5453),1)</x:f>
        <x:v>0.6204731974148672</x:v>
      </x:c>
      <x:c r="C88" s="131" t="n">
        <x:f>MOD(ABS(SIN((A88+2)*12.9898+78.233)*43758.5453),1)</x:f>
        <x:v>0.6832312847327557</x:v>
      </x:c>
      <x:c r="D88" s="131" t="n">
        <x:f>MOD(ABS(SIN((A88+3)*12.9898+78.233)*43758.5453),1)</x:f>
        <x:v>0.7650927010727173</x:v>
      </x:c>
      <x:c r="E88" s="131" t="n">
        <x:f>MOD(ABS(SIN((A88+4)*12.9898+78.233)*43758.5453),1)</x:f>
        <x:v>0.6216580764521495</x:v>
      </x:c>
      <x:c r="F88" s="131" t="n">
        <x:f>MOD(ABS(SIN((A88+5)*12.9898+78.233)*43758.5453),1)</x:f>
        <x:v>0.6138385461890721</x:v>
      </x:c>
      <x:c r="G88" s="132" t="n">
        <x:f>IF(B88&lt;(('Assumptions'!$C$47-'Assumptions'!$B$47)/('Assumptions'!$D$47-'Assumptions'!$B$47)),'Assumptions'!$B$47+SQRT(B88*('Assumptions'!$D$47-'Assumptions'!$B$47)*('Assumptions'!$C$47-'Assumptions'!$B$47)),'Assumptions'!$D$47-SQRT((1-B88)*('Assumptions'!$D$47-'Assumptions'!$B$47)*('Assumptions'!$D$47-'Assumptions'!$C$47)))</x:f>
        <x:v>0.022074209395334818</x:v>
      </x:c>
      <x:c r="H88" s="132" t="n">
        <x:f>IF(C88&lt;(('Assumptions'!$C$48-'Assumptions'!$B$48)/('Assumptions'!$D$48-'Assumptions'!$B$48)),'Assumptions'!$B$48+SQRT(C88*('Assumptions'!$D$48-'Assumptions'!$B$48)*('Assumptions'!$C$48-'Assumptions'!$B$48)),'Assumptions'!$D$48-SQRT((1-C88)*('Assumptions'!$D$48-'Assumptions'!$B$48)*('Assumptions'!$D$48-'Assumptions'!$C$48)))</x:f>
        <x:v>0.08720260712542949</x:v>
      </x:c>
      <x:c r="I88" s="132" t="n">
        <x:f>IF(D88&lt;(('Assumptions'!$C$49-'Assumptions'!$B$49)/('Assumptions'!$D$49-'Assumptions'!$B$49)),'Assumptions'!$B$49+SQRT(D88*('Assumptions'!$D$49-'Assumptions'!$B$49)*('Assumptions'!$C$49-'Assumptions'!$B$49)),'Assumptions'!$D$49-SQRT((1-D88)*('Assumptions'!$D$49-'Assumptions'!$B$49)*('Assumptions'!$D$49-'Assumptions'!$C$49)))</x:f>
        <x:v>0.07876800117342413</x:v>
      </x:c>
      <x:c r="J88" s="132" t="n">
        <x:f>IF(E88&lt;(('Assumptions'!$C$50-'Assumptions'!$B$50)/('Assumptions'!$D$50-'Assumptions'!$B$50)),'Assumptions'!$B$50+SQRT(E88*('Assumptions'!$D$50-'Assumptions'!$B$50)*('Assumptions'!$C$50-'Assumptions'!$B$50)),'Assumptions'!$D$50-SQRT((1-E88)*('Assumptions'!$D$50-'Assumptions'!$B$50)*('Assumptions'!$D$50-'Assumptions'!$C$50)))</x:f>
        <x:v>0.06968454237574344</x:v>
      </x:c>
      <x:c r="K88" s="132" t="n">
        <x:f>IF(F88&lt;(('Assumptions'!$C$51-'Assumptions'!$B$51)/('Assumptions'!$D$51-'Assumptions'!$B$51)),'Assumptions'!$B$51+SQRT(F88*('Assumptions'!$D$51-'Assumptions'!$B$51)*('Assumptions'!$C$51-'Assumptions'!$B$51)),'Assumptions'!$D$51-SQRT((1-F88)*('Assumptions'!$D$51-'Assumptions'!$B$51)*('Assumptions'!$D$51-'Assumptions'!$C$51)))</x:f>
        <x:v>0.07136767812709409</x:v>
      </x:c>
      <x:c r="L88" s="133" t="n">
        <x:f>(('Assumptions'!$B$17*(1+G88)+'Assumptions'!$B$18)*(1-H88-'Assumptions'!$B$20)-SUM('Assumptions'!$B$21:$B$25)*(1+I88))-(('Assumptions'!$B$17*(1+G88)+'Assumptions'!$B$18)*(1-H88-'Assumptions'!$B$20)*'Assumptions'!$B$26)</x:f>
        <x:v>198569.65275038485</x:v>
      </x:c>
      <x:c r="M88" s="133" t="n">
        <x:f>'Assumptions'!$B$10*'Assumptions'!$B$33</x:f>
        <x:v>1950000</x:v>
      </x:c>
      <x:c r="N88" s="133" t="n">
        <x:f>-PMT(K88/12,'Assumptions'!$B$35*12,M88)*12</x:f>
        <x:v>157836.0391893294</x:v>
      </x:c>
      <x:c r="O88" s="133" t="n">
        <x:f>(L88*(1+'Assumptions'!$B$29)^('Assumptions'!$B$14/12)/J88)*(1-'Assumptions'!$B$42)-'Debt Schedule'!$F$9</x:f>
        <x:v>3105205.88894647</x:v>
      </x:c>
      <x:c r="P88" s="132" t="n">
        <x:f>((O88+(L88-N88-'Assumptions'!$B$27-'Assumptions'!$B$28)*('Assumptions'!$B$14/12))/ABS('Monthly Cash Flow'!$S$5))^(1/('Assumptions'!$B$14/12))-1</x:f>
        <x:v>0.19151691485675348</x:v>
      </x:c>
      <x:c r="Q88" s="133" t="n">
        <x:f>-ABS('Monthly Cash Flow'!$S$5)+((L88-N88-'Assumptions'!$B$27-'Assumptions'!$B$28)*(1-(1+'Assumptions'!$B$43)^-('Assumptions'!$B$14/12))/'Assumptions'!$B$43)+(O88/(1+'Assumptions'!$B$43)^('Assumptions'!$B$14/12))</x:f>
        <x:v>636369.521516829</x:v>
      </x:c>
    </x:row>
    <x:row r="89">
      <x:c r="A89" s="131" t="n">
        <x:f>82</x:f>
        <x:v>82</x:v>
      </x:c>
      <x:c r="B89" s="131" t="n">
        <x:f>MOD(ABS(SIN((A89+1)*12.9898+78.233)*43758.5453),1)</x:f>
        <x:v>0.6832312847327557</x:v>
      </x:c>
      <x:c r="C89" s="131" t="n">
        <x:f>MOD(ABS(SIN((A89+2)*12.9898+78.233)*43758.5453),1)</x:f>
        <x:v>0.7650927010727173</x:v>
      </x:c>
      <x:c r="D89" s="131" t="n">
        <x:f>MOD(ABS(SIN((A89+3)*12.9898+78.233)*43758.5453),1)</x:f>
        <x:v>0.6216580764521495</x:v>
      </x:c>
      <x:c r="E89" s="131" t="n">
        <x:f>MOD(ABS(SIN((A89+4)*12.9898+78.233)*43758.5453),1)</x:f>
        <x:v>0.6138385461890721</x:v>
      </x:c>
      <x:c r="F89" s="131" t="n">
        <x:f>MOD(ABS(SIN((A89+5)*12.9898+78.233)*43758.5453),1)</x:f>
        <x:v>0.12974628563824808</x:v>
      </x:c>
      <x:c r="G89" s="132" t="n">
        <x:f>IF(B89&lt;(('Assumptions'!$C$47-'Assumptions'!$B$47)/('Assumptions'!$D$47-'Assumptions'!$B$47)),'Assumptions'!$B$47+SQRT(B89*('Assumptions'!$D$47-'Assumptions'!$B$47)*('Assumptions'!$C$47-'Assumptions'!$B$47)),'Assumptions'!$D$47-SQRT((1-B89)*('Assumptions'!$D$47-'Assumptions'!$B$47)*('Assumptions'!$D$47-'Assumptions'!$C$47)))</x:f>
        <x:v>0.028808009971093604</x:v>
      </x:c>
      <x:c r="H89" s="132" t="n">
        <x:f>IF(C89&lt;(('Assumptions'!$C$48-'Assumptions'!$B$48)/('Assumptions'!$D$48-'Assumptions'!$B$48)),'Assumptions'!$B$48+SQRT(C89*('Assumptions'!$D$48-'Assumptions'!$B$48)*('Assumptions'!$C$48-'Assumptions'!$B$48)),'Assumptions'!$D$48-SQRT((1-C89)*('Assumptions'!$D$48-'Assumptions'!$B$48)*('Assumptions'!$D$48-'Assumptions'!$C$48)))</x:f>
        <x:v>0.09453370225584573</x:v>
      </x:c>
      <x:c r="I89" s="132" t="n">
        <x:f>IF(D89&lt;(('Assumptions'!$C$49-'Assumptions'!$B$49)/('Assumptions'!$D$49-'Assumptions'!$B$49)),'Assumptions'!$B$49+SQRT(D89*('Assumptions'!$D$49-'Assumptions'!$B$49)*('Assumptions'!$C$49-'Assumptions'!$B$49)),'Assumptions'!$D$49-SQRT((1-D89)*('Assumptions'!$D$49-'Assumptions'!$B$49)*('Assumptions'!$D$49-'Assumptions'!$C$49)))</x:f>
        <x:v>0.059599858691296456</x:v>
      </x:c>
      <x:c r="J89" s="132" t="n">
        <x:f>IF(E89&lt;(('Assumptions'!$C$50-'Assumptions'!$B$50)/('Assumptions'!$D$50-'Assumptions'!$B$50)),'Assumptions'!$B$50+SQRT(E89*('Assumptions'!$D$50-'Assumptions'!$B$50)*('Assumptions'!$C$50-'Assumptions'!$B$50)),'Assumptions'!$D$50-SQRT((1-E89)*('Assumptions'!$D$50-'Assumptions'!$B$50)*('Assumptions'!$D$50-'Assumptions'!$C$50)))</x:f>
        <x:v>0.06957848816704969</x:v>
      </x:c>
      <x:c r="K89" s="132" t="n">
        <x:f>IF(F89&lt;(('Assumptions'!$C$51-'Assumptions'!$B$51)/('Assumptions'!$D$51-'Assumptions'!$B$51)),'Assumptions'!$B$51+SQRT(F89*('Assumptions'!$D$51-'Assumptions'!$B$51)*('Assumptions'!$C$51-'Assumptions'!$B$51)),'Assumptions'!$D$51-SQRT((1-F89)*('Assumptions'!$D$51-'Assumptions'!$B$51)*('Assumptions'!$D$51-'Assumptions'!$C$51)))</x:f>
        <x:v>0.06347329294029</x:v>
      </x:c>
      <x:c r="L89" s="133" t="n">
        <x:f>(('Assumptions'!$B$17*(1+G89)+'Assumptions'!$B$18)*(1-H89-'Assumptions'!$B$20)-SUM('Assumptions'!$B$21:$B$25)*(1+I89))-(('Assumptions'!$B$17*(1+G89)+'Assumptions'!$B$18)*(1-H89-'Assumptions'!$B$20)*'Assumptions'!$B$26)</x:f>
        <x:v>200352.53359331208</x:v>
      </x:c>
      <x:c r="M89" s="133" t="n">
        <x:f>'Assumptions'!$B$10*'Assumptions'!$B$33</x:f>
        <x:v>1950000</x:v>
      </x:c>
      <x:c r="N89" s="133" t="n">
        <x:f>-PMT(K89/12,'Assumptions'!$B$35*12,M89)*12</x:f>
        <x:v>145562.32900928435</x:v>
      </x:c>
      <x:c r="O89" s="133" t="n">
        <x:f>(L89*(1+'Assumptions'!$B$29)^('Assumptions'!$B$14/12)/J89)*(1-'Assumptions'!$B$42)-'Debt Schedule'!$F$9</x:f>
        <x:v>3137861.9138140064</x:v>
      </x:c>
      <x:c r="P89" s="132" t="n">
        <x:f>((O89+(L89-N89-'Assumptions'!$B$27-'Assumptions'!$B$28)*('Assumptions'!$B$14/12))/ABS('Monthly Cash Flow'!$S$5))^(1/('Assumptions'!$B$14/12))-1</x:f>
        <x:v>0.1993049816690715</x:v>
      </x:c>
      <x:c r="Q89" s="133" t="n">
        <x:f>-ABS('Monthly Cash Flow'!$S$5)+((L89-N89-'Assumptions'!$B$27-'Assumptions'!$B$28)*(1-(1+'Assumptions'!$B$43)^-('Assumptions'!$B$14/12))/'Assumptions'!$B$43)+(O89/(1+'Assumptions'!$B$43)^('Assumptions'!$B$14/12))</x:f>
        <x:v>709931.8829563016</x:v>
      </x:c>
    </x:row>
    <x:row r="90">
      <x:c r="A90" s="131" t="n">
        <x:f>83</x:f>
        <x:v>83</x:v>
      </x:c>
      <x:c r="B90" s="131" t="n">
        <x:f>MOD(ABS(SIN((A90+1)*12.9898+78.233)*43758.5453),1)</x:f>
        <x:v>0.7650927010727173</x:v>
      </x:c>
      <x:c r="C90" s="131" t="n">
        <x:f>MOD(ABS(SIN((A90+2)*12.9898+78.233)*43758.5453),1)</x:f>
        <x:v>0.6216580764521495</x:v>
      </x:c>
      <x:c r="D90" s="131" t="n">
        <x:f>MOD(ABS(SIN((A90+3)*12.9898+78.233)*43758.5453),1)</x:f>
        <x:v>0.6138385461890721</x:v>
      </x:c>
      <x:c r="E90" s="131" t="n">
        <x:f>MOD(ABS(SIN((A90+4)*12.9898+78.233)*43758.5453),1)</x:f>
        <x:v>0.12974628563824808</x:v>
      </x:c>
      <x:c r="F90" s="131" t="n">
        <x:f>MOD(ABS(SIN((A90+5)*12.9898+78.233)*43758.5453),1)</x:f>
        <x:v>0.458444740226696</x:v>
      </x:c>
      <x:c r="G90" s="132" t="n">
        <x:f>IF(B90&lt;(('Assumptions'!$C$47-'Assumptions'!$B$47)/('Assumptions'!$D$47-'Assumptions'!$B$47)),'Assumptions'!$B$47+SQRT(B90*('Assumptions'!$D$47-'Assumptions'!$B$47)*('Assumptions'!$C$47-'Assumptions'!$B$47)),'Assumptions'!$D$47-SQRT((1-B90)*('Assumptions'!$D$47-'Assumptions'!$B$47)*('Assumptions'!$D$47-'Assumptions'!$C$47)))</x:f>
        <x:v>0.03869325662835676</x:v>
      </x:c>
      <x:c r="H90" s="132" t="n">
        <x:f>IF(C90&lt;(('Assumptions'!$C$48-'Assumptions'!$B$48)/('Assumptions'!$D$48-'Assumptions'!$B$48)),'Assumptions'!$B$48+SQRT(C90*('Assumptions'!$D$48-'Assumptions'!$B$48)*('Assumptions'!$C$48-'Assumptions'!$B$48)),'Assumptions'!$D$48-SQRT((1-C90)*('Assumptions'!$D$48-'Assumptions'!$B$48)*('Assumptions'!$D$48-'Assumptions'!$C$48)))</x:f>
        <x:v>0.08229896944402913</x:v>
      </x:c>
      <x:c r="I90" s="132" t="n">
        <x:f>IF(D90&lt;(('Assumptions'!$C$49-'Assumptions'!$B$49)/('Assumptions'!$D$49-'Assumptions'!$B$49)),'Assumptions'!$B$49+SQRT(D90*('Assumptions'!$D$49-'Assumptions'!$B$49)*('Assumptions'!$C$49-'Assumptions'!$B$49)),'Assumptions'!$D$49-SQRT((1-D90)*('Assumptions'!$D$49-'Assumptions'!$B$49)*('Assumptions'!$D$49-'Assumptions'!$C$49)))</x:f>
        <x:v>0.058670446172577606</x:v>
      </x:c>
      <x:c r="J90" s="132" t="n">
        <x:f>IF(E90&lt;(('Assumptions'!$C$50-'Assumptions'!$B$50)/('Assumptions'!$D$50-'Assumptions'!$B$50)),'Assumptions'!$B$50+SQRT(E90*('Assumptions'!$D$50-'Assumptions'!$B$50)*('Assumptions'!$C$50-'Assumptions'!$B$50)),'Assumptions'!$D$50-SQRT((1-E90)*('Assumptions'!$D$50-'Assumptions'!$B$50)*('Assumptions'!$D$50-'Assumptions'!$C$50)))</x:f>
        <x:v>0.0629030467579511</x:v>
      </x:c>
      <x:c r="K90" s="132" t="n">
        <x:f>IF(F90&lt;(('Assumptions'!$C$51-'Assumptions'!$B$51)/('Assumptions'!$D$51-'Assumptions'!$B$51)),'Assumptions'!$B$51+SQRT(F90*('Assumptions'!$D$51-'Assumptions'!$B$51)*('Assumptions'!$C$51-'Assumptions'!$B$51)),'Assumptions'!$D$51-SQRT((1-F90)*('Assumptions'!$D$51-'Assumptions'!$B$51)*('Assumptions'!$D$51-'Assumptions'!$C$51)))</x:f>
        <x:v>0.06885616313369394</x:v>
      </x:c>
      <x:c r="L90" s="133" t="n">
        <x:f>(('Assumptions'!$B$17*(1+G90)+'Assumptions'!$B$18)*(1-H90-'Assumptions'!$B$20)-SUM('Assumptions'!$B$21:$B$25)*(1+I90))-(('Assumptions'!$B$17*(1+G90)+'Assumptions'!$B$18)*(1-H90-'Assumptions'!$B$20)*'Assumptions'!$B$26)</x:f>
        <x:v>208132.20547216464</x:v>
      </x:c>
      <x:c r="M90" s="133" t="n">
        <x:f>'Assumptions'!$B$10*'Assumptions'!$B$33</x:f>
        <x:v>1950000</x:v>
      </x:c>
      <x:c r="N90" s="133" t="n">
        <x:f>-PMT(K90/12,'Assumptions'!$B$35*12,M90)*12</x:f>
        <x:v>153887.37011640106</x:v>
      </x:c>
      <x:c r="O90" s="133" t="n">
        <x:f>(L90*(1+'Assumptions'!$B$29)^('Assumptions'!$B$14/12)/J90)*(1-'Assumptions'!$B$42)-'Debt Schedule'!$F$9</x:f>
        <x:v>3605633.5158717358</x:v>
      </x:c>
      <x:c r="P90" s="132" t="n">
        <x:f>((O90+(L90-N90-'Assumptions'!$B$27-'Assumptions'!$B$28)*('Assumptions'!$B$14/12))/ABS('Monthly Cash Flow'!$S$5))^(1/('Assumptions'!$B$14/12))-1</x:f>
        <x:v>0.2321822641718394</x:v>
      </x:c>
      <x:c r="Q90" s="133" t="n">
        <x:f>-ABS('Monthly Cash Flow'!$S$5)+((L90-N90-'Assumptions'!$B$27-'Assumptions'!$B$28)*(1-(1+'Assumptions'!$B$43)^-('Assumptions'!$B$14/12))/'Assumptions'!$B$43)+(O90/(1+'Assumptions'!$B$43)^('Assumptions'!$B$14/12))</x:f>
        <x:v>998313.8665405412</x:v>
      </x:c>
    </x:row>
    <x:row r="91">
      <x:c r="A91" s="131" t="n">
        <x:f>84</x:f>
        <x:v>84</x:v>
      </x:c>
      <x:c r="B91" s="131" t="n">
        <x:f>MOD(ABS(SIN((A91+1)*12.9898+78.233)*43758.5453),1)</x:f>
        <x:v>0.6216580764521495</x:v>
      </x:c>
      <x:c r="C91" s="131" t="n">
        <x:f>MOD(ABS(SIN((A91+2)*12.9898+78.233)*43758.5453),1)</x:f>
        <x:v>0.6138385461890721</x:v>
      </x:c>
      <x:c r="D91" s="131" t="n">
        <x:f>MOD(ABS(SIN((A91+3)*12.9898+78.233)*43758.5453),1)</x:f>
        <x:v>0.12974628563824808</x:v>
      </x:c>
      <x:c r="E91" s="131" t="n">
        <x:f>MOD(ABS(SIN((A91+4)*12.9898+78.233)*43758.5453),1)</x:f>
        <x:v>0.458444740226696</x:v>
      </x:c>
      <x:c r="F91" s="131" t="n">
        <x:f>MOD(ABS(SIN((A91+5)*12.9898+78.233)*43758.5453),1)</x:f>
        <x:v>0.5818059838311456</x:v>
      </x:c>
      <x:c r="G91" s="132" t="n">
        <x:f>IF(B91&lt;(('Assumptions'!$C$47-'Assumptions'!$B$47)/('Assumptions'!$D$47-'Assumptions'!$B$47)),'Assumptions'!$B$47+SQRT(B91*('Assumptions'!$D$47-'Assumptions'!$B$47)*('Assumptions'!$C$47-'Assumptions'!$B$47)),'Assumptions'!$D$47-SQRT((1-B91)*('Assumptions'!$D$47-'Assumptions'!$B$47)*('Assumptions'!$D$47-'Assumptions'!$C$47)))</x:f>
        <x:v>0.02219594627035422</x:v>
      </x:c>
      <x:c r="H91" s="132" t="n">
        <x:f>IF(C91&lt;(('Assumptions'!$C$48-'Assumptions'!$B$48)/('Assumptions'!$D$48-'Assumptions'!$B$48)),'Assumptions'!$B$48+SQRT(C91*('Assumptions'!$D$48-'Assumptions'!$B$48)*('Assumptions'!$C$48-'Assumptions'!$B$48)),'Assumptions'!$D$48-SQRT((1-C91)*('Assumptions'!$D$48-'Assumptions'!$B$48)*('Assumptions'!$D$48-'Assumptions'!$C$48)))</x:f>
        <x:v>0.08170573961755612</x:v>
      </x:c>
      <x:c r="I91" s="132" t="n">
        <x:f>IF(D91&lt;(('Assumptions'!$C$49-'Assumptions'!$B$49)/('Assumptions'!$D$49-'Assumptions'!$B$49)),'Assumptions'!$B$49+SQRT(D91*('Assumptions'!$D$49-'Assumptions'!$B$49)*('Assumptions'!$C$49-'Assumptions'!$B$49)),'Assumptions'!$D$49-SQRT((1-D91)*('Assumptions'!$D$49-'Assumptions'!$B$49)*('Assumptions'!$D$49-'Assumptions'!$C$49)))</x:f>
        <x:v>0.007433406001766382</x:v>
      </x:c>
      <x:c r="J91" s="132" t="n">
        <x:f>IF(E91&lt;(('Assumptions'!$C$50-'Assumptions'!$B$50)/('Assumptions'!$D$50-'Assumptions'!$B$50)),'Assumptions'!$B$50+SQRT(E91*('Assumptions'!$D$50-'Assumptions'!$B$50)*('Assumptions'!$C$50-'Assumptions'!$B$50)),'Assumptions'!$D$50-SQRT((1-E91)*('Assumptions'!$D$50-'Assumptions'!$B$50)*('Assumptions'!$D$50-'Assumptions'!$C$50)))</x:f>
        <x:v>0.06765850832308988</x:v>
      </x:c>
      <x:c r="K91" s="132" t="n">
        <x:f>IF(F91&lt;(('Assumptions'!$C$51-'Assumptions'!$B$51)/('Assumptions'!$D$51-'Assumptions'!$B$51)),'Assumptions'!$B$51+SQRT(F91*('Assumptions'!$D$51-'Assumptions'!$B$51)*('Assumptions'!$C$51-'Assumptions'!$B$51)),'Assumptions'!$D$51-SQRT((1-F91)*('Assumptions'!$D$51-'Assumptions'!$B$51)*('Assumptions'!$D$51-'Assumptions'!$C$51)))</x:f>
        <x:v>0.07081353214216939</x:v>
      </x:c>
      <x:c r="L91" s="133" t="n">
        <x:f>(('Assumptions'!$B$17*(1+G91)+'Assumptions'!$B$18)*(1-H91-'Assumptions'!$B$20)-SUM('Assumptions'!$B$21:$B$25)*(1+I91))-(('Assumptions'!$B$17*(1+G91)+'Assumptions'!$B$18)*(1-H91-'Assumptions'!$B$20)*'Assumptions'!$B$26)</x:f>
        <x:v>209632.66377910564</x:v>
      </x:c>
      <x:c r="M91" s="133" t="n">
        <x:f>'Assumptions'!$B$10*'Assumptions'!$B$33</x:f>
        <x:v>1950000</x:v>
      </x:c>
      <x:c r="N91" s="133" t="n">
        <x:f>-PMT(K91/12,'Assumptions'!$B$35*12,M91)*12</x:f>
        <x:v>156961.37098028616</x:v>
      </x:c>
      <x:c r="O91" s="133" t="n">
        <x:f>(L91*(1+'Assumptions'!$B$29)^('Assumptions'!$B$14/12)/J91)*(1-'Assumptions'!$B$42)-'Debt Schedule'!$F$9</x:f>
        <x:v>3376373.7210989</x:v>
      </x:c>
      <x:c r="P91" s="132" t="n">
        <x:f>((O91+(L91-N91-'Assumptions'!$B$27-'Assumptions'!$B$28)*('Assumptions'!$B$14/12))/ABS('Monthly Cash Flow'!$S$5))^(1/('Assumptions'!$B$14/12))-1</x:f>
        <x:v>0.21586250147629515</x:v>
      </x:c>
      <x:c r="Q91" s="133" t="n">
        <x:f>-ABS('Monthly Cash Flow'!$S$5)+((L91-N91-'Assumptions'!$B$27-'Assumptions'!$B$28)*(1-(1+'Assumptions'!$B$43)^-('Assumptions'!$B$14/12))/'Assumptions'!$B$43)+(O91/(1+'Assumptions'!$B$43)^('Assumptions'!$B$14/12))</x:f>
        <x:v>849996.6071399567</x:v>
      </x:c>
    </x:row>
    <x:row r="92">
      <x:c r="A92" s="131" t="n">
        <x:f>85</x:f>
        <x:v>85</x:v>
      </x:c>
      <x:c r="B92" s="131" t="n">
        <x:f>MOD(ABS(SIN((A92+1)*12.9898+78.233)*43758.5453),1)</x:f>
        <x:v>0.6138385461890721</x:v>
      </x:c>
      <x:c r="C92" s="131" t="n">
        <x:f>MOD(ABS(SIN((A92+2)*12.9898+78.233)*43758.5453),1)</x:f>
        <x:v>0.12974628563824808</x:v>
      </x:c>
      <x:c r="D92" s="131" t="n">
        <x:f>MOD(ABS(SIN((A92+3)*12.9898+78.233)*43758.5453),1)</x:f>
        <x:v>0.458444740226696</x:v>
      </x:c>
      <x:c r="E92" s="131" t="n">
        <x:f>MOD(ABS(SIN((A92+4)*12.9898+78.233)*43758.5453),1)</x:f>
        <x:v>0.5818059838311456</x:v>
      </x:c>
      <x:c r="F92" s="131" t="n">
        <x:f>MOD(ABS(SIN((A92+5)*12.9898+78.233)*43758.5453),1)</x:f>
        <x:v>0.8261354570668118</x:v>
      </x:c>
      <x:c r="G92" s="132" t="n">
        <x:f>IF(B92&lt;(('Assumptions'!$C$47-'Assumptions'!$B$47)/('Assumptions'!$D$47-'Assumptions'!$B$47)),'Assumptions'!$B$47+SQRT(B92*('Assumptions'!$D$47-'Assumptions'!$B$47)*('Assumptions'!$C$47-'Assumptions'!$B$47)),'Assumptions'!$D$47-SQRT((1-B92)*('Assumptions'!$D$47-'Assumptions'!$B$47)*('Assumptions'!$D$47-'Assumptions'!$C$47)))</x:f>
        <x:v>0.021396035335519828</x:v>
      </x:c>
      <x:c r="H92" s="132" t="n">
        <x:f>IF(C92&lt;(('Assumptions'!$C$48-'Assumptions'!$B$48)/('Assumptions'!$D$48-'Assumptions'!$B$48)),'Assumptions'!$B$48+SQRT(C92*('Assumptions'!$D$48-'Assumptions'!$B$48)*('Assumptions'!$C$48-'Assumptions'!$B$48)),'Assumptions'!$D$48-SQRT((1-C92)*('Assumptions'!$D$48-'Assumptions'!$B$48)*('Assumptions'!$D$48-'Assumptions'!$C$48)))</x:f>
        <x:v>0.0506920937221495</x:v>
      </x:c>
      <x:c r="I92" s="132" t="n">
        <x:f>IF(D92&lt;(('Assumptions'!$C$49-'Assumptions'!$B$49)/('Assumptions'!$D$49-'Assumptions'!$B$49)),'Assumptions'!$B$49+SQRT(D92*('Assumptions'!$D$49-'Assumptions'!$B$49)*('Assumptions'!$C$49-'Assumptions'!$B$49)),'Assumptions'!$D$49-SQRT((1-D92)*('Assumptions'!$D$49-'Assumptions'!$B$49)*('Assumptions'!$D$49-'Assumptions'!$C$49)))</x:f>
        <x:v>0.04184458584470509</x:v>
      </x:c>
      <x:c r="J92" s="132" t="n">
        <x:f>IF(E92&lt;(('Assumptions'!$C$50-'Assumptions'!$B$50)/('Assumptions'!$D$50-'Assumptions'!$B$50)),'Assumptions'!$B$50+SQRT(E92*('Assumptions'!$D$50-'Assumptions'!$B$50)*('Assumptions'!$C$50-'Assumptions'!$B$50)),'Assumptions'!$D$50-SQRT((1-E92)*('Assumptions'!$D$50-'Assumptions'!$B$50)*('Assumptions'!$D$50-'Assumptions'!$C$50)))</x:f>
        <x:v>0.06915485974975472</x:v>
      </x:c>
      <x:c r="K92" s="132" t="n">
        <x:f>IF(F92&lt;(('Assumptions'!$C$51-'Assumptions'!$B$51)/('Assumptions'!$D$51-'Assumptions'!$B$51)),'Assumptions'!$B$51+SQRT(F92*('Assumptions'!$D$51-'Assumptions'!$B$51)*('Assumptions'!$C$51-'Assumptions'!$B$51)),'Assumptions'!$D$51-SQRT((1-F92)*('Assumptions'!$D$51-'Assumptions'!$B$51)*('Assumptions'!$D$51-'Assumptions'!$C$51)))</x:f>
        <x:v>0.07585274296378434</x:v>
      </x:c>
      <x:c r="L92" s="133" t="n">
        <x:f>(('Assumptions'!$B$17*(1+G92)+'Assumptions'!$B$18)*(1-H92-'Assumptions'!$B$20)-SUM('Assumptions'!$B$21:$B$25)*(1+I92))-(('Assumptions'!$B$17*(1+G92)+'Assumptions'!$B$18)*(1-H92-'Assumptions'!$B$20)*'Assumptions'!$B$26)</x:f>
        <x:v>216529.31917077632</x:v>
      </x:c>
      <x:c r="M92" s="133" t="n">
        <x:f>'Assumptions'!$B$10*'Assumptions'!$B$33</x:f>
        <x:v>1950000</x:v>
      </x:c>
      <x:c r="N92" s="133" t="n">
        <x:f>-PMT(K92/12,'Assumptions'!$B$35*12,M92)*12</x:f>
        <x:v>164984.7258470619</x:v>
      </x:c>
      <x:c r="O92" s="133" t="n">
        <x:f>(L92*(1+'Assumptions'!$B$29)^('Assumptions'!$B$14/12)/J92)*(1-'Assumptions'!$B$42)-'Debt Schedule'!$F$9</x:f>
        <x:v>3411991.830102977</x:v>
      </x:c>
      <x:c r="P92" s="132" t="n">
        <x:f>((O92+(L92-N92-'Assumptions'!$B$27-'Assumptions'!$B$28)*('Assumptions'!$B$14/12))/ABS('Monthly Cash Flow'!$S$5))^(1/('Assumptions'!$B$14/12))-1</x:f>
        <x:v>0.2179749174450314</x:v>
      </x:c>
      <x:c r="Q92" s="133" t="n">
        <x:f>-ABS('Monthly Cash Flow'!$S$5)+((L92-N92-'Assumptions'!$B$27-'Assumptions'!$B$28)*(1-(1+'Assumptions'!$B$43)^-('Assumptions'!$B$14/12))/'Assumptions'!$B$43)+(O92/(1+'Assumptions'!$B$43)^('Assumptions'!$B$14/12))</x:f>
        <x:v>867841.5730443054</x:v>
      </x:c>
    </x:row>
    <x:row r="93">
      <x:c r="A93" s="131" t="n">
        <x:f>86</x:f>
        <x:v>86</x:v>
      </x:c>
      <x:c r="B93" s="131" t="n">
        <x:f>MOD(ABS(SIN((A93+1)*12.9898+78.233)*43758.5453),1)</x:f>
        <x:v>0.12974628563824808</x:v>
      </x:c>
      <x:c r="C93" s="131" t="n">
        <x:f>MOD(ABS(SIN((A93+2)*12.9898+78.233)*43758.5453),1)</x:f>
        <x:v>0.458444740226696</x:v>
      </x:c>
      <x:c r="D93" s="131" t="n">
        <x:f>MOD(ABS(SIN((A93+3)*12.9898+78.233)*43758.5453),1)</x:f>
        <x:v>0.5818059838311456</x:v>
      </x:c>
      <x:c r="E93" s="131" t="n">
        <x:f>MOD(ABS(SIN((A93+4)*12.9898+78.233)*43758.5453),1)</x:f>
        <x:v>0.8261354570668118</x:v>
      </x:c>
      <x:c r="F93" s="131" t="n">
        <x:f>MOD(ABS(SIN((A93+5)*12.9898+78.233)*43758.5453),1)</x:f>
        <x:v>0.7278246242021851</x:v>
      </x:c>
      <x:c r="G93" s="132" t="n">
        <x:f>IF(B93&lt;(('Assumptions'!$C$47-'Assumptions'!$B$47)/('Assumptions'!$D$47-'Assumptions'!$B$47)),'Assumptions'!$B$47+SQRT(B93*('Assumptions'!$D$47-'Assumptions'!$B$47)*('Assumptions'!$C$47-'Assumptions'!$B$47)),'Assumptions'!$D$47-SQRT((1-B93)*('Assumptions'!$D$47-'Assumptions'!$B$47)*('Assumptions'!$D$47-'Assumptions'!$C$47)))</x:f>
        <x:v>-0.044197573033801174</x:v>
      </x:c>
      <x:c r="H93" s="132" t="n">
        <x:f>IF(C93&lt;(('Assumptions'!$C$48-'Assumptions'!$B$48)/('Assumptions'!$D$48-'Assumptions'!$B$48)),'Assumptions'!$B$48+SQRT(C93*('Assumptions'!$D$48-'Assumptions'!$B$48)*('Assumptions'!$C$48-'Assumptions'!$B$48)),'Assumptions'!$D$48-SQRT((1-C93)*('Assumptions'!$D$48-'Assumptions'!$B$48)*('Assumptions'!$D$48-'Assumptions'!$C$48)))</x:f>
        <x:v>0.07096604975807139</x:v>
      </x:c>
      <x:c r="I93" s="132" t="n">
        <x:f>IF(D93&lt;(('Assumptions'!$C$49-'Assumptions'!$B$49)/('Assumptions'!$D$49-'Assumptions'!$B$49)),'Assumptions'!$B$49+SQRT(D93*('Assumptions'!$D$49-'Assumptions'!$B$49)*('Assumptions'!$C$49-'Assumptions'!$B$49)),'Assumptions'!$D$49-SQRT((1-D93)*('Assumptions'!$D$49-'Assumptions'!$B$49)*('Assumptions'!$D$49-'Assumptions'!$C$49)))</x:f>
        <x:v>0.054957952730134985</x:v>
      </x:c>
      <x:c r="J93" s="132" t="n">
        <x:f>IF(E93&lt;(('Assumptions'!$C$50-'Assumptions'!$B$50)/('Assumptions'!$D$50-'Assumptions'!$B$50)),'Assumptions'!$B$50+SQRT(E93*('Assumptions'!$D$50-'Assumptions'!$B$50)*('Assumptions'!$C$50-'Assumptions'!$B$50)),'Assumptions'!$D$50-SQRT((1-E93)*('Assumptions'!$D$50-'Assumptions'!$B$50)*('Assumptions'!$D$50-'Assumptions'!$C$50)))</x:f>
        <x:v>0.07300718921320196</x:v>
      </x:c>
      <x:c r="K93" s="132" t="n">
        <x:f>IF(F93&lt;(('Assumptions'!$C$51-'Assumptions'!$B$51)/('Assumptions'!$D$51-'Assumptions'!$B$51)),'Assumptions'!$B$51+SQRT(F93*('Assumptions'!$D$51-'Assumptions'!$B$51)*('Assumptions'!$C$51-'Assumptions'!$B$51)),'Assumptions'!$D$51-SQRT((1-F93)*('Assumptions'!$D$51-'Assumptions'!$B$51)*('Assumptions'!$D$51-'Assumptions'!$C$51)))</x:f>
        <x:v>0.07355515838455165</x:v>
      </x:c>
      <x:c r="L93" s="133" t="n">
        <x:f>(('Assumptions'!$B$17*(1+G93)+'Assumptions'!$B$18)*(1-H93-'Assumptions'!$B$20)-SUM('Assumptions'!$B$21:$B$25)*(1+I93))-(('Assumptions'!$B$17*(1+G93)+'Assumptions'!$B$18)*(1-H93-'Assumptions'!$B$20)*'Assumptions'!$B$26)</x:f>
        <x:v>186536.3871806679</x:v>
      </x:c>
      <x:c r="M93" s="133" t="n">
        <x:f>'Assumptions'!$B$10*'Assumptions'!$B$33</x:f>
        <x:v>1950000</x:v>
      </x:c>
      <x:c r="N93" s="133" t="n">
        <x:f>-PMT(K93/12,'Assumptions'!$B$35*12,M93)*12</x:f>
        <x:v>161307.36682961247</x:v>
      </x:c>
      <x:c r="O93" s="133" t="n">
        <x:f>(L93*(1+'Assumptions'!$B$29)^('Assumptions'!$B$14/12)/J93)*(1-'Assumptions'!$B$42)-'Debt Schedule'!$F$9</x:f>
        <x:v>2784273.602483099</x:v>
      </x:c>
      <x:c r="P93" s="132" t="n">
        <x:f>((O93+(L93-N93-'Assumptions'!$B$27-'Assumptions'!$B$28)*('Assumptions'!$B$14/12))/ABS('Monthly Cash Flow'!$S$5))^(1/('Assumptions'!$B$14/12))-1</x:f>
        <x:v>0.15927605668774802</x:v>
      </x:c>
      <x:c r="Q93" s="133" t="n">
        <x:f>-ABS('Monthly Cash Flow'!$S$5)+((L93-N93-'Assumptions'!$B$27-'Assumptions'!$B$28)*(1-(1+'Assumptions'!$B$43)^-('Assumptions'!$B$14/12))/'Assumptions'!$B$43)+(O93/(1+'Assumptions'!$B$43)^('Assumptions'!$B$14/12))</x:f>
        <x:v>378321.2147880648</x:v>
      </x:c>
    </x:row>
    <x:row r="94">
      <x:c r="A94" s="131" t="n">
        <x:f>87</x:f>
        <x:v>87</x:v>
      </x:c>
      <x:c r="B94" s="131" t="n">
        <x:f>MOD(ABS(SIN((A94+1)*12.9898+78.233)*43758.5453),1)</x:f>
        <x:v>0.458444740226696</x:v>
      </x:c>
      <x:c r="C94" s="131" t="n">
        <x:f>MOD(ABS(SIN((A94+2)*12.9898+78.233)*43758.5453),1)</x:f>
        <x:v>0.5818059838311456</x:v>
      </x:c>
      <x:c r="D94" s="131" t="n">
        <x:f>MOD(ABS(SIN((A94+3)*12.9898+78.233)*43758.5453),1)</x:f>
        <x:v>0.8261354570668118</x:v>
      </x:c>
      <x:c r="E94" s="131" t="n">
        <x:f>MOD(ABS(SIN((A94+4)*12.9898+78.233)*43758.5453),1)</x:f>
        <x:v>0.7278246242021851</x:v>
      </x:c>
      <x:c r="F94" s="131" t="n">
        <x:f>MOD(ABS(SIN((A94+5)*12.9898+78.233)*43758.5453),1)</x:f>
        <x:v>0.06575947549572447</x:v>
      </x:c>
      <x:c r="G94" s="132" t="n">
        <x:f>IF(B94&lt;(('Assumptions'!$C$47-'Assumptions'!$B$47)/('Assumptions'!$D$47-'Assumptions'!$B$47)),'Assumptions'!$B$47+SQRT(B94*('Assumptions'!$D$47-'Assumptions'!$B$47)*('Assumptions'!$C$47-'Assumptions'!$B$47)),'Assumptions'!$D$47-SQRT((1-B94)*('Assumptions'!$D$47-'Assumptions'!$B$47)*('Assumptions'!$D$47-'Assumptions'!$C$47)))</x:f>
        <x:v>0.004893630719127587</x:v>
      </x:c>
      <x:c r="H94" s="132" t="n">
        <x:f>IF(C94&lt;(('Assumptions'!$C$48-'Assumptions'!$B$48)/('Assumptions'!$D$48-'Assumptions'!$B$48)),'Assumptions'!$B$48+SQRT(C94*('Assumptions'!$D$48-'Assumptions'!$B$48)*('Assumptions'!$C$48-'Assumptions'!$B$48)),'Assumptions'!$D$48-SQRT((1-C94)*('Assumptions'!$D$48-'Assumptions'!$B$48)*('Assumptions'!$D$48-'Assumptions'!$C$48)))</x:f>
        <x:v>0.07933611171144798</x:v>
      </x:c>
      <x:c r="I94" s="132" t="n">
        <x:f>IF(D94&lt;(('Assumptions'!$C$49-'Assumptions'!$B$49)/('Assumptions'!$D$49-'Assumptions'!$B$49)),'Assumptions'!$B$49+SQRT(D94*('Assumptions'!$D$49-'Assumptions'!$B$49)*('Assumptions'!$C$49-'Assumptions'!$B$49)),'Assumptions'!$D$49-SQRT((1-D94)*('Assumptions'!$D$49-'Assumptions'!$B$49)*('Assumptions'!$D$49-'Assumptions'!$C$49)))</x:f>
        <x:v>0.08871807666728412</x:v>
      </x:c>
      <x:c r="J94" s="132" t="n">
        <x:f>IF(E94&lt;(('Assumptions'!$C$50-'Assumptions'!$B$50)/('Assumptions'!$D$50-'Assumptions'!$B$50)),'Assumptions'!$B$50+SQRT(E94*('Assumptions'!$D$50-'Assumptions'!$B$50)*('Assumptions'!$C$50-'Assumptions'!$B$50)),'Assumptions'!$D$50-SQRT((1-E94)*('Assumptions'!$D$50-'Assumptions'!$B$50)*('Assumptions'!$D$50-'Assumptions'!$C$50)))</x:f>
        <x:v>0.07125075292135744</x:v>
      </x:c>
      <x:c r="K94" s="132" t="n">
        <x:f>IF(F94&lt;(('Assumptions'!$C$51-'Assumptions'!$B$51)/('Assumptions'!$D$51-'Assumptions'!$B$51)),'Assumptions'!$B$51+SQRT(F94*('Assumptions'!$D$51-'Assumptions'!$B$51)*('Assumptions'!$C$51-'Assumptions'!$B$51)),'Assumptions'!$D$51-SQRT((1-F94)*('Assumptions'!$D$51-'Assumptions'!$B$51)*('Assumptions'!$D$51-'Assumptions'!$C$51)))</x:f>
        <x:v>0.061752511700315975</x:v>
      </x:c>
      <x:c r="L94" s="133" t="n">
        <x:f>(('Assumptions'!$B$17*(1+G94)+'Assumptions'!$B$18)*(1-H94-'Assumptions'!$B$20)-SUM('Assumptions'!$B$21:$B$25)*(1+I94))-(('Assumptions'!$B$17*(1+G94)+'Assumptions'!$B$18)*(1-H94-'Assumptions'!$B$20)*'Assumptions'!$B$26)</x:f>
        <x:v>194823.38420233162</x:v>
      </x:c>
      <x:c r="M94" s="133" t="n">
        <x:f>'Assumptions'!$B$10*'Assumptions'!$B$33</x:f>
        <x:v>1950000</x:v>
      </x:c>
      <x:c r="N94" s="133" t="n">
        <x:f>-PMT(K94/12,'Assumptions'!$B$35*12,M94)*12</x:f>
        <x:v>142942.157377031</x:v>
      </x:c>
      <x:c r="O94" s="133" t="n">
        <x:f>(L94*(1+'Assumptions'!$B$29)^('Assumptions'!$B$14/12)/J94)*(1-'Assumptions'!$B$42)-'Debt Schedule'!$F$9</x:f>
        <x:v>2979652.3933591223</x:v>
      </x:c>
      <x:c r="P94" s="132" t="n">
        <x:f>((O94+(L94-N94-'Assumptions'!$B$27-'Assumptions'!$B$28)*('Assumptions'!$B$14/12))/ABS('Monthly Cash Flow'!$S$5))^(1/('Assumptions'!$B$14/12))-1</x:f>
        <x:v>0.1861166487079151</x:v>
      </x:c>
      <x:c r="Q94" s="133" t="n">
        <x:f>-ABS('Monthly Cash Flow'!$S$5)+((L94-N94-'Assumptions'!$B$27-'Assumptions'!$B$28)*(1-(1+'Assumptions'!$B$43)^-('Assumptions'!$B$14/12))/'Assumptions'!$B$43)+(O94/(1+'Assumptions'!$B$43)^('Assumptions'!$B$14/12))</x:f>
        <x:v>600668.9037946144</x:v>
      </x:c>
    </x:row>
    <x:row r="95">
      <x:c r="A95" s="131" t="n">
        <x:f>88</x:f>
        <x:v>88</x:v>
      </x:c>
      <x:c r="B95" s="131" t="n">
        <x:f>MOD(ABS(SIN((A95+1)*12.9898+78.233)*43758.5453),1)</x:f>
        <x:v>0.5818059838311456</x:v>
      </x:c>
      <x:c r="C95" s="131" t="n">
        <x:f>MOD(ABS(SIN((A95+2)*12.9898+78.233)*43758.5453),1)</x:f>
        <x:v>0.8261354570668118</x:v>
      </x:c>
      <x:c r="D95" s="131" t="n">
        <x:f>MOD(ABS(SIN((A95+3)*12.9898+78.233)*43758.5453),1)</x:f>
        <x:v>0.7278246242021851</x:v>
      </x:c>
      <x:c r="E95" s="131" t="n">
        <x:f>MOD(ABS(SIN((A95+4)*12.9898+78.233)*43758.5453),1)</x:f>
        <x:v>0.06575947549572447</x:v>
      </x:c>
      <x:c r="F95" s="131" t="n">
        <x:f>MOD(ABS(SIN((A95+5)*12.9898+78.233)*43758.5453),1)</x:f>
        <x:v>0.38144517705222825</x:v>
      </x:c>
      <x:c r="G95" s="132" t="n">
        <x:f>IF(B95&lt;(('Assumptions'!$C$47-'Assumptions'!$B$47)/('Assumptions'!$D$47-'Assumptions'!$B$47)),'Assumptions'!$B$47+SQRT(B95*('Assumptions'!$D$47-'Assumptions'!$B$47)*('Assumptions'!$C$47-'Assumptions'!$B$47)),'Assumptions'!$D$47-SQRT((1-B95)*('Assumptions'!$D$47-'Assumptions'!$B$47)*('Assumptions'!$D$47-'Assumptions'!$C$47)))</x:f>
        <x:v>0.018166592622227598</x:v>
      </x:c>
      <x:c r="H95" s="132" t="n">
        <x:f>IF(C95&lt;(('Assumptions'!$C$48-'Assumptions'!$B$48)/('Assumptions'!$D$48-'Assumptions'!$B$48)),'Assumptions'!$B$48+SQRT(C95*('Assumptions'!$D$48-'Assumptions'!$B$48)*('Assumptions'!$C$48-'Assumptions'!$B$48)),'Assumptions'!$D$48-SQRT((1-C95)*('Assumptions'!$D$48-'Assumptions'!$B$48)*('Assumptions'!$D$48-'Assumptions'!$C$48)))</x:f>
        <x:v>0.10088468359054148</x:v>
      </x:c>
      <x:c r="I95" s="132" t="n">
        <x:f>IF(D95&lt;(('Assumptions'!$C$49-'Assumptions'!$B$49)/('Assumptions'!$D$49-'Assumptions'!$B$49)),'Assumptions'!$B$49+SQRT(D95*('Assumptions'!$D$49-'Assumptions'!$B$49)*('Assumptions'!$C$49-'Assumptions'!$B$49)),'Assumptions'!$D$49-SQRT((1-D95)*('Assumptions'!$D$49-'Assumptions'!$B$49)*('Assumptions'!$D$49-'Assumptions'!$C$49)))</x:f>
        <x:v>0.07332544022146066</x:v>
      </x:c>
      <x:c r="J95" s="132" t="n">
        <x:f>IF(E95&lt;(('Assumptions'!$C$50-'Assumptions'!$B$50)/('Assumptions'!$D$50-'Assumptions'!$B$50)),'Assumptions'!$B$50+SQRT(E95*('Assumptions'!$D$50-'Assumptions'!$B$50)*('Assumptions'!$C$50-'Assumptions'!$B$50)),'Assumptions'!$D$50-SQRT((1-E95)*('Assumptions'!$D$50-'Assumptions'!$B$50)*('Assumptions'!$D$50-'Assumptions'!$C$50)))</x:f>
        <x:v>0.061346541561784824</x:v>
      </x:c>
      <x:c r="K95" s="132" t="n">
        <x:f>IF(F95&lt;(('Assumptions'!$C$51-'Assumptions'!$B$51)/('Assumptions'!$D$51-'Assumptions'!$B$51)),'Assumptions'!$B$51+SQRT(F95*('Assumptions'!$D$51-'Assumptions'!$B$51)*('Assumptions'!$C$51-'Assumptions'!$B$51)),'Assumptions'!$D$51-SQRT((1-F95)*('Assumptions'!$D$51-'Assumptions'!$B$51)*('Assumptions'!$D$51-'Assumptions'!$C$51)))</x:f>
        <x:v>0.06774660878135504</x:v>
      </x:c>
      <x:c r="L95" s="133" t="n">
        <x:f>(('Assumptions'!$B$17*(1+G95)+'Assumptions'!$B$18)*(1-H95-'Assumptions'!$B$20)-SUM('Assumptions'!$B$21:$B$25)*(1+I95))-(('Assumptions'!$B$17*(1+G95)+'Assumptions'!$B$18)*(1-H95-'Assumptions'!$B$20)*'Assumptions'!$B$26)</x:f>
        <x:v>192985.3594010595</x:v>
      </x:c>
      <x:c r="M95" s="133" t="n">
        <x:f>'Assumptions'!$B$10*'Assumptions'!$B$33</x:f>
        <x:v>1950000</x:v>
      </x:c>
      <x:c r="N95" s="133" t="n">
        <x:f>-PMT(K95/12,'Assumptions'!$B$35*12,M95)*12</x:f>
        <x:v>152155.74056885642</x:v>
      </x:c>
      <x:c r="O95" s="133" t="n">
        <x:f>(L95*(1+'Assumptions'!$B$29)^('Assumptions'!$B$14/12)/J95)*(1-'Assumptions'!$B$42)-'Debt Schedule'!$F$9</x:f>
        <x:v>3428058.7476789886</x:v>
      </x:c>
      <x:c r="P95" s="132" t="n">
        <x:f>((O95+(L95-N95-'Assumptions'!$B$27-'Assumptions'!$B$28)*('Assumptions'!$B$14/12))/ABS('Monthly Cash Flow'!$S$5))^(1/('Assumptions'!$B$14/12))-1</x:f>
        <x:v>0.21533017110325625</x:v>
      </x:c>
      <x:c r="Q95" s="133" t="n">
        <x:f>-ABS('Monthly Cash Flow'!$S$5)+((L95-N95-'Assumptions'!$B$27-'Assumptions'!$B$28)*(1-(1+'Assumptions'!$B$43)^-('Assumptions'!$B$14/12))/'Assumptions'!$B$43)+(O95/(1+'Assumptions'!$B$43)^('Assumptions'!$B$14/12))</x:f>
        <x:v>837199.6812261147</x:v>
      </x:c>
    </x:row>
    <x:row r="96">
      <x:c r="A96" s="131" t="n">
        <x:f>89</x:f>
        <x:v>89</x:v>
      </x:c>
      <x:c r="B96" s="131" t="n">
        <x:f>MOD(ABS(SIN((A96+1)*12.9898+78.233)*43758.5453),1)</x:f>
        <x:v>0.8261354570668118</x:v>
      </x:c>
      <x:c r="C96" s="131" t="n">
        <x:f>MOD(ABS(SIN((A96+2)*12.9898+78.233)*43758.5453),1)</x:f>
        <x:v>0.7278246242021851</x:v>
      </x:c>
      <x:c r="D96" s="131" t="n">
        <x:f>MOD(ABS(SIN((A96+3)*12.9898+78.233)*43758.5453),1)</x:f>
        <x:v>0.06575947549572447</x:v>
      </x:c>
      <x:c r="E96" s="131" t="n">
        <x:f>MOD(ABS(SIN((A96+4)*12.9898+78.233)*43758.5453),1)</x:f>
        <x:v>0.38144517705222825</x:v>
      </x:c>
      <x:c r="F96" s="131" t="n">
        <x:f>MOD(ABS(SIN((A96+5)*12.9898+78.233)*43758.5453),1)</x:f>
        <x:v>0.3372780670397333</x:v>
      </x:c>
      <x:c r="G96" s="132" t="n">
        <x:f>IF(B96&lt;(('Assumptions'!$C$47-'Assumptions'!$B$47)/('Assumptions'!$D$47-'Assumptions'!$B$47)),'Assumptions'!$B$47+SQRT(B96*('Assumptions'!$D$47-'Assumptions'!$B$47)*('Assumptions'!$C$47-'Assumptions'!$B$47)),'Assumptions'!$D$47-SQRT((1-B96)*('Assumptions'!$D$47-'Assumptions'!$B$47)*('Assumptions'!$D$47-'Assumptions'!$C$47)))</x:f>
        <x:v>0.047256918113073726</x:v>
      </x:c>
      <x:c r="H96" s="132" t="n">
        <x:f>IF(C96&lt;(('Assumptions'!$C$48-'Assumptions'!$B$48)/('Assumptions'!$D$48-'Assumptions'!$B$48)),'Assumptions'!$B$48+SQRT(C96*('Assumptions'!$D$48-'Assumptions'!$B$48)*('Assumptions'!$C$48-'Assumptions'!$B$48)),'Assumptions'!$D$48-SQRT((1-C96)*('Assumptions'!$D$48-'Assumptions'!$B$48)*('Assumptions'!$D$48-'Assumptions'!$C$48)))</x:f>
        <x:v>0.09105979866182842</x:v>
      </x:c>
      <x:c r="I96" s="132" t="n">
        <x:f>IF(D96&lt;(('Assumptions'!$C$49-'Assumptions'!$B$49)/('Assumptions'!$D$49-'Assumptions'!$B$49)),'Assumptions'!$B$49+SQRT(D96*('Assumptions'!$D$49-'Assumptions'!$B$49)*('Assumptions'!$C$49-'Assumptions'!$B$49)),'Assumptions'!$D$49-SQRT((1-D96)*('Assumptions'!$D$49-'Assumptions'!$B$49)*('Assumptions'!$D$49-'Assumptions'!$C$49)))</x:f>
        <x:v>-0.003350378326253404</x:v>
      </x:c>
      <x:c r="J96" s="132" t="n">
        <x:f>IF(E96&lt;(('Assumptions'!$C$50-'Assumptions'!$B$50)/('Assumptions'!$D$50-'Assumptions'!$B$50)),'Assumptions'!$B$50+SQRT(E96*('Assumptions'!$D$50-'Assumptions'!$B$50)*('Assumptions'!$C$50-'Assumptions'!$B$50)),'Assumptions'!$D$50-SQRT((1-E96)*('Assumptions'!$D$50-'Assumptions'!$B$50)*('Assumptions'!$D$50-'Assumptions'!$C$50)))</x:f>
        <x:v>0.06676418721943547</x:v>
      </x:c>
      <x:c r="K96" s="132" t="n">
        <x:f>IF(F96&lt;(('Assumptions'!$C$51-'Assumptions'!$B$51)/('Assumptions'!$D$51-'Assumptions'!$B$51)),'Assumptions'!$B$51+SQRT(F96*('Assumptions'!$D$51-'Assumptions'!$B$51)*('Assumptions'!$C$51-'Assumptions'!$B$51)),'Assumptions'!$D$51-SQRT((1-F96)*('Assumptions'!$D$51-'Assumptions'!$B$51)*('Assumptions'!$D$51-'Assumptions'!$C$51)))</x:f>
        <x:v>0.06713075637922208</x:v>
      </x:c>
      <x:c r="L96" s="133" t="n">
        <x:f>(('Assumptions'!$B$17*(1+G96)+'Assumptions'!$B$18)*(1-H96-'Assumptions'!$B$20)-SUM('Assumptions'!$B$21:$B$25)*(1+I96))-(('Assumptions'!$B$17*(1+G96)+'Assumptions'!$B$18)*(1-H96-'Assumptions'!$B$20)*'Assumptions'!$B$26)</x:f>
        <x:v>215311.0511184934</x:v>
      </x:c>
      <x:c r="M96" s="133" t="n">
        <x:f>'Assumptions'!$B$10*'Assumptions'!$B$33</x:f>
        <x:v>1950000</x:v>
      </x:c>
      <x:c r="N96" s="133" t="n">
        <x:f>-PMT(K96/12,'Assumptions'!$B$35*12,M96)*12</x:f>
        <x:v>151198.0600696104</x:v>
      </x:c>
      <x:c r="O96" s="133" t="n">
        <x:f>(L96*(1+'Assumptions'!$B$29)^('Assumptions'!$B$14/12)/J96)*(1-'Assumptions'!$B$42)-'Debt Schedule'!$F$9</x:f>
        <x:v>3514283.0022400483</x:v>
      </x:c>
      <x:c r="P96" s="132" t="n">
        <x:f>((O96+(L96-N96-'Assumptions'!$B$27-'Assumptions'!$B$28)*('Assumptions'!$B$14/12))/ABS('Monthly Cash Flow'!$S$5))^(1/('Assumptions'!$B$14/12))-1</x:f>
        <x:v>0.22935366111642597</x:v>
      </x:c>
      <x:c r="Q96" s="133" t="n">
        <x:f>-ABS('Monthly Cash Flow'!$S$5)+((L96-N96-'Assumptions'!$B$27-'Assumptions'!$B$28)*(1-(1+'Assumptions'!$B$43)^-('Assumptions'!$B$14/12))/'Assumptions'!$B$43)+(O96/(1+'Assumptions'!$B$43)^('Assumptions'!$B$14/12))</x:f>
        <x:v>979000.4587941598</x:v>
      </x:c>
    </x:row>
    <x:row r="97">
      <x:c r="A97" s="131" t="n">
        <x:f>90</x:f>
        <x:v>90</x:v>
      </x:c>
      <x:c r="B97" s="131" t="n">
        <x:f>MOD(ABS(SIN((A97+1)*12.9898+78.233)*43758.5453),1)</x:f>
        <x:v>0.7278246242021851</x:v>
      </x:c>
      <x:c r="C97" s="131" t="n">
        <x:f>MOD(ABS(SIN((A97+2)*12.9898+78.233)*43758.5453),1)</x:f>
        <x:v>0.06575947549572447</x:v>
      </x:c>
      <x:c r="D97" s="131" t="n">
        <x:f>MOD(ABS(SIN((A97+3)*12.9898+78.233)*43758.5453),1)</x:f>
        <x:v>0.38144517705222825</x:v>
      </x:c>
      <x:c r="E97" s="131" t="n">
        <x:f>MOD(ABS(SIN((A97+4)*12.9898+78.233)*43758.5453),1)</x:f>
        <x:v>0.3372780670397333</x:v>
      </x:c>
      <x:c r="F97" s="131" t="n">
        <x:f>MOD(ABS(SIN((A97+5)*12.9898+78.233)*43758.5453),1)</x:f>
        <x:v>0.15823392273159698</x:v>
      </x:c>
      <x:c r="G97" s="132" t="n">
        <x:f>IF(B97&lt;(('Assumptions'!$C$47-'Assumptions'!$B$47)/('Assumptions'!$D$47-'Assumptions'!$B$47)),'Assumptions'!$B$47+SQRT(B97*('Assumptions'!$D$47-'Assumptions'!$B$47)*('Assumptions'!$C$47-'Assumptions'!$B$47)),'Assumptions'!$D$47-SQRT((1-B97)*('Assumptions'!$D$47-'Assumptions'!$B$47)*('Assumptions'!$D$47-'Assumptions'!$C$47)))</x:f>
        <x:v>0.03400904597776269</x:v>
      </x:c>
      <x:c r="H97" s="132" t="n">
        <x:f>IF(C97&lt;(('Assumptions'!$C$48-'Assumptions'!$B$48)/('Assumptions'!$D$48-'Assumptions'!$B$48)),'Assumptions'!$B$48+SQRT(C97*('Assumptions'!$D$48-'Assumptions'!$B$48)*('Assumptions'!$C$48-'Assumptions'!$B$48)),'Assumptions'!$D$48-SQRT((1-C97)*('Assumptions'!$D$48-'Assumptions'!$B$48)*('Assumptions'!$D$48-'Assumptions'!$C$48)))</x:f>
        <x:v>0.04473113264945675</x:v>
      </x:c>
      <x:c r="I97" s="132" t="n">
        <x:f>IF(D97&lt;(('Assumptions'!$C$49-'Assumptions'!$B$49)/('Assumptions'!$D$49-'Assumptions'!$B$49)),'Assumptions'!$B$49+SQRT(D97*('Assumptions'!$D$49-'Assumptions'!$B$49)*('Assumptions'!$C$49-'Assumptions'!$B$49)),'Assumptions'!$D$49-SQRT((1-D97)*('Assumptions'!$D$49-'Assumptions'!$B$49)*('Assumptions'!$D$49-'Assumptions'!$C$49)))</x:f>
        <x:v>0.03441114164560724</x:v>
      </x:c>
      <x:c r="J97" s="132" t="n">
        <x:f>IF(E97&lt;(('Assumptions'!$C$50-'Assumptions'!$B$50)/('Assumptions'!$D$50-'Assumptions'!$B$50)),'Assumptions'!$B$50+SQRT(E97*('Assumptions'!$D$50-'Assumptions'!$B$50)*('Assumptions'!$C$50-'Assumptions'!$B$50)),'Assumptions'!$D$50-SQRT((1-E97)*('Assumptions'!$D$50-'Assumptions'!$B$50)*('Assumptions'!$D$50-'Assumptions'!$C$50)))</x:f>
        <x:v>0.06621134691560036</x:v>
      </x:c>
      <x:c r="K97" s="132" t="n">
        <x:f>IF(F97&lt;(('Assumptions'!$C$51-'Assumptions'!$B$51)/('Assumptions'!$D$51-'Assumptions'!$B$51)),'Assumptions'!$B$51+SQRT(F97*('Assumptions'!$D$51-'Assumptions'!$B$51)*('Assumptions'!$C$51-'Assumptions'!$B$51)),'Assumptions'!$D$51-SQRT((1-F97)*('Assumptions'!$D$51-'Assumptions'!$B$51)*('Assumptions'!$D$51-'Assumptions'!$C$51)))</x:f>
        <x:v>0.06409653914952297</x:v>
      </x:c>
      <x:c r="L97" s="133" t="n">
        <x:f>(('Assumptions'!$B$17*(1+G97)+'Assumptions'!$B$18)*(1-H97-'Assumptions'!$B$20)-SUM('Assumptions'!$B$21:$B$25)*(1+I97))-(('Assumptions'!$B$17*(1+G97)+'Assumptions'!$B$18)*(1-H97-'Assumptions'!$B$20)*'Assumptions'!$B$26)</x:f>
        <x:v>223793.60522026118</x:v>
      </x:c>
      <x:c r="M97" s="133" t="n">
        <x:f>'Assumptions'!$B$10*'Assumptions'!$B$33</x:f>
        <x:v>1950000</x:v>
      </x:c>
      <x:c r="N97" s="133" t="n">
        <x:f>-PMT(K97/12,'Assumptions'!$B$35*12,M97)*12</x:f>
        <x:v>146516.32727592374</x:v>
      </x:c>
      <x:c r="O97" s="133" t="n">
        <x:f>(L97*(1+'Assumptions'!$B$29)^('Assumptions'!$B$14/12)/J97)*(1-'Assumptions'!$B$42)-'Debt Schedule'!$F$9</x:f>
        <x:v>3683233.288778777</x:v>
      </x:c>
      <x:c r="P97" s="132" t="n">
        <x:f>((O97+(L97-N97-'Assumptions'!$B$27-'Assumptions'!$B$28)*('Assumptions'!$B$14/12))/ABS('Monthly Cash Flow'!$S$5))^(1/('Assumptions'!$B$14/12))-1</x:f>
        <x:v>0.24483917086331064</x:v>
      </x:c>
      <x:c r="Q97" s="133" t="n">
        <x:f>-ABS('Monthly Cash Flow'!$S$5)+((L97-N97-'Assumptions'!$B$27-'Assumptions'!$B$28)*(1-(1+'Assumptions'!$B$43)^-('Assumptions'!$B$14/12))/'Assumptions'!$B$43)+(O97/(1+'Assumptions'!$B$43)^('Assumptions'!$B$14/12))</x:f>
        <x:v>1133808.2988349965</x:v>
      </x:c>
    </x:row>
    <x:row r="98">
      <x:c r="A98" s="131" t="n">
        <x:f>91</x:f>
        <x:v>91</x:v>
      </x:c>
      <x:c r="B98" s="131" t="n">
        <x:f>MOD(ABS(SIN((A98+1)*12.9898+78.233)*43758.5453),1)</x:f>
        <x:v>0.06575947549572447</x:v>
      </x:c>
      <x:c r="C98" s="131" t="n">
        <x:f>MOD(ABS(SIN((A98+2)*12.9898+78.233)*43758.5453),1)</x:f>
        <x:v>0.38144517705222825</x:v>
      </x:c>
      <x:c r="D98" s="131" t="n">
        <x:f>MOD(ABS(SIN((A98+3)*12.9898+78.233)*43758.5453),1)</x:f>
        <x:v>0.3372780670397333</x:v>
      </x:c>
      <x:c r="E98" s="131" t="n">
        <x:f>MOD(ABS(SIN((A98+4)*12.9898+78.233)*43758.5453),1)</x:f>
        <x:v>0.15823392273159698</x:v>
      </x:c>
      <x:c r="F98" s="131" t="n">
        <x:f>MOD(ABS(SIN((A98+5)*12.9898+78.233)*43758.5453),1)</x:f>
        <x:v>0.6437991163729748</x:v>
      </x:c>
      <x:c r="G98" s="132" t="n">
        <x:f>IF(B98&lt;(('Assumptions'!$C$47-'Assumptions'!$B$47)/('Assumptions'!$D$47-'Assumptions'!$B$47)),'Assumptions'!$B$47+SQRT(B98*('Assumptions'!$D$47-'Assumptions'!$B$47)*('Assumptions'!$C$47-'Assumptions'!$B$47)),'Assumptions'!$D$47-SQRT((1-B98)*('Assumptions'!$D$47-'Assumptions'!$B$47)*('Assumptions'!$D$47-'Assumptions'!$C$47)))</x:f>
        <x:v>-0.060273089575233925</x:v>
      </x:c>
      <x:c r="H98" s="132" t="n">
        <x:f>IF(C98&lt;(('Assumptions'!$C$48-'Assumptions'!$B$48)/('Assumptions'!$D$48-'Assumptions'!$B$48)),'Assumptions'!$B$48+SQRT(C98*('Assumptions'!$D$48-'Assumptions'!$B$48)*('Assumptions'!$C$48-'Assumptions'!$B$48)),'Assumptions'!$D$48-SQRT((1-C98)*('Assumptions'!$D$48-'Assumptions'!$B$48)*('Assumptions'!$D$48-'Assumptions'!$C$48)))</x:f>
        <x:v>0.06622139577126447</x:v>
      </x:c>
      <x:c r="I98" s="132" t="n">
        <x:f>IF(D98&lt;(('Assumptions'!$C$49-'Assumptions'!$B$49)/('Assumptions'!$D$49-'Assumptions'!$B$49)),'Assumptions'!$B$49+SQRT(D98*('Assumptions'!$D$49-'Assumptions'!$B$49)*('Assumptions'!$C$49-'Assumptions'!$B$49)),'Assumptions'!$D$49-SQRT((1-D98)*('Assumptions'!$D$49-'Assumptions'!$B$49)*('Assumptions'!$D$49-'Assumptions'!$C$49)))</x:f>
        <x:v>0.030355552774306488</x:v>
      </x:c>
      <x:c r="J98" s="132" t="n">
        <x:f>IF(E98&lt;(('Assumptions'!$C$50-'Assumptions'!$B$50)/('Assumptions'!$D$50-'Assumptions'!$B$50)),'Assumptions'!$B$50+SQRT(E98*('Assumptions'!$D$50-'Assumptions'!$B$50)*('Assumptions'!$C$50-'Assumptions'!$B$50)),'Assumptions'!$D$50-SQRT((1-E98)*('Assumptions'!$D$50-'Assumptions'!$B$50)*('Assumptions'!$D$50-'Assumptions'!$C$50)))</x:f>
        <x:v>0.06346679416559758</x:v>
      </x:c>
      <x:c r="K98" s="132" t="n">
        <x:f>IF(F98&lt;(('Assumptions'!$C$51-'Assumptions'!$B$51)/('Assumptions'!$D$51-'Assumptions'!$B$51)),'Assumptions'!$B$51+SQRT(F98*('Assumptions'!$D$51-'Assumptions'!$B$51)*('Assumptions'!$C$51-'Assumptions'!$B$51)),'Assumptions'!$D$51-SQRT((1-F98)*('Assumptions'!$D$51-'Assumptions'!$B$51)*('Assumptions'!$D$51-'Assumptions'!$C$51)))</x:f>
        <x:v>0.0719071899408299</x:v>
      </x:c>
      <x:c r="L98" s="133" t="n">
        <x:f>(('Assumptions'!$B$17*(1+G98)+'Assumptions'!$B$18)*(1-H98-'Assumptions'!$B$20)-SUM('Assumptions'!$B$21:$B$25)*(1+I98))-(('Assumptions'!$B$17*(1+G98)+'Assumptions'!$B$18)*(1-H98-'Assumptions'!$B$20)*'Assumptions'!$B$26)</x:f>
        <x:v>186153.3211152994</x:v>
      </x:c>
      <x:c r="M98" s="133" t="n">
        <x:f>'Assumptions'!$B$10*'Assumptions'!$B$33</x:f>
        <x:v>1950000</x:v>
      </x:c>
      <x:c r="N98" s="133" t="n">
        <x:f>-PMT(K98/12,'Assumptions'!$B$35*12,M98)*12</x:f>
        <x:v>158689.44991434857</x:v>
      </x:c>
      <x:c r="O98" s="133" t="n">
        <x:f>(L98*(1+'Assumptions'!$B$29)^('Assumptions'!$B$14/12)/J98)*(1-'Assumptions'!$B$42)-'Debt Schedule'!$F$9</x:f>
        <x:v>3196231.3291528886</x:v>
      </x:c>
      <x:c r="P98" s="132" t="n">
        <x:f>((O98+(L98-N98-'Assumptions'!$B$27-'Assumptions'!$B$28)*('Assumptions'!$B$14/12))/ABS('Monthly Cash Flow'!$S$5))^(1/('Assumptions'!$B$14/12))-1</x:f>
        <x:v>0.1934024739367206</x:v>
      </x:c>
      <x:c r="Q98" s="133" t="n">
        <x:f>-ABS('Monthly Cash Flow'!$S$5)+((L98-N98-'Assumptions'!$B$27-'Assumptions'!$B$28)*(1-(1+'Assumptions'!$B$43)^-('Assumptions'!$B$14/12))/'Assumptions'!$B$43)+(O98/(1+'Assumptions'!$B$43)^('Assumptions'!$B$14/12))</x:f>
        <x:v>642586.3945096971</x:v>
      </x:c>
    </x:row>
    <x:row r="99">
      <x:c r="A99" s="131" t="n">
        <x:f>92</x:f>
        <x:v>92</x:v>
      </x:c>
      <x:c r="B99" s="131" t="n">
        <x:f>MOD(ABS(SIN((A99+1)*12.9898+78.233)*43758.5453),1)</x:f>
        <x:v>0.38144517705222825</x:v>
      </x:c>
      <x:c r="C99" s="131" t="n">
        <x:f>MOD(ABS(SIN((A99+2)*12.9898+78.233)*43758.5453),1)</x:f>
        <x:v>0.3372780670397333</x:v>
      </x:c>
      <x:c r="D99" s="131" t="n">
        <x:f>MOD(ABS(SIN((A99+3)*12.9898+78.233)*43758.5453),1)</x:f>
        <x:v>0.15823392273159698</x:v>
      </x:c>
      <x:c r="E99" s="131" t="n">
        <x:f>MOD(ABS(SIN((A99+4)*12.9898+78.233)*43758.5453),1)</x:f>
        <x:v>0.6437991163729748</x:v>
      </x:c>
      <x:c r="F99" s="131" t="n">
        <x:f>MOD(ABS(SIN((A99+5)*12.9898+78.233)*43758.5453),1)</x:f>
        <x:v>0.16107396868346768</x:v>
      </x:c>
      <x:c r="G99" s="132" t="n">
        <x:f>IF(B99&lt;(('Assumptions'!$C$47-'Assumptions'!$B$47)/('Assumptions'!$D$47-'Assumptions'!$B$47)),'Assumptions'!$B$47+SQRT(B99*('Assumptions'!$D$47-'Assumptions'!$B$47)*('Assumptions'!$C$47-'Assumptions'!$B$47)),'Assumptions'!$D$47-SQRT((1-B99)*('Assumptions'!$D$47-'Assumptions'!$B$47)*('Assumptions'!$D$47-'Assumptions'!$C$47)))</x:f>
        <x:v>-0.004319885821276959</x:v>
      </x:c>
      <x:c r="H99" s="132" t="n">
        <x:f>IF(C99&lt;(('Assumptions'!$C$48-'Assumptions'!$B$48)/('Assumptions'!$D$48-'Assumptions'!$B$48)),'Assumptions'!$B$48+SQRT(C99*('Assumptions'!$D$48-'Assumptions'!$B$48)*('Assumptions'!$C$48-'Assumptions'!$B$48)),'Assumptions'!$D$48-SQRT((1-C99)*('Assumptions'!$D$48-'Assumptions'!$B$48)*('Assumptions'!$D$48-'Assumptions'!$C$48)))</x:f>
        <x:v>0.06363277528906562</x:v>
      </x:c>
      <x:c r="I99" s="132" t="n">
        <x:f>IF(D99&lt;(('Assumptions'!$C$49-'Assumptions'!$B$49)/('Assumptions'!$D$49-'Assumptions'!$B$49)),'Assumptions'!$B$49+SQRT(D99*('Assumptions'!$D$49-'Assumptions'!$B$49)*('Assumptions'!$C$49-'Assumptions'!$B$49)),'Assumptions'!$D$49-SQRT((1-D99)*('Assumptions'!$D$49-'Assumptions'!$B$49)*('Assumptions'!$D$49-'Assumptions'!$C$49)))</x:f>
        <x:v>0.011339162612482218</x:v>
      </x:c>
      <x:c r="J99" s="132" t="n">
        <x:f>IF(E99&lt;(('Assumptions'!$C$50-'Assumptions'!$B$50)/('Assumptions'!$D$50-'Assumptions'!$B$50)),'Assumptions'!$B$50+SQRT(E99*('Assumptions'!$D$50-'Assumptions'!$B$50)*('Assumptions'!$C$50-'Assumptions'!$B$50)),'Assumptions'!$D$50-SQRT((1-E99)*('Assumptions'!$D$50-'Assumptions'!$B$50)*('Assumptions'!$D$50-'Assumptions'!$C$50)))</x:f>
        <x:v>0.0699909291879765</x:v>
      </x:c>
      <x:c r="K99" s="132" t="n">
        <x:f>IF(F99&lt;(('Assumptions'!$C$51-'Assumptions'!$B$51)/('Assumptions'!$D$51-'Assumptions'!$B$51)),'Assumptions'!$B$51+SQRT(F99*('Assumptions'!$D$51-'Assumptions'!$B$51)*('Assumptions'!$C$51-'Assumptions'!$B$51)),'Assumptions'!$D$51-SQRT((1-F99)*('Assumptions'!$D$51-'Assumptions'!$B$51)*('Assumptions'!$D$51-'Assumptions'!$C$51)))</x:f>
        <x:v>0.06415547454265687</x:v>
      </x:c>
      <x:c r="L99" s="133" t="n">
        <x:f>(('Assumptions'!$B$17*(1+G99)+'Assumptions'!$B$18)*(1-H99-'Assumptions'!$B$20)-SUM('Assumptions'!$B$21:$B$25)*(1+I99))-(('Assumptions'!$B$17*(1+G99)+'Assumptions'!$B$18)*(1-H99-'Assumptions'!$B$20)*'Assumptions'!$B$26)</x:f>
        <x:v>207348.38171298057</x:v>
      </x:c>
      <x:c r="M99" s="133" t="n">
        <x:f>'Assumptions'!$B$10*'Assumptions'!$B$33</x:f>
        <x:v>1950000</x:v>
      </x:c>
      <x:c r="N99" s="133" t="n">
        <x:f>-PMT(K99/12,'Assumptions'!$B$35*12,M99)*12</x:f>
        <x:v>146606.67576076102</x:v>
      </x:c>
      <x:c r="O99" s="133" t="n">
        <x:f>(L99*(1+'Assumptions'!$B$29)^('Assumptions'!$B$14/12)/J99)*(1-'Assumptions'!$B$42)-'Debt Schedule'!$F$9</x:f>
        <x:v>3228292.432937993</x:v>
      </x:c>
      <x:c r="P99" s="132" t="n">
        <x:f>((O99+(L99-N99-'Assumptions'!$B$27-'Assumptions'!$B$28)*('Assumptions'!$B$14/12))/ABS('Monthly Cash Flow'!$S$5))^(1/('Assumptions'!$B$14/12))-1</x:f>
        <x:v>0.20814931693000727</x:v>
      </x:c>
      <x:c r="Q99" s="133" t="n">
        <x:f>-ABS('Monthly Cash Flow'!$S$5)+((L99-N99-'Assumptions'!$B$27-'Assumptions'!$B$28)*(1-(1+'Assumptions'!$B$43)^-('Assumptions'!$B$14/12))/'Assumptions'!$B$43)+(O99/(1+'Assumptions'!$B$43)^('Assumptions'!$B$14/12))</x:f>
        <x:v>788642.9931803513</x:v>
      </x:c>
    </x:row>
    <x:row r="100">
      <x:c r="A100" s="131" t="n">
        <x:f>93</x:f>
        <x:v>93</x:v>
      </x:c>
      <x:c r="B100" s="131" t="n">
        <x:f>MOD(ABS(SIN((A100+1)*12.9898+78.233)*43758.5453),1)</x:f>
        <x:v>0.3372780670397333</x:v>
      </x:c>
      <x:c r="C100" s="131" t="n">
        <x:f>MOD(ABS(SIN((A100+2)*12.9898+78.233)*43758.5453),1)</x:f>
        <x:v>0.15823392273159698</x:v>
      </x:c>
      <x:c r="D100" s="131" t="n">
        <x:f>MOD(ABS(SIN((A100+3)*12.9898+78.233)*43758.5453),1)</x:f>
        <x:v>0.6437991163729748</x:v>
      </x:c>
      <x:c r="E100" s="131" t="n">
        <x:f>MOD(ABS(SIN((A100+4)*12.9898+78.233)*43758.5453),1)</x:f>
        <x:v>0.16107396868346768</x:v>
      </x:c>
      <x:c r="F100" s="131" t="n">
        <x:f>MOD(ABS(SIN((A100+5)*12.9898+78.233)*43758.5453),1)</x:f>
        <x:v>0.45874352591999923</x:v>
      </x:c>
      <x:c r="G100" s="132" t="n">
        <x:f>IF(B100&lt;(('Assumptions'!$C$47-'Assumptions'!$B$47)/('Assumptions'!$D$47-'Assumptions'!$B$47)),'Assumptions'!$B$47+SQRT(B100*('Assumptions'!$D$47-'Assumptions'!$B$47)*('Assumptions'!$C$47-'Assumptions'!$B$47)),'Assumptions'!$D$47-SQRT((1-B100)*('Assumptions'!$D$47-'Assumptions'!$B$47)*('Assumptions'!$D$47-'Assumptions'!$C$47)))</x:f>
        <x:v>-0.010029595927585178</x:v>
      </x:c>
      <x:c r="H100" s="132" t="n">
        <x:f>IF(C100&lt;(('Assumptions'!$C$48-'Assumptions'!$B$48)/('Assumptions'!$D$48-'Assumptions'!$B$48)),'Assumptions'!$B$48+SQRT(C100*('Assumptions'!$D$48-'Assumptions'!$B$48)*('Assumptions'!$C$48-'Assumptions'!$B$48)),'Assumptions'!$D$48-SQRT((1-C100)*('Assumptions'!$D$48-'Assumptions'!$B$48)*('Assumptions'!$D$48-'Assumptions'!$C$48)))</x:f>
        <x:v>0.052851081922181936</x:v>
      </x:c>
      <x:c r="I100" s="132" t="n">
        <x:f>IF(D100&lt;(('Assumptions'!$C$49-'Assumptions'!$B$49)/('Assumptions'!$D$49-'Assumptions'!$B$49)),'Assumptions'!$B$49+SQRT(D100*('Assumptions'!$D$49-'Assumptions'!$B$49)*('Assumptions'!$C$49-'Assumptions'!$B$49)),'Assumptions'!$D$49-SQRT((1-D100)*('Assumptions'!$D$49-'Assumptions'!$B$49)*('Assumptions'!$D$49-'Assumptions'!$C$49)))</x:f>
        <x:v>0.06228489818541083</x:v>
      </x:c>
      <x:c r="J100" s="132" t="n">
        <x:f>IF(E100&lt;(('Assumptions'!$C$50-'Assumptions'!$B$50)/('Assumptions'!$D$50-'Assumptions'!$B$50)),'Assumptions'!$B$50+SQRT(E100*('Assumptions'!$D$50-'Assumptions'!$B$50)*('Assumptions'!$C$50-'Assumptions'!$B$50)),'Assumptions'!$D$50-SQRT((1-E100)*('Assumptions'!$D$50-'Assumptions'!$B$50)*('Assumptions'!$D$50-'Assumptions'!$C$50)))</x:f>
        <x:v>0.06352010323447865</x:v>
      </x:c>
      <x:c r="K100" s="132" t="n">
        <x:f>IF(F100&lt;(('Assumptions'!$C$51-'Assumptions'!$B$51)/('Assumptions'!$D$51-'Assumptions'!$B$51)),'Assumptions'!$B$51+SQRT(F100*('Assumptions'!$D$51-'Assumptions'!$B$51)*('Assumptions'!$C$51-'Assumptions'!$B$51)),'Assumptions'!$D$51-SQRT((1-F100)*('Assumptions'!$D$51-'Assumptions'!$B$51)*('Assumptions'!$D$51-'Assumptions'!$C$51)))</x:f>
        <x:v>0.0688606171694516</x:v>
      </x:c>
      <x:c r="L100" s="133" t="n">
        <x:f>(('Assumptions'!$B$17*(1+G100)+'Assumptions'!$B$18)*(1-H100-'Assumptions'!$B$20)-SUM('Assumptions'!$B$21:$B$25)*(1+I100))-(('Assumptions'!$B$17*(1+G100)+'Assumptions'!$B$18)*(1-H100-'Assumptions'!$B$20)*'Assumptions'!$B$26)</x:f>
        <x:v>202976.330070292</x:v>
      </x:c>
      <x:c r="M100" s="133" t="n">
        <x:f>'Assumptions'!$B$10*'Assumptions'!$B$33</x:f>
        <x:v>1950000</x:v>
      </x:c>
      <x:c r="N100" s="133" t="n">
        <x:f>-PMT(K100/12,'Assumptions'!$B$35*12,M100)*12</x:f>
        <x:v>153894.33733276723</x:v>
      </x:c>
      <x:c r="O100" s="133" t="n">
        <x:f>(L100*(1+'Assumptions'!$B$29)^('Assumptions'!$B$14/12)/J100)*(1-'Assumptions'!$B$42)-'Debt Schedule'!$F$9</x:f>
        <x:v>3482155.6334966095</x:v>
      </x:c>
      <x:c r="P100" s="132" t="n">
        <x:f>((O100+(L100-N100-'Assumptions'!$B$27-'Assumptions'!$B$28)*('Assumptions'!$B$14/12))/ABS('Monthly Cash Flow'!$S$5))^(1/('Assumptions'!$B$14/12))-1</x:f>
        <x:v>0.22200957478807193</x:v>
      </x:c>
      <x:c r="Q100" s="133" t="n">
        <x:f>-ABS('Monthly Cash Flow'!$S$5)+((L100-N100-'Assumptions'!$B$27-'Assumptions'!$B$28)*(1-(1+'Assumptions'!$B$43)^-('Assumptions'!$B$14/12))/'Assumptions'!$B$43)+(O100/(1+'Assumptions'!$B$43)^('Assumptions'!$B$14/12))</x:f>
        <x:v>902072.580957877</x:v>
      </x:c>
    </x:row>
    <x:row r="101">
      <x:c r="A101" s="131" t="n">
        <x:f>94</x:f>
        <x:v>94</x:v>
      </x:c>
      <x:c r="B101" s="131" t="n">
        <x:f>MOD(ABS(SIN((A101+1)*12.9898+78.233)*43758.5453),1)</x:f>
        <x:v>0.15823392273159698</x:v>
      </x:c>
      <x:c r="C101" s="131" t="n">
        <x:f>MOD(ABS(SIN((A101+2)*12.9898+78.233)*43758.5453),1)</x:f>
        <x:v>0.6437991163729748</x:v>
      </x:c>
      <x:c r="D101" s="131" t="n">
        <x:f>MOD(ABS(SIN((A101+3)*12.9898+78.233)*43758.5453),1)</x:f>
        <x:v>0.16107396868346768</x:v>
      </x:c>
      <x:c r="E101" s="131" t="n">
        <x:f>MOD(ABS(SIN((A101+4)*12.9898+78.233)*43758.5453),1)</x:f>
        <x:v>0.45874352591999923</x:v>
      </x:c>
      <x:c r="F101" s="131" t="n">
        <x:f>MOD(ABS(SIN((A101+5)*12.9898+78.233)*43758.5453),1)</x:f>
        <x:v>0.26833887352768215</x:v>
      </x:c>
      <x:c r="G101" s="132" t="n">
        <x:f>IF(B101&lt;(('Assumptions'!$C$47-'Assumptions'!$B$47)/('Assumptions'!$D$47-'Assumptions'!$B$47)),'Assumptions'!$B$47+SQRT(B101*('Assumptions'!$D$47-'Assumptions'!$B$47)*('Assumptions'!$C$47-'Assumptions'!$B$47)),'Assumptions'!$D$47-SQRT((1-B101)*('Assumptions'!$D$47-'Assumptions'!$B$47)*('Assumptions'!$D$47-'Assumptions'!$C$47)))</x:f>
        <x:v>-0.03837521484371465</x:v>
      </x:c>
      <x:c r="H101" s="132" t="n">
        <x:f>IF(C101&lt;(('Assumptions'!$C$48-'Assumptions'!$B$48)/('Assumptions'!$D$48-'Assumptions'!$B$48)),'Assumptions'!$B$48+SQRT(C101*('Assumptions'!$D$48-'Assumptions'!$B$48)*('Assumptions'!$C$48-'Assumptions'!$B$48)),'Assumptions'!$D$48-SQRT((1-C101)*('Assumptions'!$D$48-'Assumptions'!$B$48)*('Assumptions'!$D$48-'Assumptions'!$C$48)))</x:f>
        <x:v>0.08401278917540345</x:v>
      </x:c>
      <x:c r="I101" s="132" t="n">
        <x:f>IF(D101&lt;(('Assumptions'!$C$49-'Assumptions'!$B$49)/('Assumptions'!$D$49-'Assumptions'!$B$49)),'Assumptions'!$B$49+SQRT(D101*('Assumptions'!$D$49-'Assumptions'!$B$49)*('Assumptions'!$C$49-'Assumptions'!$B$49)),'Assumptions'!$D$49-SQRT((1-D101)*('Assumptions'!$D$49-'Assumptions'!$B$49)*('Assumptions'!$D$49-'Assumptions'!$C$49)))</x:f>
        <x:v>0.011708498675706981</x:v>
      </x:c>
      <x:c r="J101" s="132" t="n">
        <x:f>IF(E101&lt;(('Assumptions'!$C$50-'Assumptions'!$B$50)/('Assumptions'!$D$50-'Assumptions'!$B$50)),'Assumptions'!$B$50+SQRT(E101*('Assumptions'!$D$50-'Assumptions'!$B$50)*('Assumptions'!$C$50-'Assumptions'!$B$50)),'Assumptions'!$D$50-SQRT((1-E101)*('Assumptions'!$D$50-'Assumptions'!$B$50)*('Assumptions'!$D$50-'Assumptions'!$C$50)))</x:f>
        <x:v>0.06766191330331156</x:v>
      </x:c>
      <x:c r="K101" s="132" t="n">
        <x:f>IF(F101&lt;(('Assumptions'!$C$51-'Assumptions'!$B$51)/('Assumptions'!$D$51-'Assumptions'!$B$51)),'Assumptions'!$B$51+SQRT(F101*('Assumptions'!$D$51-'Assumptions'!$B$51)*('Assumptions'!$C$51-'Assumptions'!$B$51)),'Assumptions'!$D$51-SQRT((1-F101)*('Assumptions'!$D$51-'Assumptions'!$B$51)*('Assumptions'!$D$51-'Assumptions'!$C$51)))</x:f>
        <x:v>0.06609029628244059</x:v>
      </x:c>
      <x:c r="L101" s="133" t="n">
        <x:f>(('Assumptions'!$B$17*(1+G101)+'Assumptions'!$B$18)*(1-H101-'Assumptions'!$B$20)-SUM('Assumptions'!$B$21:$B$25)*(1+I101))-(('Assumptions'!$B$17*(1+G101)+'Assumptions'!$B$18)*(1-H101-'Assumptions'!$B$20)*'Assumptions'!$B$26)</x:f>
        <x:v>189273.73617651104</x:v>
      </x:c>
      <x:c r="M101" s="133" t="n">
        <x:f>'Assumptions'!$B$10*'Assumptions'!$B$33</x:f>
        <x:v>1950000</x:v>
      </x:c>
      <x:c r="N101" s="133" t="n">
        <x:f>-PMT(K101/12,'Assumptions'!$B$35*12,M101)*12</x:f>
        <x:v>149585.75032278596</x:v>
      </x:c>
      <x:c r="O101" s="133" t="n">
        <x:f>(L101*(1+'Assumptions'!$B$29)^('Assumptions'!$B$14/12)/J101)*(1-'Assumptions'!$B$42)-'Debt Schedule'!$F$9</x:f>
        <x:v>3048316.506407644</x:v>
      </x:c>
      <x:c r="P101" s="132" t="n">
        <x:f>((O101+(L101-N101-'Assumptions'!$B$27-'Assumptions'!$B$28)*('Assumptions'!$B$14/12))/ABS('Monthly Cash Flow'!$S$5))^(1/('Assumptions'!$B$14/12))-1</x:f>
        <x:v>0.18671692539945384</x:v>
      </x:c>
      <x:c r="Q101" s="133" t="n">
        <x:f>-ABS('Monthly Cash Flow'!$S$5)+((L101-N101-'Assumptions'!$B$27-'Assumptions'!$B$28)*(1-(1+'Assumptions'!$B$43)^-('Assumptions'!$B$14/12))/'Assumptions'!$B$43)+(O101/(1+'Assumptions'!$B$43)^('Assumptions'!$B$14/12))</x:f>
        <x:v>597081.9391641282</x:v>
      </x:c>
    </x:row>
    <x:row r="102">
      <x:c r="A102" s="131" t="n">
        <x:f>95</x:f>
        <x:v>95</x:v>
      </x:c>
      <x:c r="B102" s="131" t="n">
        <x:f>MOD(ABS(SIN((A102+1)*12.9898+78.233)*43758.5453),1)</x:f>
        <x:v>0.6437991163729748</x:v>
      </x:c>
      <x:c r="C102" s="131" t="n">
        <x:f>MOD(ABS(SIN((A102+2)*12.9898+78.233)*43758.5453),1)</x:f>
        <x:v>0.16107396868346768</x:v>
      </x:c>
      <x:c r="D102" s="131" t="n">
        <x:f>MOD(ABS(SIN((A102+3)*12.9898+78.233)*43758.5453),1)</x:f>
        <x:v>0.45874352591999923</x:v>
      </x:c>
      <x:c r="E102" s="131" t="n">
        <x:f>MOD(ABS(SIN((A102+4)*12.9898+78.233)*43758.5453),1)</x:f>
        <x:v>0.26833887352768215</x:v>
      </x:c>
      <x:c r="F102" s="131" t="n">
        <x:f>MOD(ABS(SIN((A102+5)*12.9898+78.233)*43758.5453),1)</x:f>
        <x:v>0.588989857766137</x:v>
      </x:c>
      <x:c r="G102" s="132" t="n">
        <x:f>IF(B102&lt;(('Assumptions'!$C$47-'Assumptions'!$B$47)/('Assumptions'!$D$47-'Assumptions'!$B$47)),'Assumptions'!$B$47+SQRT(B102*('Assumptions'!$D$47-'Assumptions'!$B$47)*('Assumptions'!$C$47-'Assumptions'!$B$47)),'Assumptions'!$D$47-SQRT((1-B102)*('Assumptions'!$D$47-'Assumptions'!$B$47)*('Assumptions'!$D$47-'Assumptions'!$C$47)))</x:f>
        <x:v>0.02450686032471293</x:v>
      </x:c>
      <x:c r="H102" s="132" t="n">
        <x:f>IF(C102&lt;(('Assumptions'!$C$48-'Assumptions'!$B$48)/('Assumptions'!$D$48-'Assumptions'!$B$48)),'Assumptions'!$B$48+SQRT(C102*('Assumptions'!$D$48-'Assumptions'!$B$48)*('Assumptions'!$C$48-'Assumptions'!$B$48)),'Assumptions'!$D$48-SQRT((1-C102)*('Assumptions'!$D$48-'Assumptions'!$B$48)*('Assumptions'!$D$48-'Assumptions'!$C$48)))</x:f>
        <x:v>0.05305524011272586</x:v>
      </x:c>
      <x:c r="I102" s="132" t="n">
        <x:f>IF(D102&lt;(('Assumptions'!$C$49-'Assumptions'!$B$49)/('Assumptions'!$D$49-'Assumptions'!$B$49)),'Assumptions'!$B$49+SQRT(D102*('Assumptions'!$D$49-'Assumptions'!$B$49)*('Assumptions'!$C$49-'Assumptions'!$B$49)),'Assumptions'!$D$49-SQRT((1-D102)*('Assumptions'!$D$49-'Assumptions'!$B$49)*('Assumptions'!$D$49-'Assumptions'!$C$49)))</x:f>
        <x:v>0.04187442559630947</x:v>
      </x:c>
      <x:c r="J102" s="132" t="n">
        <x:f>IF(E102&lt;(('Assumptions'!$C$50-'Assumptions'!$B$50)/('Assumptions'!$D$50-'Assumptions'!$B$50)),'Assumptions'!$B$50+SQRT(E102*('Assumptions'!$D$50-'Assumptions'!$B$50)*('Assumptions'!$C$50-'Assumptions'!$B$50)),'Assumptions'!$D$50-SQRT((1-E102)*('Assumptions'!$D$50-'Assumptions'!$B$50)*('Assumptions'!$D$50-'Assumptions'!$C$50)))</x:f>
        <x:v>0.06527021534732008</x:v>
      </x:c>
      <x:c r="K102" s="132" t="n">
        <x:f>IF(F102&lt;(('Assumptions'!$C$51-'Assumptions'!$B$51)/('Assumptions'!$D$51-'Assumptions'!$B$51)),'Assumptions'!$B$51+SQRT(F102*('Assumptions'!$D$51-'Assumptions'!$B$51)*('Assumptions'!$C$51-'Assumptions'!$B$51)),'Assumptions'!$D$51-SQRT((1-F102)*('Assumptions'!$D$51-'Assumptions'!$B$51)*('Assumptions'!$D$51-'Assumptions'!$C$51)))</x:f>
        <x:v>0.07093590987834456</x:v>
      </x:c>
      <x:c r="L102" s="133" t="n">
        <x:f>(('Assumptions'!$B$17*(1+G102)+'Assumptions'!$B$18)*(1-H102-'Assumptions'!$B$20)-SUM('Assumptions'!$B$21:$B$25)*(1+I102))-(('Assumptions'!$B$17*(1+G102)+'Assumptions'!$B$18)*(1-H102-'Assumptions'!$B$20)*'Assumptions'!$B$26)</x:f>
        <x:v>216657.85694244909</x:v>
      </x:c>
      <x:c r="M102" s="133" t="n">
        <x:f>'Assumptions'!$B$10*'Assumptions'!$B$33</x:f>
        <x:v>1950000</x:v>
      </x:c>
      <x:c r="N102" s="133" t="n">
        <x:f>-PMT(K102/12,'Assumptions'!$B$35*12,M102)*12</x:f>
        <x:v>157154.3674086753</x:v>
      </x:c>
      <x:c r="O102" s="133" t="n">
        <x:f>(L102*(1+'Assumptions'!$B$29)^('Assumptions'!$B$14/12)/J102)*(1-'Assumptions'!$B$42)-'Debt Schedule'!$F$9</x:f>
        <x:v>3617207.0997107034</x:v>
      </x:c>
      <x:c r="P102" s="132" t="n">
        <x:f>((O102+(L102-N102-'Assumptions'!$B$27-'Assumptions'!$B$28)*('Assumptions'!$B$14/12))/ABS('Monthly Cash Flow'!$S$5))^(1/('Assumptions'!$B$14/12))-1</x:f>
        <x:v>0.23470984830070063</x:v>
      </x:c>
      <x:c r="Q102" s="133" t="n">
        <x:f>-ABS('Monthly Cash Flow'!$S$5)+((L102-N102-'Assumptions'!$B$27-'Assumptions'!$B$28)*(1-(1+'Assumptions'!$B$43)^-('Assumptions'!$B$14/12))/'Assumptions'!$B$43)+(O102/(1+'Assumptions'!$B$43)^('Assumptions'!$B$14/12))</x:f>
        <x:v>1025434.5882132645</x:v>
      </x:c>
    </x:row>
    <x:row r="103">
      <x:c r="A103" s="131" t="n">
        <x:f>96</x:f>
        <x:v>96</x:v>
      </x:c>
      <x:c r="B103" s="131" t="n">
        <x:f>MOD(ABS(SIN((A103+1)*12.9898+78.233)*43758.5453),1)</x:f>
        <x:v>0.16107396868346768</x:v>
      </x:c>
      <x:c r="C103" s="131" t="n">
        <x:f>MOD(ABS(SIN((A103+2)*12.9898+78.233)*43758.5453),1)</x:f>
        <x:v>0.45874352591999923</x:v>
      </x:c>
      <x:c r="D103" s="131" t="n">
        <x:f>MOD(ABS(SIN((A103+3)*12.9898+78.233)*43758.5453),1)</x:f>
        <x:v>0.26833887352768215</x:v>
      </x:c>
      <x:c r="E103" s="131" t="n">
        <x:f>MOD(ABS(SIN((A103+4)*12.9898+78.233)*43758.5453),1)</x:f>
        <x:v>0.588989857766137</x:v>
      </x:c>
      <x:c r="F103" s="131" t="n">
        <x:f>MOD(ABS(SIN((A103+5)*12.9898+78.233)*43758.5453),1)</x:f>
        <x:v>0.03844583519094158</x:v>
      </x:c>
      <x:c r="G103" s="132" t="n">
        <x:f>IF(B103&lt;(('Assumptions'!$C$47-'Assumptions'!$B$47)/('Assumptions'!$D$47-'Assumptions'!$B$47)),'Assumptions'!$B$47+SQRT(B103*('Assumptions'!$D$47-'Assumptions'!$B$47)*('Assumptions'!$C$47-'Assumptions'!$B$47)),'Assumptions'!$D$47-SQRT((1-B103)*('Assumptions'!$D$47-'Assumptions'!$B$47)*('Assumptions'!$D$47-'Assumptions'!$C$47)))</x:f>
        <x:v>-0.03782464114777283</x:v>
      </x:c>
      <x:c r="H103" s="132" t="n">
        <x:f>IF(C103&lt;(('Assumptions'!$C$48-'Assumptions'!$B$48)/('Assumptions'!$D$48-'Assumptions'!$B$48)),'Assumptions'!$B$48+SQRT(C103*('Assumptions'!$D$48-'Assumptions'!$B$48)*('Assumptions'!$C$48-'Assumptions'!$B$48)),'Assumptions'!$D$48-SQRT((1-C103)*('Assumptions'!$D$48-'Assumptions'!$B$48)*('Assumptions'!$D$48-'Assumptions'!$C$48)))</x:f>
        <x:v>0.07098509601612123</x:v>
      </x:c>
      <x:c r="I103" s="132" t="n">
        <x:f>IF(D103&lt;(('Assumptions'!$C$49-'Assumptions'!$B$49)/('Assumptions'!$D$49-'Assumptions'!$B$49)),'Assumptions'!$B$49+SQRT(D103*('Assumptions'!$D$49-'Assumptions'!$B$49)*('Assumptions'!$C$49-'Assumptions'!$B$49)),'Assumptions'!$D$49-SQRT((1-D103)*('Assumptions'!$D$49-'Assumptions'!$B$49)*('Assumptions'!$D$49-'Assumptions'!$C$49)))</x:f>
        <x:v>0.023833631069239303</x:v>
      </x:c>
      <x:c r="J103" s="132" t="n">
        <x:f>IF(E103&lt;(('Assumptions'!$C$50-'Assumptions'!$B$50)/('Assumptions'!$D$50-'Assumptions'!$B$50)),'Assumptions'!$B$50+SQRT(E103*('Assumptions'!$D$50-'Assumptions'!$B$50)*('Assumptions'!$C$50-'Assumptions'!$B$50)),'Assumptions'!$D$50-SQRT((1-E103)*('Assumptions'!$D$50-'Assumptions'!$B$50)*('Assumptions'!$D$50-'Assumptions'!$C$50)))</x:f>
        <x:v>0.06924841395405897</x:v>
      </x:c>
      <x:c r="K103" s="132" t="n">
        <x:f>IF(F103&lt;(('Assumptions'!$C$51-'Assumptions'!$B$51)/('Assumptions'!$D$51-'Assumptions'!$B$51)),'Assumptions'!$B$51+SQRT(F103*('Assumptions'!$D$51-'Assumptions'!$B$51)*('Assumptions'!$C$51-'Assumptions'!$B$51)),'Assumptions'!$D$51-SQRT((1-F103)*('Assumptions'!$D$51-'Assumptions'!$B$51)*('Assumptions'!$D$51-'Assumptions'!$C$51)))</x:f>
        <x:v>0.06075155419415223</x:v>
      </x:c>
      <x:c r="L103" s="133" t="n">
        <x:f>(('Assumptions'!$B$17*(1+G103)+'Assumptions'!$B$18)*(1-H103-'Assumptions'!$B$20)-SUM('Assumptions'!$B$21:$B$25)*(1+I103))-(('Assumptions'!$B$17*(1+G103)+'Assumptions'!$B$18)*(1-H103-'Assumptions'!$B$20)*'Assumptions'!$B$26)</x:f>
        <x:v>192475.5479089116</x:v>
      </x:c>
      <x:c r="M103" s="133" t="n">
        <x:f>'Assumptions'!$B$10*'Assumptions'!$B$33</x:f>
        <x:v>1950000</x:v>
      </x:c>
      <x:c r="N103" s="133" t="n">
        <x:f>-PMT(K103/12,'Assumptions'!$B$35*12,M103)*12</x:f>
        <x:v>141427.4775257583</x:v>
      </x:c>
      <x:c r="O103" s="133" t="n">
        <x:f>(L103*(1+'Assumptions'!$B$29)^('Assumptions'!$B$14/12)/J103)*(1-'Assumptions'!$B$42)-'Debt Schedule'!$F$9</x:f>
        <x:v>3028863.5637054243</x:v>
      </x:c>
      <x:c r="P103" s="132" t="n">
        <x:f>((O103+(L103-N103-'Assumptions'!$B$27-'Assumptions'!$B$28)*('Assumptions'!$B$14/12))/ABS('Monthly Cash Flow'!$S$5))^(1/('Assumptions'!$B$14/12))-1</x:f>
        <x:v>0.18961214568365237</x:v>
      </x:c>
      <x:c r="Q103" s="133" t="n">
        <x:f>-ABS('Monthly Cash Flow'!$S$5)+((L103-N103-'Assumptions'!$B$27-'Assumptions'!$B$28)*(1-(1+'Assumptions'!$B$43)^-('Assumptions'!$B$14/12))/'Assumptions'!$B$43)+(O103/(1+'Assumptions'!$B$43)^('Assumptions'!$B$14/12))</x:f>
        <x:v>628066.8503775899</x:v>
      </x:c>
    </x:row>
    <x:row r="104">
      <x:c r="A104" s="131" t="n">
        <x:f>97</x:f>
        <x:v>97</x:v>
      </x:c>
      <x:c r="B104" s="131" t="n">
        <x:f>MOD(ABS(SIN((A104+1)*12.9898+78.233)*43758.5453),1)</x:f>
        <x:v>0.45874352591999923</x:v>
      </x:c>
      <x:c r="C104" s="131" t="n">
        <x:f>MOD(ABS(SIN((A104+2)*12.9898+78.233)*43758.5453),1)</x:f>
        <x:v>0.26833887352768215</x:v>
      </x:c>
      <x:c r="D104" s="131" t="n">
        <x:f>MOD(ABS(SIN((A104+3)*12.9898+78.233)*43758.5453),1)</x:f>
        <x:v>0.588989857766137</x:v>
      </x:c>
      <x:c r="E104" s="131" t="n">
        <x:f>MOD(ABS(SIN((A104+4)*12.9898+78.233)*43758.5453),1)</x:f>
        <x:v>0.03844583519094158</x:v>
      </x:c>
      <x:c r="F104" s="131" t="n">
        <x:f>MOD(ABS(SIN((A104+5)*12.9898+78.233)*43758.5453),1)</x:f>
        <x:v>0.3550735728131258</x:v>
      </x:c>
      <x:c r="G104" s="132" t="n">
        <x:f>IF(B104&lt;(('Assumptions'!$C$47-'Assumptions'!$B$47)/('Assumptions'!$D$47-'Assumptions'!$B$47)),'Assumptions'!$B$47+SQRT(B104*('Assumptions'!$D$47-'Assumptions'!$B$47)*('Assumptions'!$C$47-'Assumptions'!$B$47)),'Assumptions'!$D$47-SQRT((1-B104)*('Assumptions'!$D$47-'Assumptions'!$B$47)*('Assumptions'!$D$47-'Assumptions'!$C$47)))</x:f>
        <x:v>0.004927806715283922</x:v>
      </x:c>
      <x:c r="H104" s="132" t="n">
        <x:f>IF(C104&lt;(('Assumptions'!$C$48-'Assumptions'!$B$48)/('Assumptions'!$D$48-'Assumptions'!$B$48)),'Assumptions'!$B$48+SQRT(C104*('Assumptions'!$D$48-'Assumptions'!$B$48)*('Assumptions'!$C$48-'Assumptions'!$B$48)),'Assumptions'!$D$48-SQRT((1-C104)*('Assumptions'!$D$48-'Assumptions'!$B$48)*('Assumptions'!$D$48-'Assumptions'!$C$48)))</x:f>
        <x:v>0.05975765922651429</x:v>
      </x:c>
      <x:c r="I104" s="132" t="n">
        <x:f>IF(D104&lt;(('Assumptions'!$C$49-'Assumptions'!$B$49)/('Assumptions'!$D$49-'Assumptions'!$B$49)),'Assumptions'!$B$49+SQRT(D104*('Assumptions'!$D$49-'Assumptions'!$B$49)*('Assumptions'!$C$49-'Assumptions'!$B$49)),'Assumptions'!$D$49-SQRT((1-D104)*('Assumptions'!$D$49-'Assumptions'!$B$49)*('Assumptions'!$D$49-'Assumptions'!$C$49)))</x:f>
        <x:v>0.05577782069888512</x:v>
      </x:c>
      <x:c r="J104" s="132" t="n">
        <x:f>IF(E104&lt;(('Assumptions'!$C$50-'Assumptions'!$B$50)/('Assumptions'!$D$50-'Assumptions'!$B$50)),'Assumptions'!$B$50+SQRT(E104*('Assumptions'!$D$50-'Assumptions'!$B$50)*('Assumptions'!$C$50-'Assumptions'!$B$50)),'Assumptions'!$D$50-SQRT((1-E104)*('Assumptions'!$D$50-'Assumptions'!$B$50)*('Assumptions'!$D$50-'Assumptions'!$C$50)))</x:f>
        <x:v>0.06044114143113891</x:v>
      </x:c>
      <x:c r="K104" s="132" t="n">
        <x:f>IF(F104&lt;(('Assumptions'!$C$51-'Assumptions'!$B$51)/('Assumptions'!$D$51-'Assumptions'!$B$51)),'Assumptions'!$B$51+SQRT(F104*('Assumptions'!$D$51-'Assumptions'!$B$51)*('Assumptions'!$C$51-'Assumptions'!$B$51)),'Assumptions'!$D$51-SQRT((1-F104)*('Assumptions'!$D$51-'Assumptions'!$B$51)*('Assumptions'!$D$51-'Assumptions'!$C$51)))</x:f>
        <x:v>0.06738156022719133</x:v>
      </x:c>
      <x:c r="L104" s="133" t="n">
        <x:f>(('Assumptions'!$B$17*(1+G104)+'Assumptions'!$B$18)*(1-H104-'Assumptions'!$B$20)-SUM('Assumptions'!$B$21:$B$25)*(1+I104))-(('Assumptions'!$B$17*(1+G104)+'Assumptions'!$B$18)*(1-H104-'Assumptions'!$B$20)*'Assumptions'!$B$26)</x:f>
        <x:v>206122.5844310234</x:v>
      </x:c>
      <x:c r="M104" s="133" t="n">
        <x:f>'Assumptions'!$B$10*'Assumptions'!$B$33</x:f>
        <x:v>1950000</x:v>
      </x:c>
      <x:c r="N104" s="133" t="n">
        <x:f>-PMT(K104/12,'Assumptions'!$B$35*12,M104)*12</x:f>
        <x:v>151587.77322224624</x:v>
      </x:c>
      <x:c r="O104" s="133" t="n">
        <x:f>(L104*(1+'Assumptions'!$B$29)^('Assumptions'!$B$14/12)/J104)*(1-'Assumptions'!$B$42)-'Debt Schedule'!$F$9</x:f>
        <x:v>3716266.914300229</x:v>
      </x:c>
      <x:c r="P104" s="132" t="n">
        <x:f>((O104+(L104-N104-'Assumptions'!$B$27-'Assumptions'!$B$28)*('Assumptions'!$B$14/12))/ABS('Monthly Cash Flow'!$S$5))^(1/('Assumptions'!$B$14/12))-1</x:f>
        <x:v>0.23960453640647916</x:v>
      </x:c>
      <x:c r="Q104" s="133" t="n">
        <x:f>-ABS('Monthly Cash Flow'!$S$5)+((L104-N104-'Assumptions'!$B$27-'Assumptions'!$B$28)*(1-(1+'Assumptions'!$B$43)^-('Assumptions'!$B$14/12))/'Assumptions'!$B$43)+(O104/(1+'Assumptions'!$B$43)^('Assumptions'!$B$14/12))</x:f>
        <x:v>1068107.7392943434</x:v>
      </x:c>
    </x:row>
    <x:row r="105">
      <x:c r="A105" s="131" t="n">
        <x:f>98</x:f>
        <x:v>98</x:v>
      </x:c>
      <x:c r="B105" s="131" t="n">
        <x:f>MOD(ABS(SIN((A105+1)*12.9898+78.233)*43758.5453),1)</x:f>
        <x:v>0.26833887352768215</x:v>
      </x:c>
      <x:c r="C105" s="131" t="n">
        <x:f>MOD(ABS(SIN((A105+2)*12.9898+78.233)*43758.5453),1)</x:f>
        <x:v>0.588989857766137</x:v>
      </x:c>
      <x:c r="D105" s="131" t="n">
        <x:f>MOD(ABS(SIN((A105+3)*12.9898+78.233)*43758.5453),1)</x:f>
        <x:v>0.03844583519094158</x:v>
      </x:c>
      <x:c r="E105" s="131" t="n">
        <x:f>MOD(ABS(SIN((A105+4)*12.9898+78.233)*43758.5453),1)</x:f>
        <x:v>0.3550735728131258</x:v>
      </x:c>
      <x:c r="F105" s="131" t="n">
        <x:f>MOD(ABS(SIN((A105+5)*12.9898+78.233)*43758.5453),1)</x:f>
        <x:v>0.8811215324312798</x:v>
      </x:c>
      <x:c r="G105" s="132" t="n">
        <x:f>IF(B105&lt;(('Assumptions'!$C$47-'Assumptions'!$B$47)/('Assumptions'!$D$47-'Assumptions'!$B$47)),'Assumptions'!$B$47+SQRT(B105*('Assumptions'!$D$47-'Assumptions'!$B$47)*('Assumptions'!$C$47-'Assumptions'!$B$47)),'Assumptions'!$D$47-SQRT((1-B105)*('Assumptions'!$D$47-'Assumptions'!$B$47)*('Assumptions'!$D$47-'Assumptions'!$C$47)))</x:f>
        <x:v>-0.019749560969024152</x:v>
      </x:c>
      <x:c r="H105" s="132" t="n">
        <x:f>IF(C105&lt;(('Assumptions'!$C$48-'Assumptions'!$B$48)/('Assumptions'!$D$48-'Assumptions'!$B$48)),'Assumptions'!$B$48+SQRT(C105*('Assumptions'!$D$48-'Assumptions'!$B$48)*('Assumptions'!$C$48-'Assumptions'!$B$48)),'Assumptions'!$D$48-SQRT((1-C105)*('Assumptions'!$D$48-'Assumptions'!$B$48)*('Assumptions'!$D$48-'Assumptions'!$C$48)))</x:f>
        <x:v>0.07985942092348966</x:v>
      </x:c>
      <x:c r="I105" s="132" t="n">
        <x:f>IF(D105&lt;(('Assumptions'!$C$49-'Assumptions'!$B$49)/('Assumptions'!$D$49-'Assumptions'!$B$49)),'Assumptions'!$B$49+SQRT(D105*('Assumptions'!$D$49-'Assumptions'!$B$49)*('Assumptions'!$C$49-'Assumptions'!$B$49)),'Assumptions'!$D$49-SQRT((1-D105)*('Assumptions'!$D$49-'Assumptions'!$B$49)*('Assumptions'!$D$49-'Assumptions'!$C$49)))</x:f>
        <x:v>-0.009623174436086245</x:v>
      </x:c>
      <x:c r="J105" s="132" t="n">
        <x:f>IF(E105&lt;(('Assumptions'!$C$50-'Assumptions'!$B$50)/('Assumptions'!$D$50-'Assumptions'!$B$50)),'Assumptions'!$B$50+SQRT(E105*('Assumptions'!$D$50-'Assumptions'!$B$50)*('Assumptions'!$C$50-'Assumptions'!$B$50)),'Assumptions'!$D$50-SQRT((1-E105)*('Assumptions'!$D$50-'Assumptions'!$B$50)*('Assumptions'!$D$50-'Assumptions'!$C$50)))</x:f>
        <x:v>0.06643820753187983</x:v>
      </x:c>
      <x:c r="K105" s="132" t="n">
        <x:f>IF(F105&lt;(('Assumptions'!$C$51-'Assumptions'!$B$51)/('Assumptions'!$D$51-'Assumptions'!$B$51)),'Assumptions'!$B$51+SQRT(F105*('Assumptions'!$D$51-'Assumptions'!$B$51)*('Assumptions'!$C$51-'Assumptions'!$B$51)),'Assumptions'!$D$51-SQRT((1-F105)*('Assumptions'!$D$51-'Assumptions'!$B$51)*('Assumptions'!$D$51-'Assumptions'!$C$51)))</x:f>
        <x:v>0.07743625340737498</x:v>
      </x:c>
      <x:c r="L105" s="133" t="n">
        <x:f>(('Assumptions'!$B$17*(1+G105)+'Assumptions'!$B$18)*(1-H105-'Assumptions'!$B$20)-SUM('Assumptions'!$B$21:$B$25)*(1+I105))-(('Assumptions'!$B$17*(1+G105)+'Assumptions'!$B$18)*(1-H105-'Assumptions'!$B$20)*'Assumptions'!$B$26)</x:f>
        <x:v>199272.21587250204</x:v>
      </x:c>
      <x:c r="M105" s="133" t="n">
        <x:f>'Assumptions'!$B$10*'Assumptions'!$B$33</x:f>
        <x:v>1950000</x:v>
      </x:c>
      <x:c r="N105" s="133" t="n">
        <x:f>-PMT(K105/12,'Assumptions'!$B$35*12,M105)*12</x:f>
        <x:v>167537.39773537897</x:v>
      </x:c>
      <x:c r="O105" s="133" t="n">
        <x:f>(L105*(1+'Assumptions'!$B$29)^('Assumptions'!$B$14/12)/J105)*(1-'Assumptions'!$B$42)-'Debt Schedule'!$F$9</x:f>
        <x:v>3268457.335633994</x:v>
      </x:c>
      <x:c r="P105" s="132" t="n">
        <x:f>((O105+(L105-N105-'Assumptions'!$B$27-'Assumptions'!$B$28)*('Assumptions'!$B$14/12))/ABS('Monthly Cash Flow'!$S$5))^(1/('Assumptions'!$B$14/12))-1</x:f>
        <x:v>0.2004468035962823</x:v>
      </x:c>
      <x:c r="Q105" s="133" t="n">
        <x:f>-ABS('Monthly Cash Flow'!$S$5)+((L105-N105-'Assumptions'!$B$27-'Assumptions'!$B$28)*(1-(1+'Assumptions'!$B$43)^-('Assumptions'!$B$14/12))/'Assumptions'!$B$43)+(O105/(1+'Assumptions'!$B$43)^('Assumptions'!$B$14/12))</x:f>
        <x:v>703623.3111517115</x:v>
      </x:c>
    </x:row>
    <x:row r="106">
      <x:c r="A106" s="131" t="n">
        <x:f>99</x:f>
        <x:v>99</x:v>
      </x:c>
      <x:c r="B106" s="131" t="n">
        <x:f>MOD(ABS(SIN((A106+1)*12.9898+78.233)*43758.5453),1)</x:f>
        <x:v>0.588989857766137</x:v>
      </x:c>
      <x:c r="C106" s="131" t="n">
        <x:f>MOD(ABS(SIN((A106+2)*12.9898+78.233)*43758.5453),1)</x:f>
        <x:v>0.03844583519094158</x:v>
      </x:c>
      <x:c r="D106" s="131" t="n">
        <x:f>MOD(ABS(SIN((A106+3)*12.9898+78.233)*43758.5453),1)</x:f>
        <x:v>0.3550735728131258</x:v>
      </x:c>
      <x:c r="E106" s="131" t="n">
        <x:f>MOD(ABS(SIN((A106+4)*12.9898+78.233)*43758.5453),1)</x:f>
        <x:v>0.8811215324312798</x:v>
      </x:c>
      <x:c r="F106" s="131" t="n">
        <x:f>MOD(ABS(SIN((A106+5)*12.9898+78.233)*43758.5453),1)</x:f>
        <x:v>0.19319214551251207</x:v>
      </x:c>
      <x:c r="G106" s="132" t="n">
        <x:f>IF(B106&lt;(('Assumptions'!$C$47-'Assumptions'!$B$47)/('Assumptions'!$D$47-'Assumptions'!$B$47)),'Assumptions'!$B$47+SQRT(B106*('Assumptions'!$D$47-'Assumptions'!$B$47)*('Assumptions'!$C$47-'Assumptions'!$B$47)),'Assumptions'!$D$47-SQRT((1-B106)*('Assumptions'!$D$47-'Assumptions'!$B$47)*('Assumptions'!$D$47-'Assumptions'!$C$47)))</x:f>
        <x:v>0.018893887926954803</x:v>
      </x:c>
      <x:c r="H106" s="132" t="n">
        <x:f>IF(C106&lt;(('Assumptions'!$C$48-'Assumptions'!$B$48)/('Assumptions'!$D$48-'Assumptions'!$B$48)),'Assumptions'!$B$48+SQRT(C106*('Assumptions'!$D$48-'Assumptions'!$B$48)*('Assumptions'!$C$48-'Assumptions'!$B$48)),'Assumptions'!$D$48-SQRT((1-C106)*('Assumptions'!$D$48-'Assumptions'!$B$48)*('Assumptions'!$D$48-'Assumptions'!$C$48)))</x:f>
        <x:v>0.04126371413567067</x:v>
      </x:c>
      <x:c r="I106" s="132" t="n">
        <x:f>IF(D106&lt;(('Assumptions'!$C$49-'Assumptions'!$B$49)/('Assumptions'!$D$49-'Assumptions'!$B$49)),'Assumptions'!$B$49+SQRT(D106*('Assumptions'!$D$49-'Assumptions'!$B$49)*('Assumptions'!$C$49-'Assumptions'!$B$49)),'Assumptions'!$D$49-SQRT((1-D106)*('Assumptions'!$D$49-'Assumptions'!$B$49)*('Assumptions'!$D$49-'Assumptions'!$C$49)))</x:f>
        <x:v>0.03197283860383457</x:v>
      </x:c>
      <x:c r="J106" s="132" t="n">
        <x:f>IF(E106&lt;(('Assumptions'!$C$50-'Assumptions'!$B$50)/('Assumptions'!$D$50-'Assumptions'!$B$50)),'Assumptions'!$B$50+SQRT(E106*('Assumptions'!$D$50-'Assumptions'!$B$50)*('Assumptions'!$C$50-'Assumptions'!$B$50)),'Assumptions'!$D$50-SQRT((1-E106)*('Assumptions'!$D$50-'Assumptions'!$B$50)*('Assumptions'!$D$50-'Assumptions'!$C$50)))</x:f>
        <x:v>0.07421773668848412</x:v>
      </x:c>
      <x:c r="K106" s="132" t="n">
        <x:f>IF(F106&lt;(('Assumptions'!$C$51-'Assumptions'!$B$51)/('Assumptions'!$D$51-'Assumptions'!$B$51)),'Assumptions'!$B$51+SQRT(F106*('Assumptions'!$D$51-'Assumptions'!$B$51)*('Assumptions'!$C$51-'Assumptions'!$B$51)),'Assumptions'!$D$51-SQRT((1-F106)*('Assumptions'!$D$51-'Assumptions'!$B$51)*('Assumptions'!$D$51-'Assumptions'!$C$51)))</x:f>
        <x:v>0.06478888468943918</x:v>
      </x:c>
      <x:c r="L106" s="133" t="n">
        <x:f>(('Assumptions'!$B$17*(1+G106)+'Assumptions'!$B$18)*(1-H106-'Assumptions'!$B$20)-SUM('Assumptions'!$B$21:$B$25)*(1+I106))-(('Assumptions'!$B$17*(1+G106)+'Assumptions'!$B$18)*(1-H106-'Assumptions'!$B$20)*'Assumptions'!$B$26)</x:f>
        <x:v>220443.8353253869</x:v>
      </x:c>
      <x:c r="M106" s="133" t="n">
        <x:f>'Assumptions'!$B$10*'Assumptions'!$B$33</x:f>
        <x:v>1950000</x:v>
      </x:c>
      <x:c r="N106" s="133" t="n">
        <x:f>-PMT(K106/12,'Assumptions'!$B$35*12,M106)*12</x:f>
        <x:v>147579.1812724381</x:v>
      </x:c>
      <x:c r="O106" s="133" t="n">
        <x:f>(L106*(1+'Assumptions'!$B$29)^('Assumptions'!$B$14/12)/J106)*(1-'Assumptions'!$B$42)-'Debt Schedule'!$F$9</x:f>
        <x:v>3236713.2772095753</x:v>
      </x:c>
      <x:c r="P106" s="132" t="n">
        <x:f>((O106+(L106-N106-'Assumptions'!$B$27-'Assumptions'!$B$28)*('Assumptions'!$B$14/12))/ABS('Monthly Cash Flow'!$S$5))^(1/('Assumptions'!$B$14/12))-1</x:f>
        <x:v>0.21311465382232542</x:v>
      </x:c>
      <x:c r="Q106" s="133" t="n">
        <x:f>-ABS('Monthly Cash Flow'!$S$5)+((L106-N106-'Assumptions'!$B$27-'Assumptions'!$B$28)*(1-(1+'Assumptions'!$B$43)^-('Assumptions'!$B$14/12))/'Assumptions'!$B$43)+(O106/(1+'Assumptions'!$B$43)^('Assumptions'!$B$14/12))</x:f>
        <x:v>839827.186213207</x:v>
      </x:c>
    </x:row>
    <x:row r="107">
      <x:c r="A107" s="131" t="n">
        <x:f>100</x:f>
        <x:v>100</x:v>
      </x:c>
      <x:c r="B107" s="131" t="n">
        <x:f>MOD(ABS(SIN((A107+1)*12.9898+78.233)*43758.5453),1)</x:f>
        <x:v>0.03844583519094158</x:v>
      </x:c>
      <x:c r="C107" s="131" t="n">
        <x:f>MOD(ABS(SIN((A107+2)*12.9898+78.233)*43758.5453),1)</x:f>
        <x:v>0.3550735728131258</x:v>
      </x:c>
      <x:c r="D107" s="131" t="n">
        <x:f>MOD(ABS(SIN((A107+3)*12.9898+78.233)*43758.5453),1)</x:f>
        <x:v>0.8811215324312798</x:v>
      </x:c>
      <x:c r="E107" s="131" t="n">
        <x:f>MOD(ABS(SIN((A107+4)*12.9898+78.233)*43758.5453),1)</x:f>
        <x:v>0.19319214551251207</x:v>
      </x:c>
      <x:c r="F107" s="131" t="n">
        <x:f>MOD(ABS(SIN((A107+5)*12.9898+78.233)*43758.5453),1)</x:f>
        <x:v>0.09025884679613227</x:v>
      </x:c>
      <x:c r="G107" s="132" t="n">
        <x:f>IF(B107&lt;(('Assumptions'!$C$47-'Assumptions'!$B$47)/('Assumptions'!$D$47-'Assumptions'!$B$47)),'Assumptions'!$B$47+SQRT(B107*('Assumptions'!$D$47-'Assumptions'!$B$47)*('Assumptions'!$C$47-'Assumptions'!$B$47)),'Assumptions'!$D$47-SQRT((1-B107)*('Assumptions'!$D$47-'Assumptions'!$B$47)*('Assumptions'!$D$47-'Assumptions'!$C$47)))</x:f>
        <x:v>-0.06962402191562224</x:v>
      </x:c>
      <x:c r="H107" s="132" t="n">
        <x:f>IF(C107&lt;(('Assumptions'!$C$48-'Assumptions'!$B$48)/('Assumptions'!$D$48-'Assumptions'!$B$48)),'Assumptions'!$B$48+SQRT(C107*('Assumptions'!$D$48-'Assumptions'!$B$48)*('Assumptions'!$C$48-'Assumptions'!$B$48)),'Assumptions'!$D$48-SQRT((1-C107)*('Assumptions'!$D$48-'Assumptions'!$B$48)*('Assumptions'!$D$48-'Assumptions'!$C$48)))</x:f>
        <x:v>0.06466506415185254</x:v>
      </x:c>
      <x:c r="I107" s="132" t="n">
        <x:f>IF(D107&lt;(('Assumptions'!$C$49-'Assumptions'!$B$49)/('Assumptions'!$D$49-'Assumptions'!$B$49)),'Assumptions'!$B$49+SQRT(D107*('Assumptions'!$D$49-'Assumptions'!$B$49)*('Assumptions'!$C$49-'Assumptions'!$B$49)),'Assumptions'!$D$49-SQRT((1-D107)*('Assumptions'!$D$49-'Assumptions'!$B$49)*('Assumptions'!$D$49-'Assumptions'!$C$49)))</x:f>
        <x:v>0.09932678321357172</x:v>
      </x:c>
      <x:c r="J107" s="132" t="n">
        <x:f>IF(E107&lt;(('Assumptions'!$C$50-'Assumptions'!$B$50)/('Assumptions'!$D$50-'Assumptions'!$B$50)),'Assumptions'!$B$50+SQRT(E107*('Assumptions'!$D$50-'Assumptions'!$B$50)*('Assumptions'!$C$50-'Assumptions'!$B$50)),'Assumptions'!$D$50-SQRT((1-E107)*('Assumptions'!$D$50-'Assumptions'!$B$50)*('Assumptions'!$D$50-'Assumptions'!$C$50)))</x:f>
        <x:v>0.06409304426955524</x:v>
      </x:c>
      <x:c r="K107" s="132" t="n">
        <x:f>IF(F107&lt;(('Assumptions'!$C$51-'Assumptions'!$B$51)/('Assumptions'!$D$51-'Assumptions'!$B$51)),'Assumptions'!$B$51+SQRT(F107*('Assumptions'!$D$51-'Assumptions'!$B$51)*('Assumptions'!$C$51-'Assumptions'!$B$51)),'Assumptions'!$D$51-SQRT((1-F107)*('Assumptions'!$D$51-'Assumptions'!$B$51)*('Assumptions'!$D$51-'Assumptions'!$C$51)))</x:f>
        <x:v>0.062482086196457905</x:v>
      </x:c>
      <x:c r="L107" s="133" t="n">
        <x:f>(('Assumptions'!$B$17*(1+G107)+'Assumptions'!$B$18)*(1-H107-'Assumptions'!$B$20)-SUM('Assumptions'!$B$21:$B$25)*(1+I107))-(('Assumptions'!$B$17*(1+G107)+'Assumptions'!$B$18)*(1-H107-'Assumptions'!$B$20)*'Assumptions'!$B$26)</x:f>
        <x:v>175004.9002625441</x:v>
      </x:c>
      <x:c r="M107" s="133" t="n">
        <x:f>'Assumptions'!$B$10*'Assumptions'!$B$33</x:f>
        <x:v>1950000</x:v>
      </x:c>
      <x:c r="N107" s="133" t="n">
        <x:f>-PMT(K107/12,'Assumptions'!$B$35*12,M107)*12</x:f>
        <x:v>144050.56307693958</x:v>
      </x:c>
      <x:c r="O107" s="133" t="n">
        <x:f>(L107*(1+'Assumptions'!$B$29)^('Assumptions'!$B$14/12)/J107)*(1-'Assumptions'!$B$42)-'Debt Schedule'!$F$9</x:f>
        <x:v>2975454.314867396</x:v>
      </x:c>
      <x:c r="P107" s="132" t="n">
        <x:f>((O107+(L107-N107-'Assumptions'!$B$27-'Assumptions'!$B$28)*('Assumptions'!$B$14/12))/ABS('Monthly Cash Flow'!$S$5))^(1/('Assumptions'!$B$14/12))-1</x:f>
        <x:v>0.1774970088429373</x:v>
      </x:c>
      <x:c r="Q107" s="133" t="n">
        <x:f>-ABS('Monthly Cash Flow'!$S$5)+((L107-N107-'Assumptions'!$B$27-'Assumptions'!$B$28)*(1-(1+'Assumptions'!$B$43)^-('Assumptions'!$B$14/12))/'Assumptions'!$B$43)+(O107/(1+'Assumptions'!$B$43)^('Assumptions'!$B$14/12))</x:f>
        <x:v>518732.85097219446</x:v>
      </x:c>
    </x:row>
    <x:row r="108">
      <x:c r="A108" s="131" t="n">
        <x:f>101</x:f>
        <x:v>101</x:v>
      </x:c>
      <x:c r="B108" s="131" t="n">
        <x:f>MOD(ABS(SIN((A108+1)*12.9898+78.233)*43758.5453),1)</x:f>
        <x:v>0.3550735728131258</x:v>
      </x:c>
      <x:c r="C108" s="131" t="n">
        <x:f>MOD(ABS(SIN((A108+2)*12.9898+78.233)*43758.5453),1)</x:f>
        <x:v>0.8811215324312798</x:v>
      </x:c>
      <x:c r="D108" s="131" t="n">
        <x:f>MOD(ABS(SIN((A108+3)*12.9898+78.233)*43758.5453),1)</x:f>
        <x:v>0.19319214551251207</x:v>
      </x:c>
      <x:c r="E108" s="131" t="n">
        <x:f>MOD(ABS(SIN((A108+4)*12.9898+78.233)*43758.5453),1)</x:f>
        <x:v>0.09025884679613227</x:v>
      </x:c>
      <x:c r="F108" s="131" t="n">
        <x:f>MOD(ABS(SIN((A108+5)*12.9898+78.233)*43758.5453),1)</x:f>
        <x:v>0.3504838995686441</x:v>
      </x:c>
      <x:c r="G108" s="132" t="n">
        <x:f>IF(B108&lt;(('Assumptions'!$C$47-'Assumptions'!$B$47)/('Assumptions'!$D$47-'Assumptions'!$B$47)),'Assumptions'!$B$47+SQRT(B108*('Assumptions'!$D$47-'Assumptions'!$B$47)*('Assumptions'!$C$47-'Assumptions'!$B$47)),'Assumptions'!$D$47-SQRT((1-B108)*('Assumptions'!$D$47-'Assumptions'!$B$47)*('Assumptions'!$D$47-'Assumptions'!$C$47)))</x:f>
        <x:v>-0.007686589557556606</x:v>
      </x:c>
      <x:c r="H108" s="132" t="n">
        <x:f>IF(C108&lt;(('Assumptions'!$C$48-'Assumptions'!$B$48)/('Assumptions'!$D$48-'Assumptions'!$B$48)),'Assumptions'!$B$48+SQRT(C108*('Assumptions'!$D$48-'Assumptions'!$B$48)*('Assumptions'!$C$48-'Assumptions'!$B$48)),'Assumptions'!$D$48-SQRT((1-C108)*('Assumptions'!$D$48-'Assumptions'!$B$48)*('Assumptions'!$D$48-'Assumptions'!$C$48)))</x:f>
        <x:v>0.1076560590743067</x:v>
      </x:c>
      <x:c r="I108" s="132" t="n">
        <x:f>IF(D108&lt;(('Assumptions'!$C$49-'Assumptions'!$B$49)/('Assumptions'!$D$49-'Assumptions'!$B$49)),'Assumptions'!$B$49+SQRT(D108*('Assumptions'!$D$49-'Assumptions'!$B$49)*('Assumptions'!$C$49-'Assumptions'!$B$49)),'Assumptions'!$D$49-SQRT((1-D108)*('Assumptions'!$D$49-'Assumptions'!$B$49)*('Assumptions'!$D$49-'Assumptions'!$C$49)))</x:f>
        <x:v>0.015677950605682063</x:v>
      </x:c>
      <x:c r="J108" s="132" t="n">
        <x:f>IF(E108&lt;(('Assumptions'!$C$50-'Assumptions'!$B$50)/('Assumptions'!$D$50-'Assumptions'!$B$50)),'Assumptions'!$B$50+SQRT(E108*('Assumptions'!$D$50-'Assumptions'!$B$50)*('Assumptions'!$C$50-'Assumptions'!$B$50)),'Assumptions'!$D$50-SQRT((1-E108)*('Assumptions'!$D$50-'Assumptions'!$B$50)*('Assumptions'!$D$50-'Assumptions'!$C$50)))</x:f>
        <x:v>0.06200646652368902</x:v>
      </x:c>
      <x:c r="K108" s="132" t="n">
        <x:f>IF(F108&lt;(('Assumptions'!$C$51-'Assumptions'!$B$51)/('Assumptions'!$D$51-'Assumptions'!$B$51)),'Assumptions'!$B$51+SQRT(F108*('Assumptions'!$D$51-'Assumptions'!$B$51)*('Assumptions'!$C$51-'Assumptions'!$B$51)),'Assumptions'!$D$51-SQRT((1-F108)*('Assumptions'!$D$51-'Assumptions'!$B$51)*('Assumptions'!$D$51-'Assumptions'!$C$51)))</x:f>
        <x:v>0.06731748808918947</x:v>
      </x:c>
      <x:c r="L108" s="133" t="n">
        <x:f>(('Assumptions'!$B$17*(1+G108)+'Assumptions'!$B$18)*(1-H108-'Assumptions'!$B$20)-SUM('Assumptions'!$B$21:$B$25)*(1+I108))-(('Assumptions'!$B$17*(1+G108)+'Assumptions'!$B$18)*(1-H108-'Assumptions'!$B$20)*'Assumptions'!$B$26)</x:f>
        <x:v>189865.6137531061</x:v>
      </x:c>
      <x:c r="M108" s="133" t="n">
        <x:f>'Assumptions'!$B$10*'Assumptions'!$B$33</x:f>
        <x:v>1950000</x:v>
      </x:c>
      <x:c r="N108" s="133" t="n">
        <x:f>-PMT(K108/12,'Assumptions'!$B$35*12,M108)*12</x:f>
        <x:v>151488.1751805222</x:v>
      </x:c>
      <x:c r="O108" s="133" t="n">
        <x:f>(L108*(1+'Assumptions'!$B$29)^('Assumptions'!$B$14/12)/J108)*(1-'Assumptions'!$B$42)-'Debt Schedule'!$F$9</x:f>
        <x:v>3336747.2492322577</x:v>
      </x:c>
      <x:c r="P108" s="132" t="n">
        <x:f>((O108+(L108-N108-'Assumptions'!$B$27-'Assumptions'!$B$28)*('Assumptions'!$B$14/12))/ABS('Monthly Cash Flow'!$S$5))^(1/('Assumptions'!$B$14/12))-1</x:f>
        <x:v>0.20790508504836125</x:v>
      </x:c>
      <x:c r="Q108" s="133" t="n">
        <x:f>-ABS('Monthly Cash Flow'!$S$5)+((L108-N108-'Assumptions'!$B$27-'Assumptions'!$B$28)*(1-(1+'Assumptions'!$B$43)^-('Assumptions'!$B$14/12))/'Assumptions'!$B$43)+(O108/(1+'Assumptions'!$B$43)^('Assumptions'!$B$14/12))</x:f>
        <x:v>771206.7323156877</x:v>
      </x:c>
    </x:row>
    <x:row r="109">
      <x:c r="A109" s="131" t="n">
        <x:f>102</x:f>
        <x:v>102</x:v>
      </x:c>
      <x:c r="B109" s="131" t="n">
        <x:f>MOD(ABS(SIN((A109+1)*12.9898+78.233)*43758.5453),1)</x:f>
        <x:v>0.8811215324312798</x:v>
      </x:c>
      <x:c r="C109" s="131" t="n">
        <x:f>MOD(ABS(SIN((A109+2)*12.9898+78.233)*43758.5453),1)</x:f>
        <x:v>0.19319214551251207</x:v>
      </x:c>
      <x:c r="D109" s="131" t="n">
        <x:f>MOD(ABS(SIN((A109+3)*12.9898+78.233)*43758.5453),1)</x:f>
        <x:v>0.09025884679613227</x:v>
      </x:c>
      <x:c r="E109" s="131" t="n">
        <x:f>MOD(ABS(SIN((A109+4)*12.9898+78.233)*43758.5453),1)</x:f>
        <x:v>0.3504838995686441</x:v>
      </x:c>
      <x:c r="F109" s="131" t="n">
        <x:f>MOD(ABS(SIN((A109+5)*12.9898+78.233)*43758.5453),1)</x:f>
        <x:v>0.240746229144861</x:v>
      </x:c>
      <x:c r="G109" s="132" t="n">
        <x:f>IF(B109&lt;(('Assumptions'!$C$47-'Assumptions'!$B$47)/('Assumptions'!$D$47-'Assumptions'!$B$47)),'Assumptions'!$B$47+SQRT(B109*('Assumptions'!$D$47-'Assumptions'!$B$47)*('Assumptions'!$C$47-'Assumptions'!$B$47)),'Assumptions'!$D$47-SQRT((1-B109)*('Assumptions'!$D$47-'Assumptions'!$B$47)*('Assumptions'!$D$47-'Assumptions'!$C$47)))</x:f>
        <x:v>0.056387438952756705</x:v>
      </x:c>
      <x:c r="H109" s="132" t="n">
        <x:f>IF(C109&lt;(('Assumptions'!$C$48-'Assumptions'!$B$48)/('Assumptions'!$D$48-'Assumptions'!$B$48)),'Assumptions'!$B$48+SQRT(C109*('Assumptions'!$D$48-'Assumptions'!$B$48)*('Assumptions'!$C$48-'Assumptions'!$B$48)),'Assumptions'!$D$48-SQRT((1-C109)*('Assumptions'!$D$48-'Assumptions'!$B$48)*('Assumptions'!$D$48-'Assumptions'!$C$48)))</x:f>
        <x:v>0.0552494372252391</x:v>
      </x:c>
      <x:c r="I109" s="132" t="n">
        <x:f>IF(D109&lt;(('Assumptions'!$C$49-'Assumptions'!$B$49)/('Assumptions'!$D$49-'Assumptions'!$B$49)),'Assumptions'!$B$49+SQRT(D109*('Assumptions'!$D$49-'Assumptions'!$B$49)*('Assumptions'!$C$49-'Assumptions'!$B$49)),'Assumptions'!$D$49-SQRT((1-D109)*('Assumptions'!$D$49-'Assumptions'!$B$49)*('Assumptions'!$D$49-'Assumptions'!$C$49)))</x:f>
        <x:v>0.0012217159265506816</x:v>
      </x:c>
      <x:c r="J109" s="132" t="n">
        <x:f>IF(E109&lt;(('Assumptions'!$C$50-'Assumptions'!$B$50)/('Assumptions'!$D$50-'Assumptions'!$B$50)),'Assumptions'!$B$50+SQRT(E109*('Assumptions'!$D$50-'Assumptions'!$B$50)*('Assumptions'!$C$50-'Assumptions'!$B$50)),'Assumptions'!$D$50-SQRT((1-E109)*('Assumptions'!$D$50-'Assumptions'!$B$50)*('Assumptions'!$D$50-'Assumptions'!$C$50)))</x:f>
        <x:v>0.0663802521024431</x:v>
      </x:c>
      <x:c r="K109" s="132" t="n">
        <x:f>IF(F109&lt;(('Assumptions'!$C$51-'Assumptions'!$B$51)/('Assumptions'!$D$51-'Assumptions'!$B$51)),'Assumptions'!$B$51+SQRT(F109*('Assumptions'!$D$51-'Assumptions'!$B$51)*('Assumptions'!$C$51-'Assumptions'!$B$51)),'Assumptions'!$D$51-SQRT((1-F109)*('Assumptions'!$D$51-'Assumptions'!$B$51)*('Assumptions'!$D$51-'Assumptions'!$C$51)))</x:f>
        <x:v>0.06563665859028366</x:v>
      </x:c>
      <x:c r="L109" s="133" t="n">
        <x:f>(('Assumptions'!$B$17*(1+G109)+'Assumptions'!$B$18)*(1-H109-'Assumptions'!$B$20)-SUM('Assumptions'!$B$21:$B$25)*(1+I109))-(('Assumptions'!$B$17*(1+G109)+'Assumptions'!$B$18)*(1-H109-'Assumptions'!$B$20)*'Assumptions'!$B$26)</x:f>
        <x:v>231264.29857874487</x:v>
      </x:c>
      <x:c r="M109" s="133" t="n">
        <x:f>'Assumptions'!$B$10*'Assumptions'!$B$33</x:f>
        <x:v>1950000</x:v>
      </x:c>
      <x:c r="N109" s="133" t="n">
        <x:f>-PMT(K109/12,'Assumptions'!$B$35*12,M109)*12</x:f>
        <x:v>148885.03002507225</x:v>
      </x:c>
      <x:c r="O109" s="133" t="n">
        <x:f>(L109*(1+'Assumptions'!$B$29)^('Assumptions'!$B$14/12)/J109)*(1-'Assumptions'!$B$42)-'Debt Schedule'!$F$9</x:f>
        <x:v>3796502.3532206086</x:v>
      </x:c>
      <x:c r="P109" s="132" t="n">
        <x:f>((O109+(L109-N109-'Assumptions'!$B$27-'Assumptions'!$B$28)*('Assumptions'!$B$14/12))/ABS('Monthly Cash Flow'!$S$5))^(1/('Assumptions'!$B$14/12))-1</x:f>
        <x:v>0.2536426866528234</x:v>
      </x:c>
      <x:c r="Q109" s="133" t="n">
        <x:f>-ABS('Monthly Cash Flow'!$S$5)+((L109-N109-'Assumptions'!$B$27-'Assumptions'!$B$28)*(1-(1+'Assumptions'!$B$43)^-('Assumptions'!$B$14/12))/'Assumptions'!$B$43)+(O109/(1+'Assumptions'!$B$43)^('Assumptions'!$B$14/12))</x:f>
        <x:v>1223480.0346894055</x:v>
      </x:c>
    </x:row>
    <x:row r="110">
      <x:c r="A110" s="131" t="n">
        <x:f>103</x:f>
        <x:v>103</x:v>
      </x:c>
      <x:c r="B110" s="131" t="n">
        <x:f>MOD(ABS(SIN((A110+1)*12.9898+78.233)*43758.5453),1)</x:f>
        <x:v>0.19319214551251207</x:v>
      </x:c>
      <x:c r="C110" s="131" t="n">
        <x:f>MOD(ABS(SIN((A110+2)*12.9898+78.233)*43758.5453),1)</x:f>
        <x:v>0.09025884679613227</x:v>
      </x:c>
      <x:c r="D110" s="131" t="n">
        <x:f>MOD(ABS(SIN((A110+3)*12.9898+78.233)*43758.5453),1)</x:f>
        <x:v>0.3504838995686441</x:v>
      </x:c>
      <x:c r="E110" s="131" t="n">
        <x:f>MOD(ABS(SIN((A110+4)*12.9898+78.233)*43758.5453),1)</x:f>
        <x:v>0.240746229144861</x:v>
      </x:c>
      <x:c r="F110" s="131" t="n">
        <x:f>MOD(ABS(SIN((A110+5)*12.9898+78.233)*43758.5453),1)</x:f>
        <x:v>0.9325128192140255</x:v>
      </x:c>
      <x:c r="G110" s="132" t="n">
        <x:f>IF(B110&lt;(('Assumptions'!$C$47-'Assumptions'!$B$47)/('Assumptions'!$D$47-'Assumptions'!$B$47)),'Assumptions'!$B$47+SQRT(B110*('Assumptions'!$D$47-'Assumptions'!$B$47)*('Assumptions'!$C$47-'Assumptions'!$B$47)),'Assumptions'!$D$47-SQRT((1-B110)*('Assumptions'!$D$47-'Assumptions'!$B$47)*('Assumptions'!$D$47-'Assumptions'!$C$47)))</x:f>
        <x:v>-0.03190733158187814</x:v>
      </x:c>
      <x:c r="H110" s="132" t="n">
        <x:f>IF(C110&lt;(('Assumptions'!$C$48-'Assumptions'!$B$48)/('Assumptions'!$D$48-'Assumptions'!$B$48)),'Assumptions'!$B$48+SQRT(C110*('Assumptions'!$D$48-'Assumptions'!$B$48)*('Assumptions'!$C$48-'Assumptions'!$B$48)),'Assumptions'!$D$48-SQRT((1-C110)*('Assumptions'!$D$48-'Assumptions'!$B$48)*('Assumptions'!$D$48-'Assumptions'!$C$48)))</x:f>
        <x:v>0.04725845283990533</x:v>
      </x:c>
      <x:c r="I110" s="132" t="n">
        <x:f>IF(D110&lt;(('Assumptions'!$C$49-'Assumptions'!$B$49)/('Assumptions'!$D$49-'Assumptions'!$B$49)),'Assumptions'!$B$49+SQRT(D110*('Assumptions'!$D$49-'Assumptions'!$B$49)*('Assumptions'!$C$49-'Assumptions'!$B$49)),'Assumptions'!$D$49-SQRT((1-D110)*('Assumptions'!$D$49-'Assumptions'!$B$49)*('Assumptions'!$D$49-'Assumptions'!$C$49)))</x:f>
        <x:v>0.031553608035882794</x:v>
      </x:c>
      <x:c r="J110" s="132" t="n">
        <x:f>IF(E110&lt;(('Assumptions'!$C$50-'Assumptions'!$B$50)/('Assumptions'!$D$50-'Assumptions'!$B$50)),'Assumptions'!$B$50+SQRT(E110*('Assumptions'!$D$50-'Assumptions'!$B$50)*('Assumptions'!$C$50-'Assumptions'!$B$50)),'Assumptions'!$D$50-SQRT((1-E110)*('Assumptions'!$D$50-'Assumptions'!$B$50)*('Assumptions'!$D$50-'Assumptions'!$C$50)))</x:f>
        <x:v>0.0648598846157799</x:v>
      </x:c>
      <x:c r="K110" s="132" t="n">
        <x:f>IF(F110&lt;(('Assumptions'!$C$51-'Assumptions'!$B$51)/('Assumptions'!$D$51-'Assumptions'!$B$51)),'Assumptions'!$B$51+SQRT(F110*('Assumptions'!$D$51-'Assumptions'!$B$51)*('Assumptions'!$C$51-'Assumptions'!$B$51)),'Assumptions'!$D$51-SQRT((1-F110)*('Assumptions'!$D$51-'Assumptions'!$B$51)*('Assumptions'!$D$51-'Assumptions'!$C$51)))</x:f>
        <x:v>0.07930103467695669</x:v>
      </x:c>
      <x:c r="L110" s="133" t="n">
        <x:f>(('Assumptions'!$B$17*(1+G110)+'Assumptions'!$B$18)*(1-H110-'Assumptions'!$B$20)-SUM('Assumptions'!$B$21:$B$25)*(1+I110))-(('Assumptions'!$B$17*(1+G110)+'Assumptions'!$B$18)*(1-H110-'Assumptions'!$B$20)*'Assumptions'!$B$26)</x:f>
        <x:v>201730.52313691794</x:v>
      </x:c>
      <x:c r="M110" s="133" t="n">
        <x:f>'Assumptions'!$B$10*'Assumptions'!$B$33</x:f>
        <x:v>1950000</x:v>
      </x:c>
      <x:c r="N110" s="133" t="n">
        <x:f>-PMT(K110/12,'Assumptions'!$B$35*12,M110)*12</x:f>
        <x:v>170562.0893763685</x:v>
      </x:c>
      <x:c r="O110" s="133" t="n">
        <x:f>(L110*(1+'Assumptions'!$B$29)^('Assumptions'!$B$14/12)/J110)*(1-'Assumptions'!$B$42)-'Debt Schedule'!$F$9</x:f>
        <x:v>3389295.3840695885</x:v>
      </x:c>
      <x:c r="P110" s="132" t="n">
        <x:f>((O110+(L110-N110-'Assumptions'!$B$27-'Assumptions'!$B$28)*('Assumptions'!$B$14/12))/ABS('Monthly Cash Flow'!$S$5))^(1/('Assumptions'!$B$14/12))-1</x:f>
        <x:v>0.2091004566698682</x:v>
      </x:c>
      <x:c r="Q110" s="133" t="n">
        <x:f>-ABS('Monthly Cash Flow'!$S$5)+((L110-N110-'Assumptions'!$B$27-'Assumptions'!$B$28)*(1-(1+'Assumptions'!$B$43)^-('Assumptions'!$B$14/12))/'Assumptions'!$B$43)+(O110/(1+'Assumptions'!$B$43)^('Assumptions'!$B$14/12))</x:f>
        <x:v>776507.1896611119</x:v>
      </x:c>
    </x:row>
    <x:row r="111">
      <x:c r="A111" s="131" t="n">
        <x:f>104</x:f>
        <x:v>104</x:v>
      </x:c>
      <x:c r="B111" s="131" t="n">
        <x:f>MOD(ABS(SIN((A111+1)*12.9898+78.233)*43758.5453),1)</x:f>
        <x:v>0.09025884679613227</x:v>
      </x:c>
      <x:c r="C111" s="131" t="n">
        <x:f>MOD(ABS(SIN((A111+2)*12.9898+78.233)*43758.5453),1)</x:f>
        <x:v>0.3504838995686441</x:v>
      </x:c>
      <x:c r="D111" s="131" t="n">
        <x:f>MOD(ABS(SIN((A111+3)*12.9898+78.233)*43758.5453),1)</x:f>
        <x:v>0.240746229144861</x:v>
      </x:c>
      <x:c r="E111" s="131" t="n">
        <x:f>MOD(ABS(SIN((A111+4)*12.9898+78.233)*43758.5453),1)</x:f>
        <x:v>0.9325128192140255</x:v>
      </x:c>
      <x:c r="F111" s="131" t="n">
        <x:f>MOD(ABS(SIN((A111+5)*12.9898+78.233)*43758.5453),1)</x:f>
        <x:v>0.3251119205233408</x:v>
      </x:c>
      <x:c r="G111" s="132" t="n">
        <x:f>IF(B111&lt;(('Assumptions'!$C$47-'Assumptions'!$B$47)/('Assumptions'!$D$47-'Assumptions'!$B$47)),'Assumptions'!$B$47+SQRT(B111*('Assumptions'!$D$47-'Assumptions'!$B$47)*('Assumptions'!$C$47-'Assumptions'!$B$47)),'Assumptions'!$D$47-SQRT((1-B111)*('Assumptions'!$D$47-'Assumptions'!$B$47)*('Assumptions'!$D$47-'Assumptions'!$C$47)))</x:f>
        <x:v>-0.0534574138760299</x:v>
      </x:c>
      <x:c r="H111" s="132" t="n">
        <x:f>IF(C111&lt;(('Assumptions'!$C$48-'Assumptions'!$B$48)/('Assumptions'!$D$48-'Assumptions'!$B$48)),'Assumptions'!$B$48+SQRT(C111*('Assumptions'!$D$48-'Assumptions'!$B$48)*('Assumptions'!$C$48-'Assumptions'!$B$48)),'Assumptions'!$D$48-SQRT((1-C111)*('Assumptions'!$D$48-'Assumptions'!$B$48)*('Assumptions'!$D$48-'Assumptions'!$C$48)))</x:f>
        <x:v>0.06439747567841447</x:v>
      </x:c>
      <x:c r="I111" s="132" t="n">
        <x:f>IF(D111&lt;(('Assumptions'!$C$49-'Assumptions'!$B$49)/('Assumptions'!$D$49-'Assumptions'!$B$49)),'Assumptions'!$B$49+SQRT(D111*('Assumptions'!$D$49-'Assumptions'!$B$49)*('Assumptions'!$C$49-'Assumptions'!$B$49)),'Assumptions'!$D$49-SQRT((1-D111)*('Assumptions'!$D$49-'Assumptions'!$B$49)*('Assumptions'!$D$49-'Assumptions'!$C$49)))</x:f>
        <x:v>0.020990776369501363</x:v>
      </x:c>
      <x:c r="J111" s="132" t="n">
        <x:f>IF(E111&lt;(('Assumptions'!$C$50-'Assumptions'!$B$50)/('Assumptions'!$D$50-'Assumptions'!$B$50)),'Assumptions'!$B$50+SQRT(E111*('Assumptions'!$D$50-'Assumptions'!$B$50)*('Assumptions'!$C$50-'Assumptions'!$B$50)),'Assumptions'!$D$50-SQRT((1-E111)*('Assumptions'!$D$50-'Assumptions'!$B$50)*('Assumptions'!$D$50-'Assumptions'!$C$50)))</x:f>
        <x:v>0.07564330749351583</x:v>
      </x:c>
      <x:c r="K111" s="132" t="n">
        <x:f>IF(F111&lt;(('Assumptions'!$C$51-'Assumptions'!$B$51)/('Assumptions'!$D$51-'Assumptions'!$B$51)),'Assumptions'!$B$51+SQRT(F111*('Assumptions'!$D$51-'Assumptions'!$B$51)*('Assumptions'!$C$51-'Assumptions'!$B$51)),'Assumptions'!$D$51-SQRT((1-F111)*('Assumptions'!$D$51-'Assumptions'!$B$51)*('Assumptions'!$D$51-'Assumptions'!$C$51)))</x:f>
        <x:v>0.06695546287306543</x:v>
      </x:c>
      <x:c r="L111" s="133" t="n">
        <x:f>(('Assumptions'!$B$17*(1+G111)+'Assumptions'!$B$18)*(1-H111-'Assumptions'!$B$20)-SUM('Assumptions'!$B$21:$B$25)*(1+I111))-(('Assumptions'!$B$17*(1+G111)+'Assumptions'!$B$18)*(1-H111-'Assumptions'!$B$20)*'Assumptions'!$B$26)</x:f>
        <x:v>190137.4085694852</x:v>
      </x:c>
      <x:c r="M111" s="133" t="n">
        <x:f>'Assumptions'!$B$10*'Assumptions'!$B$33</x:f>
        <x:v>1950000</x:v>
      </x:c>
      <x:c r="N111" s="133" t="n">
        <x:f>-PMT(K111/12,'Assumptions'!$B$35*12,M111)*12</x:f>
        <x:v>150925.92384075094</x:v>
      </x:c>
      <x:c r="O111" s="133" t="n">
        <x:f>(L111*(1+'Assumptions'!$B$29)^('Assumptions'!$B$14/12)/J111)*(1-'Assumptions'!$B$42)-'Debt Schedule'!$F$9</x:f>
        <x:v>2739119.865011195</x:v>
      </x:c>
      <x:c r="P111" s="132" t="n">
        <x:f>((O111+(L111-N111-'Assumptions'!$B$27-'Assumptions'!$B$28)*('Assumptions'!$B$14/12))/ABS('Monthly Cash Flow'!$S$5))^(1/('Assumptions'!$B$14/12))-1</x:f>
        <x:v>0.1613862644268409</x:v>
      </x:c>
      <x:c r="Q111" s="133" t="n">
        <x:f>-ABS('Monthly Cash Flow'!$S$5)+((L111-N111-'Assumptions'!$B$27-'Assumptions'!$B$28)*(1-(1+'Assumptions'!$B$43)^-('Assumptions'!$B$14/12))/'Assumptions'!$B$43)+(O111/(1+'Assumptions'!$B$43)^('Assumptions'!$B$14/12))</x:f>
        <x:v>403288.8373425745</x:v>
      </x:c>
    </x:row>
    <x:row r="112">
      <x:c r="A112" s="131" t="n">
        <x:f>105</x:f>
        <x:v>105</x:v>
      </x:c>
      <x:c r="B112" s="131" t="n">
        <x:f>MOD(ABS(SIN((A112+1)*12.9898+78.233)*43758.5453),1)</x:f>
        <x:v>0.3504838995686441</x:v>
      </x:c>
      <x:c r="C112" s="131" t="n">
        <x:f>MOD(ABS(SIN((A112+2)*12.9898+78.233)*43758.5453),1)</x:f>
        <x:v>0.240746229144861</x:v>
      </x:c>
      <x:c r="D112" s="131" t="n">
        <x:f>MOD(ABS(SIN((A112+3)*12.9898+78.233)*43758.5453),1)</x:f>
        <x:v>0.9325128192140255</x:v>
      </x:c>
      <x:c r="E112" s="131" t="n">
        <x:f>MOD(ABS(SIN((A112+4)*12.9898+78.233)*43758.5453),1)</x:f>
        <x:v>0.3251119205233408</x:v>
      </x:c>
      <x:c r="F112" s="131" t="n">
        <x:f>MOD(ABS(SIN((A112+5)*12.9898+78.233)*43758.5453),1)</x:f>
        <x:v>0.059876977356907446</x:v>
      </x:c>
      <x:c r="G112" s="132" t="n">
        <x:f>IF(B112&lt;(('Assumptions'!$C$47-'Assumptions'!$B$47)/('Assumptions'!$D$47-'Assumptions'!$B$47)),'Assumptions'!$B$47+SQRT(B112*('Assumptions'!$D$47-'Assumptions'!$B$47)*('Assumptions'!$C$47-'Assumptions'!$B$47)),'Assumptions'!$D$47-SQRT((1-B112)*('Assumptions'!$D$47-'Assumptions'!$B$47)*('Assumptions'!$D$47-'Assumptions'!$C$47)))</x:f>
        <x:v>-0.008285150658972035</x:v>
      </x:c>
      <x:c r="H112" s="132" t="n">
        <x:f>IF(C112&lt;(('Assumptions'!$C$48-'Assumptions'!$B$48)/('Assumptions'!$D$48-'Assumptions'!$B$48)),'Assumptions'!$B$48+SQRT(C112*('Assumptions'!$D$48-'Assumptions'!$B$48)*('Assumptions'!$C$48-'Assumptions'!$B$48)),'Assumptions'!$D$48-SQRT((1-C112)*('Assumptions'!$D$48-'Assumptions'!$B$48)*('Assumptions'!$D$48-'Assumptions'!$C$48)))</x:f>
        <x:v>0.058186212164426085</x:v>
      </x:c>
      <x:c r="I112" s="132" t="n">
        <x:f>IF(D112&lt;(('Assumptions'!$C$49-'Assumptions'!$B$49)/('Assumptions'!$D$49-'Assumptions'!$B$49)),'Assumptions'!$B$49+SQRT(D112*('Assumptions'!$D$49-'Assumptions'!$B$49)*('Assumptions'!$C$49-'Assumptions'!$B$49)),'Assumptions'!$D$49-SQRT((1-D112)*('Assumptions'!$D$49-'Assumptions'!$B$49)*('Assumptions'!$D$49-'Assumptions'!$C$49)))</x:f>
        <x:v>0.11181985980935835</x:v>
      </x:c>
      <x:c r="J112" s="132" t="n">
        <x:f>IF(E112&lt;(('Assumptions'!$C$50-'Assumptions'!$B$50)/('Assumptions'!$D$50-'Assumptions'!$B$50)),'Assumptions'!$B$50+SQRT(E112*('Assumptions'!$D$50-'Assumptions'!$B$50)*('Assumptions'!$C$50-'Assumptions'!$B$50)),'Assumptions'!$D$50-SQRT((1-E112)*('Assumptions'!$D$50-'Assumptions'!$B$50)*('Assumptions'!$D$50-'Assumptions'!$C$50)))</x:f>
        <x:v>0.06605278797338925</x:v>
      </x:c>
      <x:c r="K112" s="132" t="n">
        <x:f>IF(F112&lt;(('Assumptions'!$C$51-'Assumptions'!$B$51)/('Assumptions'!$D$51-'Assumptions'!$B$51)),'Assumptions'!$B$51+SQRT(F112*('Assumptions'!$D$51-'Assumptions'!$B$51)*('Assumptions'!$C$51-'Assumptions'!$B$51)),'Assumptions'!$D$51-SQRT((1-F112)*('Assumptions'!$D$51-'Assumptions'!$B$51)*('Assumptions'!$D$51-'Assumptions'!$C$51)))</x:f>
        <x:v>0.06155785272935694</x:v>
      </x:c>
      <x:c r="L112" s="133" t="n">
        <x:f>(('Assumptions'!$B$17*(1+G112)+'Assumptions'!$B$18)*(1-H112-'Assumptions'!$B$20)-SUM('Assumptions'!$B$21:$B$25)*(1+I112))-(('Assumptions'!$B$17*(1+G112)+'Assumptions'!$B$18)*(1-H112-'Assumptions'!$B$20)*'Assumptions'!$B$26)</x:f>
        <x:v>195379.17778490073</x:v>
      </x:c>
      <x:c r="M112" s="133" t="n">
        <x:f>'Assumptions'!$B$10*'Assumptions'!$B$33</x:f>
        <x:v>1950000</x:v>
      </x:c>
      <x:c r="N112" s="133" t="n">
        <x:f>-PMT(K112/12,'Assumptions'!$B$35*12,M112)*12</x:f>
        <x:v>142647.04577499148</x:v>
      </x:c>
      <x:c r="O112" s="133" t="n">
        <x:f>(L112*(1+'Assumptions'!$B$29)^('Assumptions'!$B$14/12)/J112)*(1-'Assumptions'!$B$42)-'Debt Schedule'!$F$9</x:f>
        <x:v>3223302.771444186</x:v>
      </x:c>
      <x:c r="P112" s="132" t="n">
        <x:f>((O112+(L112-N112-'Assumptions'!$B$27-'Assumptions'!$B$28)*('Assumptions'!$B$14/12))/ABS('Monthly Cash Flow'!$S$5))^(1/('Assumptions'!$B$14/12))-1</x:f>
        <x:v>0.20486548480443245</x:v>
      </x:c>
      <x:c r="Q112" s="133" t="n">
        <x:f>-ABS('Monthly Cash Flow'!$S$5)+((L112-N112-'Assumptions'!$B$27-'Assumptions'!$B$28)*(1-(1+'Assumptions'!$B$43)^-('Assumptions'!$B$14/12))/'Assumptions'!$B$43)+(O112/(1+'Assumptions'!$B$43)^('Assumptions'!$B$14/12))</x:f>
        <x:v>755182.2190348909</x:v>
      </x:c>
    </x:row>
    <x:row r="113">
      <x:c r="A113" s="131" t="n">
        <x:f>106</x:f>
        <x:v>106</x:v>
      </x:c>
      <x:c r="B113" s="131" t="n">
        <x:f>MOD(ABS(SIN((A113+1)*12.9898+78.233)*43758.5453),1)</x:f>
        <x:v>0.240746229144861</x:v>
      </x:c>
      <x:c r="C113" s="131" t="n">
        <x:f>MOD(ABS(SIN((A113+2)*12.9898+78.233)*43758.5453),1)</x:f>
        <x:v>0.9325128192140255</x:v>
      </x:c>
      <x:c r="D113" s="131" t="n">
        <x:f>MOD(ABS(SIN((A113+3)*12.9898+78.233)*43758.5453),1)</x:f>
        <x:v>0.3251119205233408</x:v>
      </x:c>
      <x:c r="E113" s="131" t="n">
        <x:f>MOD(ABS(SIN((A113+4)*12.9898+78.233)*43758.5453),1)</x:f>
        <x:v>0.059876977356907446</x:v>
      </x:c>
      <x:c r="F113" s="131" t="n">
        <x:f>MOD(ABS(SIN((A113+5)*12.9898+78.233)*43758.5453),1)</x:f>
        <x:v>0.423397726197436</x:v>
      </x:c>
      <x:c r="G113" s="132" t="n">
        <x:f>IF(B113&lt;(('Assumptions'!$C$47-'Assumptions'!$B$47)/('Assumptions'!$D$47-'Assumptions'!$B$47)),'Assumptions'!$B$47+SQRT(B113*('Assumptions'!$D$47-'Assumptions'!$B$47)*('Assumptions'!$C$47-'Assumptions'!$B$47)),'Assumptions'!$D$47-SQRT((1-B113)*('Assumptions'!$D$47-'Assumptions'!$B$47)*('Assumptions'!$D$47-'Assumptions'!$C$47)))</x:f>
        <x:v>-0.023987438541536676</x:v>
      </x:c>
      <x:c r="H113" s="132" t="n">
        <x:f>IF(C113&lt;(('Assumptions'!$C$48-'Assumptions'!$B$48)/('Assumptions'!$D$48-'Assumptions'!$B$48)),'Assumptions'!$B$48+SQRT(C113*('Assumptions'!$D$48-'Assumptions'!$B$48)*('Assumptions'!$C$48-'Assumptions'!$B$48)),'Assumptions'!$D$48-SQRT((1-C113)*('Assumptions'!$D$48-'Assumptions'!$B$48)*('Assumptions'!$D$48-'Assumptions'!$C$48)))</x:f>
        <x:v>0.11563019920236164</x:v>
      </x:c>
      <x:c r="I113" s="132" t="n">
        <x:f>IF(D113&lt;(('Assumptions'!$C$49-'Assumptions'!$B$49)/('Assumptions'!$D$49-'Assumptions'!$B$49)),'Assumptions'!$B$49+SQRT(D113*('Assumptions'!$D$49-'Assumptions'!$B$49)*('Assumptions'!$C$49-'Assumptions'!$B$49)),'Assumptions'!$D$49-SQRT((1-D113)*('Assumptions'!$D$49-'Assumptions'!$B$49)*('Assumptions'!$D$49-'Assumptions'!$C$49)))</x:f>
        <x:v>0.029255453265096883</x:v>
      </x:c>
      <x:c r="J113" s="132" t="n">
        <x:f>IF(E113&lt;(('Assumptions'!$C$50-'Assumptions'!$B$50)/('Assumptions'!$D$50-'Assumptions'!$B$50)),'Assumptions'!$B$50+SQRT(E113*('Assumptions'!$D$50-'Assumptions'!$B$50)*('Assumptions'!$C$50-'Assumptions'!$B$50)),'Assumptions'!$D$50-SQRT((1-E113)*('Assumptions'!$D$50-'Assumptions'!$B$50)*('Assumptions'!$D$50-'Assumptions'!$C$50)))</x:f>
        <x:v>0.06117046589758088</x:v>
      </x:c>
      <x:c r="K113" s="132" t="n">
        <x:f>IF(F113&lt;(('Assumptions'!$C$51-'Assumptions'!$B$51)/('Assumptions'!$D$51-'Assumptions'!$B$51)),'Assumptions'!$B$51+SQRT(F113*('Assumptions'!$D$51-'Assumptions'!$B$51)*('Assumptions'!$C$51-'Assumptions'!$B$51)),'Assumptions'!$D$51-SQRT((1-F113)*('Assumptions'!$D$51-'Assumptions'!$B$51)*('Assumptions'!$D$51-'Assumptions'!$C$51)))</x:f>
        <x:v>0.06834197357825712</x:v>
      </x:c>
      <x:c r="L113" s="133" t="n">
        <x:f>(('Assumptions'!$B$17*(1+G113)+'Assumptions'!$B$18)*(1-H113-'Assumptions'!$B$20)-SUM('Assumptions'!$B$21:$B$25)*(1+I113))-(('Assumptions'!$B$17*(1+G113)+'Assumptions'!$B$18)*(1-H113-'Assumptions'!$B$20)*'Assumptions'!$B$26)</x:f>
        <x:v>180356.5491755022</x:v>
      </x:c>
      <x:c r="M113" s="133" t="n">
        <x:f>'Assumptions'!$B$10*'Assumptions'!$B$33</x:f>
        <x:v>1950000</x:v>
      </x:c>
      <x:c r="N113" s="133" t="n">
        <x:f>-PMT(K113/12,'Assumptions'!$B$35*12,M113)*12</x:f>
        <x:v>153083.90874049472</x:v>
      </x:c>
      <x:c r="O113" s="133" t="n">
        <x:f>(L113*(1+'Assumptions'!$B$29)^('Assumptions'!$B$14/12)/J113)*(1-'Assumptions'!$B$42)-'Debt Schedule'!$F$9</x:f>
        <x:v>3212951.028084011</x:v>
      </x:c>
      <x:c r="P113" s="132" t="n">
        <x:f>((O113+(L113-N113-'Assumptions'!$B$27-'Assumptions'!$B$28)*('Assumptions'!$B$14/12))/ABS('Monthly Cash Flow'!$S$5))^(1/('Assumptions'!$B$14/12))-1</x:f>
        <x:v>0.19460076398683746</x:v>
      </x:c>
      <x:c r="Q113" s="133" t="n">
        <x:f>-ABS('Monthly Cash Flow'!$S$5)+((L113-N113-'Assumptions'!$B$27-'Assumptions'!$B$28)*(1-(1+'Assumptions'!$B$43)^-('Assumptions'!$B$14/12))/'Assumptions'!$B$43)+(O113/(1+'Assumptions'!$B$43)^('Assumptions'!$B$14/12))</x:f>
        <x:v>652243.0970337184</x:v>
      </x:c>
    </x:row>
    <x:row r="114">
      <x:c r="A114" s="131" t="n">
        <x:f>107</x:f>
        <x:v>107</x:v>
      </x:c>
      <x:c r="B114" s="131" t="n">
        <x:f>MOD(ABS(SIN((A114+1)*12.9898+78.233)*43758.5453),1)</x:f>
        <x:v>0.9325128192140255</x:v>
      </x:c>
      <x:c r="C114" s="131" t="n">
        <x:f>MOD(ABS(SIN((A114+2)*12.9898+78.233)*43758.5453),1)</x:f>
        <x:v>0.3251119205233408</x:v>
      </x:c>
      <x:c r="D114" s="131" t="n">
        <x:f>MOD(ABS(SIN((A114+3)*12.9898+78.233)*43758.5453),1)</x:f>
        <x:v>0.059876977356907446</x:v>
      </x:c>
      <x:c r="E114" s="131" t="n">
        <x:f>MOD(ABS(SIN((A114+4)*12.9898+78.233)*43758.5453),1)</x:f>
        <x:v>0.423397726197436</x:v>
      </x:c>
      <x:c r="F114" s="131" t="n">
        <x:f>MOD(ABS(SIN((A114+5)*12.9898+78.233)*43758.5453),1)</x:f>
        <x:v>0.45855782150169944</x:v>
      </x:c>
      <x:c r="G114" s="132" t="n">
        <x:f>IF(B114&lt;(('Assumptions'!$C$47-'Assumptions'!$B$47)/('Assumptions'!$D$47-'Assumptions'!$B$47)),'Assumptions'!$B$47+SQRT(B114*('Assumptions'!$D$47-'Assumptions'!$B$47)*('Assumptions'!$C$47-'Assumptions'!$B$47)),'Assumptions'!$D$47-SQRT((1-B114)*('Assumptions'!$D$47-'Assumptions'!$B$47)*('Assumptions'!$D$47-'Assumptions'!$C$47)))</x:f>
        <x:v>0.06713976730795122</x:v>
      </x:c>
      <x:c r="H114" s="132" t="n">
        <x:f>IF(C114&lt;(('Assumptions'!$C$48-'Assumptions'!$B$48)/('Assumptions'!$D$48-'Assumptions'!$B$48)),'Assumptions'!$B$48+SQRT(C114*('Assumptions'!$D$48-'Assumptions'!$B$48)*('Assumptions'!$C$48-'Assumptions'!$B$48)),'Assumptions'!$D$48-SQRT((1-C114)*('Assumptions'!$D$48-'Assumptions'!$B$48)*('Assumptions'!$D$48-'Assumptions'!$C$48)))</x:f>
        <x:v>0.06293499432690217</x:v>
      </x:c>
      <x:c r="I114" s="132" t="n">
        <x:f>IF(D114&lt;(('Assumptions'!$C$49-'Assumptions'!$B$49)/('Assumptions'!$D$49-'Assumptions'!$B$49)),'Assumptions'!$B$49+SQRT(D114*('Assumptions'!$D$49-'Assumptions'!$B$49)*('Assumptions'!$C$49-'Assumptions'!$B$49)),'Assumptions'!$D$49-SQRT((1-D114)*('Assumptions'!$D$49-'Assumptions'!$B$49)*('Assumptions'!$D$49-'Assumptions'!$C$49)))</x:f>
        <x:v>-0.00457026631176409</x:v>
      </x:c>
      <x:c r="J114" s="132" t="n">
        <x:f>IF(E114&lt;(('Assumptions'!$C$50-'Assumptions'!$B$50)/('Assumptions'!$D$50-'Assumptions'!$B$50)),'Assumptions'!$B$50+SQRT(E114*('Assumptions'!$D$50-'Assumptions'!$B$50)*('Assumptions'!$C$50-'Assumptions'!$B$50)),'Assumptions'!$D$50-SQRT((1-E114)*('Assumptions'!$D$50-'Assumptions'!$B$50)*('Assumptions'!$D$50-'Assumptions'!$C$50)))</x:f>
        <x:v>0.06726035288267915</x:v>
      </x:c>
      <x:c r="K114" s="132" t="n">
        <x:f>IF(F114&lt;(('Assumptions'!$C$51-'Assumptions'!$B$51)/('Assumptions'!$D$51-'Assumptions'!$B$51)),'Assumptions'!$B$51+SQRT(F114*('Assumptions'!$D$51-'Assumptions'!$B$51)*('Assumptions'!$C$51-'Assumptions'!$B$51)),'Assumptions'!$D$51-SQRT((1-F114)*('Assumptions'!$D$51-'Assumptions'!$B$51)*('Assumptions'!$D$51-'Assumptions'!$C$51)))</x:f>
        <x:v>0.06885784870587855</x:v>
      </x:c>
      <x:c r="L114" s="133" t="n">
        <x:f>(('Assumptions'!$B$17*(1+G114)+'Assumptions'!$B$18)*(1-H114-'Assumptions'!$B$20)-SUM('Assumptions'!$B$21:$B$25)*(1+I114))-(('Assumptions'!$B$17*(1+G114)+'Assumptions'!$B$18)*(1-H114-'Assumptions'!$B$20)*'Assumptions'!$B$26)</x:f>
        <x:v>232500.35899347367</x:v>
      </x:c>
      <x:c r="M114" s="133" t="n">
        <x:f>'Assumptions'!$B$10*'Assumptions'!$B$33</x:f>
        <x:v>1950000</x:v>
      </x:c>
      <x:c r="N114" s="133" t="n">
        <x:f>-PMT(K114/12,'Assumptions'!$B$35*12,M114)*12</x:f>
        <x:v>153890.00675426517</x:v>
      </x:c>
      <x:c r="O114" s="133" t="n">
        <x:f>(L114*(1+'Assumptions'!$B$29)^('Assumptions'!$B$14/12)/J114)*(1-'Assumptions'!$B$42)-'Debt Schedule'!$F$9</x:f>
        <x:v>3766851.187678311</x:v>
      </x:c>
      <x:c r="P114" s="132" t="n">
        <x:f>((O114+(L114-N114-'Assumptions'!$B$27-'Assumptions'!$B$28)*('Assumptions'!$B$14/12))/ABS('Monthly Cash Flow'!$S$5))^(1/('Assumptions'!$B$14/12))-1</x:f>
        <x:v>0.25059445138557024</x:v>
      </x:c>
      <x:c r="Q114" s="133" t="n">
        <x:f>-ABS('Monthly Cash Flow'!$S$5)+((L114-N114-'Assumptions'!$B$27-'Assumptions'!$B$28)*(1-(1+'Assumptions'!$B$43)^-('Assumptions'!$B$14/12))/'Assumptions'!$B$43)+(O114/(1+'Assumptions'!$B$43)^('Assumptions'!$B$14/12))</x:f>
        <x:v>1190781.835650758</x:v>
      </x:c>
    </x:row>
    <x:row r="115">
      <x:c r="A115" s="131" t="n">
        <x:f>108</x:f>
        <x:v>108</x:v>
      </x:c>
      <x:c r="B115" s="131" t="n">
        <x:f>MOD(ABS(SIN((A115+1)*12.9898+78.233)*43758.5453),1)</x:f>
        <x:v>0.3251119205233408</x:v>
      </x:c>
      <x:c r="C115" s="131" t="n">
        <x:f>MOD(ABS(SIN((A115+2)*12.9898+78.233)*43758.5453),1)</x:f>
        <x:v>0.059876977356907446</x:v>
      </x:c>
      <x:c r="D115" s="131" t="n">
        <x:f>MOD(ABS(SIN((A115+3)*12.9898+78.233)*43758.5453),1)</x:f>
        <x:v>0.423397726197436</x:v>
      </x:c>
      <x:c r="E115" s="131" t="n">
        <x:f>MOD(ABS(SIN((A115+4)*12.9898+78.233)*43758.5453),1)</x:f>
        <x:v>0.45855782150169944</x:v>
      </x:c>
      <x:c r="F115" s="131" t="n">
        <x:f>MOD(ABS(SIN((A115+5)*12.9898+78.233)*43758.5453),1)</x:f>
        <x:v>0.6332279291418672</x:v>
      </x:c>
      <x:c r="G115" s="132" t="n">
        <x:f>IF(B115&lt;(('Assumptions'!$C$47-'Assumptions'!$B$47)/('Assumptions'!$D$47-'Assumptions'!$B$47)),'Assumptions'!$B$47+SQRT(B115*('Assumptions'!$D$47-'Assumptions'!$B$47)*('Assumptions'!$C$47-'Assumptions'!$B$47)),'Assumptions'!$D$47-SQRT((1-B115)*('Assumptions'!$D$47-'Assumptions'!$B$47)*('Assumptions'!$D$47-'Assumptions'!$C$47)))</x:f>
        <x:v>-0.011667185641121</x:v>
      </x:c>
      <x:c r="H115" s="132" t="n">
        <x:f>IF(C115&lt;(('Assumptions'!$C$48-'Assumptions'!$B$48)/('Assumptions'!$D$48-'Assumptions'!$B$48)),'Assumptions'!$B$48+SQRT(C115*('Assumptions'!$D$48-'Assumptions'!$B$48)*('Assumptions'!$C$48-'Assumptions'!$B$48)),'Assumptions'!$D$48-SQRT((1-C115)*('Assumptions'!$D$48-'Assumptions'!$B$48)*('Assumptions'!$D$48-'Assumptions'!$C$48)))</x:f>
        <x:v>0.04405681419375651</x:v>
      </x:c>
      <x:c r="I115" s="132" t="n">
        <x:f>IF(D115&lt;(('Assumptions'!$C$49-'Assumptions'!$B$49)/('Assumptions'!$D$49-'Assumptions'!$B$49)),'Assumptions'!$B$49+SQRT(D115*('Assumptions'!$D$49-'Assumptions'!$B$49)*('Assumptions'!$C$49-'Assumptions'!$B$49)),'Assumptions'!$D$49-SQRT((1-D115)*('Assumptions'!$D$49-'Assumptions'!$B$49)*('Assumptions'!$D$49-'Assumptions'!$C$49)))</x:f>
        <x:v>0.038399779954807506</x:v>
      </x:c>
      <x:c r="J115" s="132" t="n">
        <x:f>IF(E115&lt;(('Assumptions'!$C$50-'Assumptions'!$B$50)/('Assumptions'!$D$50-'Assumptions'!$B$50)),'Assumptions'!$B$50+SQRT(E115*('Assumptions'!$D$50-'Assumptions'!$B$50)*('Assumptions'!$C$50-'Assumptions'!$B$50)),'Assumptions'!$D$50-SQRT((1-E115)*('Assumptions'!$D$50-'Assumptions'!$B$50)*('Assumptions'!$D$50-'Assumptions'!$C$50)))</x:f>
        <x:v>0.06765979689378465</x:v>
      </x:c>
      <x:c r="K115" s="132" t="n">
        <x:f>IF(F115&lt;(('Assumptions'!$C$51-'Assumptions'!$B$51)/('Assumptions'!$D$51-'Assumptions'!$B$51)),'Assumptions'!$B$51+SQRT(F115*('Assumptions'!$D$51-'Assumptions'!$B$51)*('Assumptions'!$C$51-'Assumptions'!$B$51)),'Assumptions'!$D$51-SQRT((1-F115)*('Assumptions'!$D$51-'Assumptions'!$B$51)*('Assumptions'!$D$51-'Assumptions'!$C$51)))</x:f>
        <x:v>0.07171432880504428</x:v>
      </x:c>
      <x:c r="L115" s="133" t="n">
        <x:f>(('Assumptions'!$B$17*(1+G115)+'Assumptions'!$B$18)*(1-H115-'Assumptions'!$B$20)-SUM('Assumptions'!$B$21:$B$25)*(1+I115))-(('Assumptions'!$B$17*(1+G115)+'Assumptions'!$B$18)*(1-H115-'Assumptions'!$B$20)*'Assumptions'!$B$26)</x:f>
        <x:v>208611.2784038206</x:v>
      </x:c>
      <x:c r="M115" s="133" t="n">
        <x:f>'Assumptions'!$B$10*'Assumptions'!$B$33</x:f>
        <x:v>1950000</x:v>
      </x:c>
      <x:c r="N115" s="133" t="n">
        <x:f>-PMT(K115/12,'Assumptions'!$B$35*12,M115)*12</x:f>
        <x:v>158384.17038286227</x:v>
      </x:c>
      <x:c r="O115" s="133" t="n">
        <x:f>(L115*(1+'Assumptions'!$B$29)^('Assumptions'!$B$14/12)/J115)*(1-'Assumptions'!$B$42)-'Debt Schedule'!$F$9</x:f>
        <x:v>3359859.1526573687</x:v>
      </x:c>
      <x:c r="P115" s="132" t="n">
        <x:f>((O115+(L115-N115-'Assumptions'!$B$27-'Assumptions'!$B$28)*('Assumptions'!$B$14/12))/ABS('Monthly Cash Flow'!$S$5))^(1/('Assumptions'!$B$14/12))-1</x:f>
        <x:v>0.2138242168161848</x:v>
      </x:c>
      <x:c r="Q115" s="133" t="n">
        <x:f>-ABS('Monthly Cash Flow'!$S$5)+((L115-N115-'Assumptions'!$B$27-'Assumptions'!$B$28)*(1-(1+'Assumptions'!$B$43)^-('Assumptions'!$B$14/12))/'Assumptions'!$B$43)+(O115/(1+'Assumptions'!$B$43)^('Assumptions'!$B$14/12))</x:f>
        <x:v>830476.9761355843</x:v>
      </x:c>
    </x:row>
    <x:row r="116">
      <x:c r="A116" s="131" t="n">
        <x:f>109</x:f>
        <x:v>109</x:v>
      </x:c>
      <x:c r="B116" s="131" t="n">
        <x:f>MOD(ABS(SIN((A116+1)*12.9898+78.233)*43758.5453),1)</x:f>
        <x:v>0.059876977356907446</x:v>
      </x:c>
      <x:c r="C116" s="131" t="n">
        <x:f>MOD(ABS(SIN((A116+2)*12.9898+78.233)*43758.5453),1)</x:f>
        <x:v>0.423397726197436</x:v>
      </x:c>
      <x:c r="D116" s="131" t="n">
        <x:f>MOD(ABS(SIN((A116+3)*12.9898+78.233)*43758.5453),1)</x:f>
        <x:v>0.45855782150169944</x:v>
      </x:c>
      <x:c r="E116" s="131" t="n">
        <x:f>MOD(ABS(SIN((A116+4)*12.9898+78.233)*43758.5453),1)</x:f>
        <x:v>0.6332279291418672</x:v>
      </x:c>
      <x:c r="F116" s="131" t="n">
        <x:f>MOD(ABS(SIN((A116+5)*12.9898+78.233)*43758.5453),1)</x:f>
        <x:v>0.6200133380480111</x:v>
      </x:c>
      <x:c r="G116" s="132" t="n">
        <x:f>IF(B116&lt;(('Assumptions'!$C$47-'Assumptions'!$B$47)/('Assumptions'!$D$47-'Assumptions'!$B$47)),'Assumptions'!$B$47+SQRT(B116*('Assumptions'!$D$47-'Assumptions'!$B$47)*('Assumptions'!$C$47-'Assumptions'!$B$47)),'Assumptions'!$D$47-SQRT((1-B116)*('Assumptions'!$D$47-'Assumptions'!$B$47)*('Assumptions'!$D$47-'Assumptions'!$C$47)))</x:f>
        <x:v>-0.062091591215592046</x:v>
      </x:c>
      <x:c r="H116" s="132" t="n">
        <x:f>IF(C116&lt;(('Assumptions'!$C$48-'Assumptions'!$B$48)/('Assumptions'!$D$48-'Assumptions'!$B$48)),'Assumptions'!$B$48+SQRT(C116*('Assumptions'!$D$48-'Assumptions'!$B$48)*('Assumptions'!$C$48-'Assumptions'!$B$48)),'Assumptions'!$D$48-SQRT((1-C116)*('Assumptions'!$D$48-'Assumptions'!$B$48)*('Assumptions'!$D$48-'Assumptions'!$C$48)))</x:f>
        <x:v>0.0687672827314403</x:v>
      </x:c>
      <x:c r="I116" s="132" t="n">
        <x:f>IF(D116&lt;(('Assumptions'!$C$49-'Assumptions'!$B$49)/('Assumptions'!$D$49-'Assumptions'!$B$49)),'Assumptions'!$B$49+SQRT(D116*('Assumptions'!$D$49-'Assumptions'!$B$49)*('Assumptions'!$C$49-'Assumptions'!$B$49)),'Assumptions'!$D$49-SQRT((1-D116)*('Assumptions'!$D$49-'Assumptions'!$B$49)*('Assumptions'!$D$49-'Assumptions'!$C$49)))</x:f>
        <x:v>0.04185587831248852</x:v>
      </x:c>
      <x:c r="J116" s="132" t="n">
        <x:f>IF(E116&lt;(('Assumptions'!$C$50-'Assumptions'!$B$50)/('Assumptions'!$D$50-'Assumptions'!$B$50)),'Assumptions'!$B$50+SQRT(E116*('Assumptions'!$D$50-'Assumptions'!$B$50)*('Assumptions'!$C$50-'Assumptions'!$B$50)),'Assumptions'!$D$50-SQRT((1-E116)*('Assumptions'!$D$50-'Assumptions'!$B$50)*('Assumptions'!$D$50-'Assumptions'!$C$50)))</x:f>
        <x:v>0.06984349248369058</x:v>
      </x:c>
      <x:c r="K116" s="132" t="n">
        <x:f>IF(F116&lt;(('Assumptions'!$C$51-'Assumptions'!$B$51)/('Assumptions'!$D$51-'Assumptions'!$B$51)),'Assumptions'!$B$51+SQRT(F116*('Assumptions'!$D$51-'Assumptions'!$B$51)*('Assumptions'!$C$51-'Assumptions'!$B$51)),'Assumptions'!$D$51-SQRT((1-F116)*('Assumptions'!$D$51-'Assumptions'!$B$51)*('Assumptions'!$D$51-'Assumptions'!$C$51)))</x:f>
        <x:v>0.0714771089975407</x:v>
      </x:c>
      <x:c r="L116" s="133" t="n">
        <x:f>(('Assumptions'!$B$17*(1+G116)+'Assumptions'!$B$18)*(1-H116-'Assumptions'!$B$20)-SUM('Assumptions'!$B$21:$B$25)*(1+I116))-(('Assumptions'!$B$17*(1+G116)+'Assumptions'!$B$18)*(1-H116-'Assumptions'!$B$20)*'Assumptions'!$B$26)</x:f>
        <x:v>183254.48946506568</x:v>
      </x:c>
      <x:c r="M116" s="133" t="n">
        <x:f>'Assumptions'!$B$10*'Assumptions'!$B$33</x:f>
        <x:v>1950000</x:v>
      </x:c>
      <x:c r="N116" s="133" t="n">
        <x:f>-PMT(K116/12,'Assumptions'!$B$35*12,M116)*12</x:f>
        <x:v>158008.992682277</x:v>
      </x:c>
      <x:c r="O116" s="133" t="n">
        <x:f>(L116*(1+'Assumptions'!$B$29)^('Assumptions'!$B$14/12)/J116)*(1-'Assumptions'!$B$42)-'Debt Schedule'!$F$9</x:f>
        <x:v>2859187.6038330817</x:v>
      </x:c>
      <x:c r="P116" s="132" t="n">
        <x:f>((O116+(L116-N116-'Assumptions'!$B$27-'Assumptions'!$B$28)*('Assumptions'!$B$14/12))/ABS('Monthly Cash Flow'!$S$5))^(1/('Assumptions'!$B$14/12))-1</x:f>
        <x:v>0.16562156534831285</x:v>
      </x:c>
      <x:c r="Q116" s="133" t="n">
        <x:f>-ABS('Monthly Cash Flow'!$S$5)+((L116-N116-'Assumptions'!$B$27-'Assumptions'!$B$28)*(1-(1+'Assumptions'!$B$43)^-('Assumptions'!$B$14/12))/'Assumptions'!$B$43)+(O116/(1+'Assumptions'!$B$43)^('Assumptions'!$B$14/12))</x:f>
        <x:v>424899.37426137296</x:v>
      </x:c>
    </x:row>
    <x:row r="117">
      <x:c r="A117" s="131" t="n">
        <x:f>110</x:f>
        <x:v>110</x:v>
      </x:c>
      <x:c r="B117" s="131" t="n">
        <x:f>MOD(ABS(SIN((A117+1)*12.9898+78.233)*43758.5453),1)</x:f>
        <x:v>0.423397726197436</x:v>
      </x:c>
      <x:c r="C117" s="131" t="n">
        <x:f>MOD(ABS(SIN((A117+2)*12.9898+78.233)*43758.5453),1)</x:f>
        <x:v>0.45855782150169944</x:v>
      </x:c>
      <x:c r="D117" s="131" t="n">
        <x:f>MOD(ABS(SIN((A117+3)*12.9898+78.233)*43758.5453),1)</x:f>
        <x:v>0.6332279291418672</x:v>
      </x:c>
      <x:c r="E117" s="131" t="n">
        <x:f>MOD(ABS(SIN((A117+4)*12.9898+78.233)*43758.5453),1)</x:f>
        <x:v>0.6200133380480111</x:v>
      </x:c>
      <x:c r="F117" s="131" t="n">
        <x:f>MOD(ABS(SIN((A117+5)*12.9898+78.233)*43758.5453),1)</x:f>
        <x:v>0.9623796104788198</x:v>
      </x:c>
      <x:c r="G117" s="132" t="n">
        <x:f>IF(B117&lt;(('Assumptions'!$C$47-'Assumptions'!$B$47)/('Assumptions'!$D$47-'Assumptions'!$B$47)),'Assumptions'!$B$47+SQRT(B117*('Assumptions'!$D$47-'Assumptions'!$B$47)*('Assumptions'!$C$47-'Assumptions'!$B$47)),'Assumptions'!$D$47-SQRT((1-B117)*('Assumptions'!$D$47-'Assumptions'!$B$47)*('Assumptions'!$D$47-'Assumptions'!$C$47)))</x:f>
        <x:v>0.0008044911139303557</x:v>
      </x:c>
      <x:c r="H117" s="132" t="n">
        <x:f>IF(C117&lt;(('Assumptions'!$C$48-'Assumptions'!$B$48)/('Assumptions'!$D$48-'Assumptions'!$B$48)),'Assumptions'!$B$48+SQRT(C117*('Assumptions'!$D$48-'Assumptions'!$B$48)*('Assumptions'!$C$48-'Assumptions'!$B$48)),'Assumptions'!$D$48-SQRT((1-C117)*('Assumptions'!$D$48-'Assumptions'!$B$48)*('Assumptions'!$D$48-'Assumptions'!$C$48)))</x:f>
        <x:v>0.0709732575679176</x:v>
      </x:c>
      <x:c r="I117" s="132" t="n">
        <x:f>IF(D117&lt;(('Assumptions'!$C$49-'Assumptions'!$B$49)/('Assumptions'!$D$49-'Assumptions'!$B$49)),'Assumptions'!$B$49+SQRT(D117*('Assumptions'!$D$49-'Assumptions'!$B$49)*('Assumptions'!$C$49-'Assumptions'!$B$49)),'Assumptions'!$D$49-SQRT((1-D117)*('Assumptions'!$D$49-'Assumptions'!$B$49)*('Assumptions'!$D$49-'Assumptions'!$C$49)))</x:f>
        <x:v>0.06099282764554495</x:v>
      </x:c>
      <x:c r="J117" s="132" t="n">
        <x:f>IF(E117&lt;(('Assumptions'!$C$50-'Assumptions'!$B$50)/('Assumptions'!$D$50-'Assumptions'!$B$50)),'Assumptions'!$B$50+SQRT(E117*('Assumptions'!$D$50-'Assumptions'!$B$50)*('Assumptions'!$C$50-'Assumptions'!$B$50)),'Assumptions'!$D$50-SQRT((1-E117)*('Assumptions'!$D$50-'Assumptions'!$B$50)*('Assumptions'!$D$50-'Assumptions'!$C$50)))</x:f>
        <x:v>0.06966214487071923</x:v>
      </x:c>
      <x:c r="K117" s="132" t="n">
        <x:f>IF(F117&lt;(('Assumptions'!$C$51-'Assumptions'!$B$51)/('Assumptions'!$D$51-'Assumptions'!$B$51)),'Assumptions'!$B$51+SQRT(F117*('Assumptions'!$D$51-'Assumptions'!$B$51)*('Assumptions'!$C$51-'Assumptions'!$B$51)),'Assumptions'!$D$51-SQRT((1-F117)*('Assumptions'!$D$51-'Assumptions'!$B$51)*('Assumptions'!$D$51-'Assumptions'!$C$51)))</x:f>
        <x:v>0.080745024975741</x:v>
      </x:c>
      <x:c r="L117" s="133" t="n">
        <x:f>(('Assumptions'!$B$17*(1+G117)+'Assumptions'!$B$18)*(1-H117-'Assumptions'!$B$20)-SUM('Assumptions'!$B$21:$B$25)*(1+I117))-(('Assumptions'!$B$17*(1+G117)+'Assumptions'!$B$18)*(1-H117-'Assumptions'!$B$20)*'Assumptions'!$B$26)</x:f>
        <x:v>200066.84697219814</x:v>
      </x:c>
      <x:c r="M117" s="133" t="n">
        <x:f>'Assumptions'!$B$10*'Assumptions'!$B$33</x:f>
        <x:v>1950000</x:v>
      </x:c>
      <x:c r="N117" s="133" t="n">
        <x:f>-PMT(K117/12,'Assumptions'!$B$35*12,M117)*12</x:f>
        <x:v>172917.79018162147</x:v>
      </x:c>
      <x:c r="O117" s="133" t="n">
        <x:f>(L117*(1+'Assumptions'!$B$29)^('Assumptions'!$B$14/12)/J117)*(1-'Assumptions'!$B$42)-'Debt Schedule'!$F$9</x:f>
        <x:v>3129624.7150745383</x:v>
      </x:c>
      <x:c r="P117" s="132" t="n">
        <x:f>((O117+(L117-N117-'Assumptions'!$B$27-'Assumptions'!$B$28)*('Assumptions'!$B$14/12))/ABS('Monthly Cash Flow'!$S$5))^(1/('Assumptions'!$B$14/12))-1</x:f>
        <x:v>0.18816339798185466</x:v>
      </x:c>
      <x:c r="Q117" s="133" t="n">
        <x:f>-ABS('Monthly Cash Flow'!$S$5)+((L117-N117-'Assumptions'!$B$27-'Assumptions'!$B$28)*(1-(1+'Assumptions'!$B$43)^-('Assumptions'!$B$14/12))/'Assumptions'!$B$43)+(O117/(1+'Assumptions'!$B$43)^('Assumptions'!$B$14/12))</x:f>
        <x:v>600035.5332700119</x:v>
      </x:c>
    </x:row>
    <x:row r="118">
      <x:c r="A118" s="131" t="n">
        <x:f>111</x:f>
        <x:v>111</x:v>
      </x:c>
      <x:c r="B118" s="131" t="n">
        <x:f>MOD(ABS(SIN((A118+1)*12.9898+78.233)*43758.5453),1)</x:f>
        <x:v>0.45855782150169944</x:v>
      </x:c>
      <x:c r="C118" s="131" t="n">
        <x:f>MOD(ABS(SIN((A118+2)*12.9898+78.233)*43758.5453),1)</x:f>
        <x:v>0.6332279291418672</x:v>
      </x:c>
      <x:c r="D118" s="131" t="n">
        <x:f>MOD(ABS(SIN((A118+3)*12.9898+78.233)*43758.5453),1)</x:f>
        <x:v>0.6200133380480111</x:v>
      </x:c>
      <x:c r="E118" s="131" t="n">
        <x:f>MOD(ABS(SIN((A118+4)*12.9898+78.233)*43758.5453),1)</x:f>
        <x:v>0.9623796104788198</x:v>
      </x:c>
      <x:c r="F118" s="131" t="n">
        <x:f>MOD(ABS(SIN((A118+5)*12.9898+78.233)*43758.5453),1)</x:f>
        <x:v>0.9146406721920357</x:v>
      </x:c>
      <x:c r="G118" s="132" t="n">
        <x:f>IF(B118&lt;(('Assumptions'!$C$47-'Assumptions'!$B$47)/('Assumptions'!$D$47-'Assumptions'!$B$47)),'Assumptions'!$B$47+SQRT(B118*('Assumptions'!$D$47-'Assumptions'!$B$47)*('Assumptions'!$C$47-'Assumptions'!$B$47)),'Assumptions'!$D$47-SQRT((1-B118)*('Assumptions'!$D$47-'Assumptions'!$B$47)*('Assumptions'!$D$47-'Assumptions'!$C$47)))</x:f>
        <x:v>0.004906566601146495</x:v>
      </x:c>
      <x:c r="H118" s="132" t="n">
        <x:f>IF(C118&lt;(('Assumptions'!$C$48-'Assumptions'!$B$48)/('Assumptions'!$D$48-'Assumptions'!$B$48)),'Assumptions'!$B$48+SQRT(C118*('Assumptions'!$D$48-'Assumptions'!$B$48)*('Assumptions'!$C$48-'Assumptions'!$B$48)),'Assumptions'!$D$48-SQRT((1-C118)*('Assumptions'!$D$48-'Assumptions'!$B$48)*('Assumptions'!$D$48-'Assumptions'!$C$48)))</x:f>
        <x:v>0.08318808026873614</x:v>
      </x:c>
      <x:c r="I118" s="132" t="n">
        <x:f>IF(D118&lt;(('Assumptions'!$C$49-'Assumptions'!$B$49)/('Assumptions'!$D$49-'Assumptions'!$B$49)),'Assumptions'!$B$49+SQRT(D118*('Assumptions'!$D$49-'Assumptions'!$B$49)*('Assumptions'!$C$49-'Assumptions'!$B$49)),'Assumptions'!$D$49-SQRT((1-D118)*('Assumptions'!$D$49-'Assumptions'!$B$49)*('Assumptions'!$D$49-'Assumptions'!$C$49)))</x:f>
        <x:v>0.05940357679155893</x:v>
      </x:c>
      <x:c r="J118" s="132" t="n">
        <x:f>IF(E118&lt;(('Assumptions'!$C$50-'Assumptions'!$B$50)/('Assumptions'!$D$50-'Assumptions'!$B$50)),'Assumptions'!$B$50+SQRT(E118*('Assumptions'!$D$50-'Assumptions'!$B$50)*('Assumptions'!$C$50-'Assumptions'!$B$50)),'Assumptions'!$D$50-SQRT((1-E118)*('Assumptions'!$D$50-'Assumptions'!$B$50)*('Assumptions'!$D$50-'Assumptions'!$C$50)))</x:f>
        <x:v>0.07674719589387373</x:v>
      </x:c>
      <x:c r="K118" s="132" t="n">
        <x:f>IF(F118&lt;(('Assumptions'!$C$51-'Assumptions'!$B$51)/('Assumptions'!$D$51-'Assumptions'!$B$51)),'Assumptions'!$B$51+SQRT(F118*('Assumptions'!$D$51-'Assumptions'!$B$51)*('Assumptions'!$C$51-'Assumptions'!$B$51)),'Assumptions'!$D$51-SQRT((1-F118)*('Assumptions'!$D$51-'Assumptions'!$B$51)*('Assumptions'!$D$51-'Assumptions'!$C$51)))</x:f>
        <x:v>0.07859069609804756</x:v>
      </x:c>
      <x:c r="L118" s="133" t="n">
        <x:f>(('Assumptions'!$B$17*(1+G118)+'Assumptions'!$B$18)*(1-H118-'Assumptions'!$B$20)-SUM('Assumptions'!$B$21:$B$25)*(1+I118))-(('Assumptions'!$B$17*(1+G118)+'Assumptions'!$B$18)*(1-H118-'Assumptions'!$B$20)*'Assumptions'!$B$26)</x:f>
        <x:v>197116.7482684038</x:v>
      </x:c>
      <x:c r="M118" s="133" t="n">
        <x:f>'Assumptions'!$B$10*'Assumptions'!$B$33</x:f>
        <x:v>1950000</x:v>
      </x:c>
      <x:c r="N118" s="133" t="n">
        <x:f>-PMT(K118/12,'Assumptions'!$B$35*12,M118)*12</x:f>
        <x:v>169407.56917121756</x:v>
      </x:c>
      <x:c r="O118" s="133" t="n">
        <x:f>(L118*(1+'Assumptions'!$B$29)^('Assumptions'!$B$14/12)/J118)*(1-'Assumptions'!$B$42)-'Debt Schedule'!$F$9</x:f>
        <x:v>2798820.116141253</x:v>
      </x:c>
      <x:c r="P118" s="132" t="n">
        <x:f>((O118+(L118-N118-'Assumptions'!$B$27-'Assumptions'!$B$28)*('Assumptions'!$B$14/12))/ABS('Monthly Cash Flow'!$S$5))^(1/('Assumptions'!$B$14/12))-1</x:f>
        <x:v>0.16157207611493352</x:v>
      </x:c>
      <x:c r="Q118" s="133" t="n">
        <x:f>-ABS('Monthly Cash Flow'!$S$5)+((L118-N118-'Assumptions'!$B$27-'Assumptions'!$B$28)*(1-(1+'Assumptions'!$B$43)^-('Assumptions'!$B$14/12))/'Assumptions'!$B$43)+(O118/(1+'Assumptions'!$B$43)^('Assumptions'!$B$14/12))</x:f>
        <x:v>396755.2082554493</x:v>
      </x:c>
    </x:row>
    <x:row r="119">
      <x:c r="A119" s="131" t="n">
        <x:f>112</x:f>
        <x:v>112</x:v>
      </x:c>
      <x:c r="B119" s="131" t="n">
        <x:f>MOD(ABS(SIN((A119+1)*12.9898+78.233)*43758.5453),1)</x:f>
        <x:v>0.6332279291418672</x:v>
      </x:c>
      <x:c r="C119" s="131" t="n">
        <x:f>MOD(ABS(SIN((A119+2)*12.9898+78.233)*43758.5453),1)</x:f>
        <x:v>0.6200133380480111</x:v>
      </x:c>
      <x:c r="D119" s="131" t="n">
        <x:f>MOD(ABS(SIN((A119+3)*12.9898+78.233)*43758.5453),1)</x:f>
        <x:v>0.9623796104788198</x:v>
      </x:c>
      <x:c r="E119" s="131" t="n">
        <x:f>MOD(ABS(SIN((A119+4)*12.9898+78.233)*43758.5453),1)</x:f>
        <x:v>0.9146406721920357</x:v>
      </x:c>
      <x:c r="F119" s="131" t="n">
        <x:f>MOD(ABS(SIN((A119+5)*12.9898+78.233)*43758.5453),1)</x:f>
        <x:v>0.030190238561772276</x:v>
      </x:c>
      <x:c r="G119" s="132" t="n">
        <x:f>IF(B119&lt;(('Assumptions'!$C$47-'Assumptions'!$B$47)/('Assumptions'!$D$47-'Assumptions'!$B$47)),'Assumptions'!$B$47+SQRT(B119*('Assumptions'!$D$47-'Assumptions'!$B$47)*('Assumptions'!$C$47-'Assumptions'!$B$47)),'Assumptions'!$D$47-SQRT((1-B119)*('Assumptions'!$D$47-'Assumptions'!$B$47)*('Assumptions'!$D$47-'Assumptions'!$C$47)))</x:f>
        <x:v>0.02339482306181831</x:v>
      </x:c>
      <x:c r="H119" s="132" t="n">
        <x:f>IF(C119&lt;(('Assumptions'!$C$48-'Assumptions'!$B$48)/('Assumptions'!$D$48-'Assumptions'!$B$48)),'Assumptions'!$B$48+SQRT(C119*('Assumptions'!$D$48-'Assumptions'!$B$48)*('Assumptions'!$C$48-'Assumptions'!$B$48)),'Assumptions'!$D$48-SQRT((1-C119)*('Assumptions'!$D$48-'Assumptions'!$B$48)*('Assumptions'!$D$48-'Assumptions'!$C$48)))</x:f>
        <x:v>0.08217368570298206</x:v>
      </x:c>
      <x:c r="I119" s="132" t="n">
        <x:f>IF(D119&lt;(('Assumptions'!$C$49-'Assumptions'!$B$49)/('Assumptions'!$D$49-'Assumptions'!$B$49)),'Assumptions'!$B$49+SQRT(D119*('Assumptions'!$D$49-'Assumptions'!$B$49)*('Assumptions'!$C$49-'Assumptions'!$B$49)),'Assumptions'!$D$49-SQRT((1-D119)*('Assumptions'!$D$49-'Assumptions'!$B$49)*('Assumptions'!$D$49-'Assumptions'!$C$49)))</x:f>
        <x:v>0.1214938530548674</x:v>
      </x:c>
      <x:c r="J119" s="132" t="n">
        <x:f>IF(E119&lt;(('Assumptions'!$C$50-'Assumptions'!$B$50)/('Assumptions'!$D$50-'Assumptions'!$B$50)),'Assumptions'!$B$50+SQRT(E119*('Assumptions'!$D$50-'Assumptions'!$B$50)*('Assumptions'!$C$50-'Assumptions'!$B$50)),'Assumptions'!$D$50-SQRT((1-E119)*('Assumptions'!$D$50-'Assumptions'!$B$50)*('Assumptions'!$D$50-'Assumptions'!$C$50)))</x:f>
        <x:v>0.07510027440094959</x:v>
      </x:c>
      <x:c r="K119" s="132" t="n">
        <x:f>IF(F119&lt;(('Assumptions'!$C$51-'Assumptions'!$B$51)/('Assumptions'!$D$51-'Assumptions'!$B$51)),'Assumptions'!$B$51+SQRT(F119*('Assumptions'!$D$51-'Assumptions'!$B$51)*('Assumptions'!$C$51-'Assumptions'!$B$51)),'Assumptions'!$D$51-SQRT((1-F119)*('Assumptions'!$D$51-'Assumptions'!$B$51)*('Assumptions'!$D$51-'Assumptions'!$C$51)))</x:f>
        <x:v>0.06038137390917725</x:v>
      </x:c>
      <x:c r="L119" s="133" t="n">
        <x:f>(('Assumptions'!$B$17*(1+G119)+'Assumptions'!$B$18)*(1-H119-'Assumptions'!$B$20)-SUM('Assumptions'!$B$21:$B$25)*(1+I119))-(('Assumptions'!$B$17*(1+G119)+'Assumptions'!$B$18)*(1-H119-'Assumptions'!$B$20)*'Assumptions'!$B$26)</x:f>
        <x:v>195463.79092666024</x:v>
      </x:c>
      <x:c r="M119" s="133" t="n">
        <x:f>'Assumptions'!$B$10*'Assumptions'!$B$33</x:f>
        <x:v>1950000</x:v>
      </x:c>
      <x:c r="N119" s="133" t="n">
        <x:f>-PMT(K119/12,'Assumptions'!$B$35*12,M119)*12</x:f>
        <x:v>140869.08747464555</x:v>
      </x:c>
      <x:c r="O119" s="133" t="n">
        <x:f>(L119*(1+'Assumptions'!$B$29)^('Assumptions'!$B$14/12)/J119)*(1-'Assumptions'!$B$42)-'Debt Schedule'!$F$9</x:f>
        <x:v>2836212.5260868445</x:v>
      </x:c>
      <x:c r="P119" s="132" t="n">
        <x:f>((O119+(L119-N119-'Assumptions'!$B$27-'Assumptions'!$B$28)*('Assumptions'!$B$14/12))/ABS('Monthly Cash Flow'!$S$5))^(1/('Assumptions'!$B$14/12))-1</x:f>
        <x:v>0.17580117032784592</x:v>
      </x:c>
      <x:c r="Q119" s="133" t="n">
        <x:f>-ABS('Monthly Cash Flow'!$S$5)+((L119-N119-'Assumptions'!$B$27-'Assumptions'!$B$28)*(1-(1+'Assumptions'!$B$43)^-('Assumptions'!$B$14/12))/'Assumptions'!$B$43)+(O119/(1+'Assumptions'!$B$43)^('Assumptions'!$B$14/12))</x:f>
        <x:v>521890.24292412866</x:v>
      </x:c>
    </x:row>
    <x:row r="120">
      <x:c r="A120" s="131" t="n">
        <x:f>113</x:f>
        <x:v>113</x:v>
      </x:c>
      <x:c r="B120" s="131" t="n">
        <x:f>MOD(ABS(SIN((A120+1)*12.9898+78.233)*43758.5453),1)</x:f>
        <x:v>0.6200133380480111</x:v>
      </x:c>
      <x:c r="C120" s="131" t="n">
        <x:f>MOD(ABS(SIN((A120+2)*12.9898+78.233)*43758.5453),1)</x:f>
        <x:v>0.9623796104788198</x:v>
      </x:c>
      <x:c r="D120" s="131" t="n">
        <x:f>MOD(ABS(SIN((A120+3)*12.9898+78.233)*43758.5453),1)</x:f>
        <x:v>0.9146406721920357</x:v>
      </x:c>
      <x:c r="E120" s="131" t="n">
        <x:f>MOD(ABS(SIN((A120+4)*12.9898+78.233)*43758.5453),1)</x:f>
        <x:v>0.030190238561772276</x:v>
      </x:c>
      <x:c r="F120" s="131" t="n">
        <x:f>MOD(ABS(SIN((A120+5)*12.9898+78.233)*43758.5453),1)</x:f>
        <x:v>0.8189284508189303</x:v>
      </x:c>
      <x:c r="G120" s="132" t="n">
        <x:f>IF(B120&lt;(('Assumptions'!$C$47-'Assumptions'!$B$47)/('Assumptions'!$D$47-'Assumptions'!$B$47)),'Assumptions'!$B$47+SQRT(B120*('Assumptions'!$D$47-'Assumptions'!$B$47)*('Assumptions'!$C$47-'Assumptions'!$B$47)),'Assumptions'!$D$47-SQRT((1-B120)*('Assumptions'!$D$47-'Assumptions'!$B$47)*('Assumptions'!$D$47-'Assumptions'!$C$47)))</x:f>
        <x:v>0.022027013708388568</x:v>
      </x:c>
      <x:c r="H120" s="132" t="n">
        <x:f>IF(C120&lt;(('Assumptions'!$C$48-'Assumptions'!$B$48)/('Assumptions'!$D$48-'Assumptions'!$B$48)),'Assumptions'!$B$48+SQRT(C120*('Assumptions'!$D$48-'Assumptions'!$B$48)*('Assumptions'!$C$48-'Assumptions'!$B$48)),'Assumptions'!$D$48-SQRT((1-C120)*('Assumptions'!$D$48-'Assumptions'!$B$48)*('Assumptions'!$D$48-'Assumptions'!$C$48)))</x:f>
        <x:v>0.12180496145136303</x:v>
      </x:c>
      <x:c r="I120" s="132" t="n">
        <x:f>IF(D120&lt;(('Assumptions'!$C$49-'Assumptions'!$B$49)/('Assumptions'!$D$49-'Assumptions'!$B$49)),'Assumptions'!$B$49+SQRT(D120*('Assumptions'!$D$49-'Assumptions'!$B$49)*('Assumptions'!$C$49-'Assumptions'!$B$49)),'Assumptions'!$D$49-SQRT((1-D120)*('Assumptions'!$D$49-'Assumptions'!$B$49)*('Assumptions'!$D$49-'Assumptions'!$C$49)))</x:f>
        <x:v>0.10706095622103318</x:v>
      </x:c>
      <x:c r="J120" s="132" t="n">
        <x:f>IF(E120&lt;(('Assumptions'!$C$50-'Assumptions'!$B$50)/('Assumptions'!$D$50-'Assumptions'!$B$50)),'Assumptions'!$B$50+SQRT(E120*('Assumptions'!$D$50-'Assumptions'!$B$50)*('Assumptions'!$C$50-'Assumptions'!$B$50)),'Assumptions'!$D$50-SQRT((1-E120)*('Assumptions'!$D$50-'Assumptions'!$B$50)*('Assumptions'!$D$50-'Assumptions'!$C$50)))</x:f>
        <x:v>0.06010630076476196</x:v>
      </x:c>
      <x:c r="K120" s="132" t="n">
        <x:f>IF(F120&lt;(('Assumptions'!$C$51-'Assumptions'!$B$51)/('Assumptions'!$D$51-'Assumptions'!$B$51)),'Assumptions'!$B$51+SQRT(F120*('Assumptions'!$D$51-'Assumptions'!$B$51)*('Assumptions'!$C$51-'Assumptions'!$B$51)),'Assumptions'!$D$51-SQRT((1-F120)*('Assumptions'!$D$51-'Assumptions'!$B$51)*('Assumptions'!$D$51-'Assumptions'!$C$51)))</x:f>
        <x:v>0.07566508259043554</x:v>
      </x:c>
      <x:c r="L120" s="133" t="n">
        <x:f>(('Assumptions'!$B$17*(1+G120)+'Assumptions'!$B$18)*(1-H120-'Assumptions'!$B$20)-SUM('Assumptions'!$B$21:$B$25)*(1+I120))-(('Assumptions'!$B$17*(1+G120)+'Assumptions'!$B$18)*(1-H120-'Assumptions'!$B$20)*'Assumptions'!$B$26)</x:f>
        <x:v>182170.10103649332</x:v>
      </x:c>
      <x:c r="M120" s="133" t="n">
        <x:f>'Assumptions'!$B$10*'Assumptions'!$B$33</x:f>
        <x:v>1950000</x:v>
      </x:c>
      <x:c r="N120" s="133" t="n">
        <x:f>-PMT(K120/12,'Assumptions'!$B$35*12,M120)*12</x:f>
        <x:v>164683.18736185317</x:v>
      </x:c>
      <x:c r="O120" s="133" t="n">
        <x:f>(L120*(1+'Assumptions'!$B$29)^('Assumptions'!$B$14/12)/J120)*(1-'Assumptions'!$B$42)-'Debt Schedule'!$F$9</x:f>
        <x:v>3302714.8269611425</x:v>
      </x:c>
      <x:c r="P120" s="132" t="n">
        <x:f>((O120+(L120-N120-'Assumptions'!$B$27-'Assumptions'!$B$28)*('Assumptions'!$B$14/12))/ABS('Monthly Cash Flow'!$S$5))^(1/('Assumptions'!$B$14/12))-1</x:f>
        <x:v>0.19768274678322628</x:v>
      </x:c>
      <x:c r="Q120" s="133" t="n">
        <x:f>-ABS('Monthly Cash Flow'!$S$5)+((L120-N120-'Assumptions'!$B$27-'Assumptions'!$B$28)*(1-(1+'Assumptions'!$B$43)^-('Assumptions'!$B$14/12))/'Assumptions'!$B$43)+(O120/(1+'Assumptions'!$B$43)^('Assumptions'!$B$14/12))</x:f>
        <x:v>670883.7502630763</x:v>
      </x:c>
    </x:row>
    <x:row r="121">
      <x:c r="A121" s="131" t="n">
        <x:f>114</x:f>
        <x:v>114</x:v>
      </x:c>
      <x:c r="B121" s="131" t="n">
        <x:f>MOD(ABS(SIN((A121+1)*12.9898+78.233)*43758.5453),1)</x:f>
        <x:v>0.9623796104788198</x:v>
      </x:c>
      <x:c r="C121" s="131" t="n">
        <x:f>MOD(ABS(SIN((A121+2)*12.9898+78.233)*43758.5453),1)</x:f>
        <x:v>0.9146406721920357</x:v>
      </x:c>
      <x:c r="D121" s="131" t="n">
        <x:f>MOD(ABS(SIN((A121+3)*12.9898+78.233)*43758.5453),1)</x:f>
        <x:v>0.030190238561772276</x:v>
      </x:c>
      <x:c r="E121" s="131" t="n">
        <x:f>MOD(ABS(SIN((A121+4)*12.9898+78.233)*43758.5453),1)</x:f>
        <x:v>0.8189284508189303</x:v>
      </x:c>
      <x:c r="F121" s="131" t="n">
        <x:f>MOD(ABS(SIN((A121+5)*12.9898+78.233)*43758.5453),1)</x:f>
        <x:v>0.9026492532984776</x:v>
      </x:c>
      <x:c r="G121" s="132" t="n">
        <x:f>IF(B121&lt;(('Assumptions'!$C$47-'Assumptions'!$B$47)/('Assumptions'!$D$47-'Assumptions'!$B$47)),'Assumptions'!$B$47+SQRT(B121*('Assumptions'!$D$47-'Assumptions'!$B$47)*('Assumptions'!$C$47-'Assumptions'!$B$47)),'Assumptions'!$D$47-SQRT((1-B121)*('Assumptions'!$D$47-'Assumptions'!$B$47)*('Assumptions'!$D$47-'Assumptions'!$C$47)))</x:f>
        <x:v>0.07546581502599113</x:v>
      </x:c>
      <x:c r="H121" s="132" t="n">
        <x:f>IF(C121&lt;(('Assumptions'!$C$48-'Assumptions'!$B$48)/('Assumptions'!$D$48-'Assumptions'!$B$48)),'Assumptions'!$B$48+SQRT(C121*('Assumptions'!$D$48-'Assumptions'!$B$48)*('Assumptions'!$C$48-'Assumptions'!$B$48)),'Assumptions'!$D$48-SQRT((1-C121)*('Assumptions'!$D$48-'Assumptions'!$B$48)*('Assumptions'!$D$48-'Assumptions'!$C$48)))</x:f>
        <x:v>0.11259266366992068</x:v>
      </x:c>
      <x:c r="I121" s="132" t="n">
        <x:f>IF(D121&lt;(('Assumptions'!$C$49-'Assumptions'!$B$49)/('Assumptions'!$D$49-'Assumptions'!$B$49)),'Assumptions'!$B$49+SQRT(D121*('Assumptions'!$D$49-'Assumptions'!$B$49)*('Assumptions'!$C$49-'Assumptions'!$B$49)),'Assumptions'!$D$49-SQRT((1-D121)*('Assumptions'!$D$49-'Assumptions'!$B$49)*('Assumptions'!$D$49-'Assumptions'!$C$49)))</x:f>
        <x:v>-0.011943018622506678</x:v>
      </x:c>
      <x:c r="J121" s="132" t="n">
        <x:f>IF(E121&lt;(('Assumptions'!$C$50-'Assumptions'!$B$50)/('Assumptions'!$D$50-'Assumptions'!$B$50)),'Assumptions'!$B$50+SQRT(E121*('Assumptions'!$D$50-'Assumptions'!$B$50)*('Assumptions'!$C$50-'Assumptions'!$B$50)),'Assumptions'!$D$50-SQRT((1-E121)*('Assumptions'!$D$50-'Assumptions'!$B$50)*('Assumptions'!$D$50-'Assumptions'!$C$50)))</x:f>
        <x:v>0.07286372833986991</x:v>
      </x:c>
      <x:c r="K121" s="132" t="n">
        <x:f>IF(F121&lt;(('Assumptions'!$C$51-'Assumptions'!$B$51)/('Assumptions'!$D$51-'Assumptions'!$B$51)),'Assumptions'!$B$51+SQRT(F121*('Assumptions'!$D$51-'Assumptions'!$B$51)*('Assumptions'!$C$51-'Assumptions'!$B$51)),'Assumptions'!$D$51-SQRT((1-F121)*('Assumptions'!$D$51-'Assumptions'!$B$51)*('Assumptions'!$D$51-'Assumptions'!$C$51)))</x:f>
        <x:v>0.07815529059418096</x:v>
      </x:c>
      <x:c r="L121" s="133" t="n">
        <x:f>(('Assumptions'!$B$17*(1+G121)+'Assumptions'!$B$18)*(1-H121-'Assumptions'!$B$20)-SUM('Assumptions'!$B$21:$B$25)*(1+I121))-(('Assumptions'!$B$17*(1+G121)+'Assumptions'!$B$18)*(1-H121-'Assumptions'!$B$20)*'Assumptions'!$B$26)</x:f>
        <x:v>216782.04272208948</x:v>
      </x:c>
      <x:c r="M121" s="133" t="n">
        <x:f>'Assumptions'!$B$10*'Assumptions'!$B$33</x:f>
        <x:v>1950000</x:v>
      </x:c>
      <x:c r="N121" s="133" t="n">
        <x:f>-PMT(K121/12,'Assumptions'!$B$35*12,M121)*12</x:f>
        <x:v>168701.32239727146</x:v>
      </x:c>
      <x:c r="O121" s="133" t="n">
        <x:f>(L121*(1+'Assumptions'!$B$29)^('Assumptions'!$B$14/12)/J121)*(1-'Assumptions'!$B$42)-'Debt Schedule'!$F$9</x:f>
        <x:v>3242096.1590866116</x:v>
      </x:c>
      <x:c r="P121" s="132" t="n">
        <x:f>((O121+(L121-N121-'Assumptions'!$B$27-'Assumptions'!$B$28)*('Assumptions'!$B$14/12))/ABS('Monthly Cash Flow'!$S$5))^(1/('Assumptions'!$B$14/12))-1</x:f>
        <x:v>0.20453806731188307</x:v>
      </x:c>
      <x:c r="Q121" s="133" t="n">
        <x:f>-ABS('Monthly Cash Flow'!$S$5)+((L121-N121-'Assumptions'!$B$27-'Assumptions'!$B$28)*(1-(1+'Assumptions'!$B$43)^-('Assumptions'!$B$14/12))/'Assumptions'!$B$43)+(O121/(1+'Assumptions'!$B$43)^('Assumptions'!$B$14/12))</x:f>
        <x:v>749218.9242796735</x:v>
      </x:c>
    </x:row>
    <x:row r="122">
      <x:c r="A122" s="131" t="n">
        <x:f>115</x:f>
        <x:v>115</x:v>
      </x:c>
      <x:c r="B122" s="131" t="n">
        <x:f>MOD(ABS(SIN((A122+1)*12.9898+78.233)*43758.5453),1)</x:f>
        <x:v>0.9146406721920357</x:v>
      </x:c>
      <x:c r="C122" s="131" t="n">
        <x:f>MOD(ABS(SIN((A122+2)*12.9898+78.233)*43758.5453),1)</x:f>
        <x:v>0.030190238561772276</x:v>
      </x:c>
      <x:c r="D122" s="131" t="n">
        <x:f>MOD(ABS(SIN((A122+3)*12.9898+78.233)*43758.5453),1)</x:f>
        <x:v>0.8189284508189303</x:v>
      </x:c>
      <x:c r="E122" s="131" t="n">
        <x:f>MOD(ABS(SIN((A122+4)*12.9898+78.233)*43758.5453),1)</x:f>
        <x:v>0.9026492532984776</x:v>
      </x:c>
      <x:c r="F122" s="131" t="n">
        <x:f>MOD(ABS(SIN((A122+5)*12.9898+78.233)*43758.5453),1)</x:f>
        <x:v>0.6825837153428438</x:v>
      </x:c>
      <x:c r="G122" s="132" t="n">
        <x:f>IF(B122&lt;(('Assumptions'!$C$47-'Assumptions'!$B$47)/('Assumptions'!$D$47-'Assumptions'!$B$47)),'Assumptions'!$B$47+SQRT(B122*('Assumptions'!$D$47-'Assumptions'!$B$47)*('Assumptions'!$C$47-'Assumptions'!$B$47)),'Assumptions'!$D$47-SQRT((1-B122)*('Assumptions'!$D$47-'Assumptions'!$B$47)*('Assumptions'!$D$47-'Assumptions'!$C$47)))</x:f>
        <x:v>0.06304395523155341</x:v>
      </x:c>
      <x:c r="H122" s="132" t="n">
        <x:f>IF(C122&lt;(('Assumptions'!$C$48-'Assumptions'!$B$48)/('Assumptions'!$D$48-'Assumptions'!$B$48)),'Assumptions'!$B$48+SQRT(C122*('Assumptions'!$D$48-'Assumptions'!$B$48)*('Assumptions'!$C$48-'Assumptions'!$B$48)),'Assumptions'!$D$48-SQRT((1-C122)*('Assumptions'!$D$48-'Assumptions'!$B$48)*('Assumptions'!$D$48-'Assumptions'!$C$48)))</x:f>
        <x:v>0.03998137201259669</x:v>
      </x:c>
      <x:c r="I122" s="132" t="n">
        <x:f>IF(D122&lt;(('Assumptions'!$C$49-'Assumptions'!$B$49)/('Assumptions'!$D$49-'Assumptions'!$B$49)),'Assumptions'!$B$49+SQRT(D122*('Assumptions'!$D$49-'Assumptions'!$B$49)*('Assumptions'!$C$49-'Assumptions'!$B$49)),'Assumptions'!$D$49-SQRT((1-D122)*('Assumptions'!$D$49-'Assumptions'!$B$49)*('Assumptions'!$D$49-'Assumptions'!$C$49)))</x:f>
        <x:v>0.08746084856419056</x:v>
      </x:c>
      <x:c r="J122" s="132" t="n">
        <x:f>IF(E122&lt;(('Assumptions'!$C$50-'Assumptions'!$B$50)/('Assumptions'!$D$50-'Assumptions'!$B$50)),'Assumptions'!$B$50+SQRT(E122*('Assumptions'!$D$50-'Assumptions'!$B$50)*('Assumptions'!$C$50-'Assumptions'!$B$50)),'Assumptions'!$D$50-SQRT((1-E122)*('Assumptions'!$D$50-'Assumptions'!$B$50)*('Assumptions'!$D$50-'Assumptions'!$C$50)))</x:f>
        <x:v>0.07476741961267644</x:v>
      </x:c>
      <x:c r="K122" s="132" t="n">
        <x:f>IF(F122&lt;(('Assumptions'!$C$51-'Assumptions'!$B$51)/('Assumptions'!$D$51-'Assumptions'!$B$51)),'Assumptions'!$B$51+SQRT(F122*('Assumptions'!$D$51-'Assumptions'!$B$51)*('Assumptions'!$C$51-'Assumptions'!$B$51)),'Assumptions'!$D$51-SQRT((1-F122)*('Assumptions'!$D$51-'Assumptions'!$B$51)*('Assumptions'!$D$51-'Assumptions'!$C$51)))</x:f>
        <x:v>0.0726405264274219</x:v>
      </x:c>
      <x:c r="L122" s="133" t="n">
        <x:f>(('Assumptions'!$B$17*(1+G122)+'Assumptions'!$B$18)*(1-H122-'Assumptions'!$B$20)-SUM('Assumptions'!$B$21:$B$25)*(1+I122))-(('Assumptions'!$B$17*(1+G122)+'Assumptions'!$B$18)*(1-H122-'Assumptions'!$B$20)*'Assumptions'!$B$26)</x:f>
        <x:v>228421.69005302506</x:v>
      </x:c>
      <x:c r="M122" s="133" t="n">
        <x:f>'Assumptions'!$B$10*'Assumptions'!$B$33</x:f>
        <x:v>1950000</x:v>
      </x:c>
      <x:c r="N122" s="133" t="n">
        <x:f>-PMT(K122/12,'Assumptions'!$B$35*12,M122)*12</x:f>
        <x:v>159852.34811659827</x:v>
      </x:c>
      <x:c r="O122" s="133" t="n">
        <x:f>(L122*(1+'Assumptions'!$B$29)^('Assumptions'!$B$14/12)/J122)*(1-'Assumptions'!$B$42)-'Debt Schedule'!$F$9</x:f>
        <x:v>3329192.6346871564</x:v>
      </x:c>
      <x:c r="P122" s="132" t="n">
        <x:f>((O122+(L122-N122-'Assumptions'!$B$27-'Assumptions'!$B$28)*('Assumptions'!$B$14/12))/ABS('Monthly Cash Flow'!$S$5))^(1/('Assumptions'!$B$14/12))-1</x:f>
        <x:v>0.21813807104583982</x:v>
      </x:c>
      <x:c r="Q122" s="133" t="n">
        <x:f>-ABS('Monthly Cash Flow'!$S$5)+((L122-N122-'Assumptions'!$B$27-'Assumptions'!$B$28)*(1-(1+'Assumptions'!$B$43)^-('Assumptions'!$B$14/12))/'Assumptions'!$B$43)+(O122/(1+'Assumptions'!$B$43)^('Assumptions'!$B$14/12))</x:f>
        <x:v>880966.9788720559</x:v>
      </x:c>
    </x:row>
    <x:row r="123">
      <x:c r="A123" s="131" t="n">
        <x:f>116</x:f>
        <x:v>116</x:v>
      </x:c>
      <x:c r="B123" s="131" t="n">
        <x:f>MOD(ABS(SIN((A123+1)*12.9898+78.233)*43758.5453),1)</x:f>
        <x:v>0.030190238561772276</x:v>
      </x:c>
      <x:c r="C123" s="131" t="n">
        <x:f>MOD(ABS(SIN((A123+2)*12.9898+78.233)*43758.5453),1)</x:f>
        <x:v>0.8189284508189303</x:v>
      </x:c>
      <x:c r="D123" s="131" t="n">
        <x:f>MOD(ABS(SIN((A123+3)*12.9898+78.233)*43758.5453),1)</x:f>
        <x:v>0.9026492532984776</x:v>
      </x:c>
      <x:c r="E123" s="131" t="n">
        <x:f>MOD(ABS(SIN((A123+4)*12.9898+78.233)*43758.5453),1)</x:f>
        <x:v>0.6825837153428438</x:v>
      </x:c>
      <x:c r="F123" s="131" t="n">
        <x:f>MOD(ABS(SIN((A123+5)*12.9898+78.233)*43758.5453),1)</x:f>
        <x:v>0.8516825708647957</x:v>
      </x:c>
      <x:c r="G123" s="132" t="n">
        <x:f>IF(B123&lt;(('Assumptions'!$C$47-'Assumptions'!$B$47)/('Assumptions'!$D$47-'Assumptions'!$B$47)),'Assumptions'!$B$47+SQRT(B123*('Assumptions'!$D$47-'Assumptions'!$B$47)*('Assumptions'!$C$47-'Assumptions'!$B$47)),'Assumptions'!$D$47-SQRT((1-B123)*('Assumptions'!$D$47-'Assumptions'!$B$47)*('Assumptions'!$D$47-'Assumptions'!$C$47)))</x:f>
        <x:v>-0.07308224144765144</x:v>
      </x:c>
      <x:c r="H123" s="132" t="n">
        <x:f>IF(C123&lt;(('Assumptions'!$C$48-'Assumptions'!$B$48)/('Assumptions'!$D$48-'Assumptions'!$B$48)),'Assumptions'!$B$48+SQRT(C123*('Assumptions'!$D$48-'Assumptions'!$B$48)*('Assumptions'!$C$48-'Assumptions'!$B$48)),'Assumptions'!$D$48-SQRT((1-C123)*('Assumptions'!$D$48-'Assumptions'!$B$48)*('Assumptions'!$D$48-'Assumptions'!$C$48)))</x:f>
        <x:v>0.10008221407951823</x:v>
      </x:c>
      <x:c r="I123" s="132" t="n">
        <x:f>IF(D123&lt;(('Assumptions'!$C$49-'Assumptions'!$B$49)/('Assumptions'!$D$49-'Assumptions'!$B$49)),'Assumptions'!$B$49+SQRT(D123*('Assumptions'!$D$49-'Assumptions'!$B$49)*('Assumptions'!$C$49-'Assumptions'!$B$49)),'Assumptions'!$D$49-SQRT((1-D123)*('Assumptions'!$D$49-'Assumptions'!$B$49)*('Assumptions'!$D$49-'Assumptions'!$C$49)))</x:f>
        <x:v>0.10414396300646026</x:v>
      </x:c>
      <x:c r="J123" s="132" t="n">
        <x:f>IF(E123&lt;(('Assumptions'!$C$50-'Assumptions'!$B$50)/('Assumptions'!$D$50-'Assumptions'!$B$50)),'Assumptions'!$B$50+SQRT(E123*('Assumptions'!$D$50-'Assumptions'!$B$50)*('Assumptions'!$C$50-'Assumptions'!$B$50)),'Assumptions'!$D$50-SQRT((1-E123)*('Assumptions'!$D$50-'Assumptions'!$B$50)*('Assumptions'!$D$50-'Assumptions'!$C$50)))</x:f>
        <x:v>0.07055154350913202</x:v>
      </x:c>
      <x:c r="K123" s="132" t="n">
        <x:f>IF(F123&lt;(('Assumptions'!$C$51-'Assumptions'!$B$51)/('Assumptions'!$D$51-'Assumptions'!$B$51)),'Assumptions'!$B$51+SQRT(F123*('Assumptions'!$D$51-'Assumptions'!$B$51)*('Assumptions'!$C$51-'Assumptions'!$B$51)),'Assumptions'!$D$51-SQRT((1-F123)*('Assumptions'!$D$51-'Assumptions'!$B$51)*('Assumptions'!$D$51-'Assumptions'!$C$51)))</x:f>
        <x:v>0.0765514638681416</x:v>
      </x:c>
      <x:c r="L123" s="133" t="n">
        <x:f>(('Assumptions'!$B$17*(1+G123)+'Assumptions'!$B$18)*(1-H123-'Assumptions'!$B$20)-SUM('Assumptions'!$B$21:$B$25)*(1+I123))-(('Assumptions'!$B$17*(1+G123)+'Assumptions'!$B$18)*(1-H123-'Assumptions'!$B$20)*'Assumptions'!$B$26)</x:f>
        <x:v>161334.3751618869</x:v>
      </x:c>
      <x:c r="M123" s="133" t="n">
        <x:f>'Assumptions'!$B$10*'Assumptions'!$B$33</x:f>
        <x:v>1950000</x:v>
      </x:c>
      <x:c r="N123" s="133" t="n">
        <x:f>-PMT(K123/12,'Assumptions'!$B$35*12,M123)*12</x:f>
        <x:v>166109.27812694764</x:v>
      </x:c>
      <x:c r="O123" s="133" t="n">
        <x:f>(L123*(1+'Assumptions'!$B$29)^('Assumptions'!$B$14/12)/J123)*(1-'Assumptions'!$B$42)-'Debt Schedule'!$F$9</x:f>
        <x:v>2491921.567820769</x:v>
      </x:c>
      <x:c r="P123" s="132" t="n">
        <x:f>((O123+(L123-N123-'Assumptions'!$B$27-'Assumptions'!$B$28)*('Assumptions'!$B$14/12))/ABS('Monthly Cash Flow'!$S$5))^(1/('Assumptions'!$B$14/12))-1</x:f>
        <x:v>0.11869063149900372</x:v>
      </x:c>
      <x:c r="Q123" s="133" t="n">
        <x:f>-ABS('Monthly Cash Flow'!$S$5)+((L123-N123-'Assumptions'!$B$27-'Assumptions'!$B$28)*(1-(1+'Assumptions'!$B$43)^-('Assumptions'!$B$14/12))/'Assumptions'!$B$43)+(O123/(1+'Assumptions'!$B$43)^('Assumptions'!$B$14/12))</x:f>
        <x:v>83055.12708941614</x:v>
      </x:c>
    </x:row>
    <x:row r="124">
      <x:c r="A124" s="131" t="n">
        <x:f>117</x:f>
        <x:v>117</x:v>
      </x:c>
      <x:c r="B124" s="131" t="n">
        <x:f>MOD(ABS(SIN((A124+1)*12.9898+78.233)*43758.5453),1)</x:f>
        <x:v>0.8189284508189303</x:v>
      </x:c>
      <x:c r="C124" s="131" t="n">
        <x:f>MOD(ABS(SIN((A124+2)*12.9898+78.233)*43758.5453),1)</x:f>
        <x:v>0.9026492532984776</x:v>
      </x:c>
      <x:c r="D124" s="131" t="n">
        <x:f>MOD(ABS(SIN((A124+3)*12.9898+78.233)*43758.5453),1)</x:f>
        <x:v>0.6825837153428438</x:v>
      </x:c>
      <x:c r="E124" s="131" t="n">
        <x:f>MOD(ABS(SIN((A124+4)*12.9898+78.233)*43758.5453),1)</x:f>
        <x:v>0.8516825708647957</x:v>
      </x:c>
      <x:c r="F124" s="131" t="n">
        <x:f>MOD(ABS(SIN((A124+5)*12.9898+78.233)*43758.5453),1)</x:f>
        <x:v>0.001836882707721088</x:v>
      </x:c>
      <x:c r="G124" s="132" t="n">
        <x:f>IF(B124&lt;(('Assumptions'!$C$47-'Assumptions'!$B$47)/('Assumptions'!$D$47-'Assumptions'!$B$47)),'Assumptions'!$B$47+SQRT(B124*('Assumptions'!$D$47-'Assumptions'!$B$47)*('Assumptions'!$C$47-'Assumptions'!$B$47)),'Assumptions'!$D$47-SQRT((1-B124)*('Assumptions'!$D$47-'Assumptions'!$B$47)*('Assumptions'!$D$47-'Assumptions'!$C$47)))</x:f>
        <x:v>0.046174868445148086</x:v>
      </x:c>
      <x:c r="H124" s="132" t="n">
        <x:f>IF(C124&lt;(('Assumptions'!$C$48-'Assumptions'!$B$48)/('Assumptions'!$D$48-'Assumptions'!$B$48)),'Assumptions'!$B$48+SQRT(C124*('Assumptions'!$D$48-'Assumptions'!$B$48)*('Assumptions'!$C$48-'Assumptions'!$B$48)),'Assumptions'!$D$48-SQRT((1-C124)*('Assumptions'!$D$48-'Assumptions'!$B$48)*('Assumptions'!$D$48-'Assumptions'!$C$48)))</x:f>
        <x:v>0.11073079141873841</x:v>
      </x:c>
      <x:c r="I124" s="132" t="n">
        <x:f>IF(D124&lt;(('Assumptions'!$C$49-'Assumptions'!$B$49)/('Assumptions'!$D$49-'Assumptions'!$B$49)),'Assumptions'!$B$49+SQRT(D124*('Assumptions'!$D$49-'Assumptions'!$B$49)*('Assumptions'!$C$49-'Assumptions'!$B$49)),'Assumptions'!$D$49-SQRT((1-D124)*('Assumptions'!$D$49-'Assumptions'!$B$49)*('Assumptions'!$D$49-'Assumptions'!$C$49)))</x:f>
        <x:v>0.06719787594152808</x:v>
      </x:c>
      <x:c r="J124" s="132" t="n">
        <x:f>IF(E124&lt;(('Assumptions'!$C$50-'Assumptions'!$B$50)/('Assumptions'!$D$50-'Assumptions'!$B$50)),'Assumptions'!$B$50+SQRT(E124*('Assumptions'!$D$50-'Assumptions'!$B$50)*('Assumptions'!$C$50-'Assumptions'!$B$50)),'Assumptions'!$D$50-SQRT((1-E124)*('Assumptions'!$D$50-'Assumptions'!$B$50)*('Assumptions'!$D$50-'Assumptions'!$C$50)))</x:f>
        <x:v>0.0735413409329586</x:v>
      </x:c>
      <x:c r="K124" s="132" t="n">
        <x:f>IF(F124&lt;(('Assumptions'!$C$51-'Assumptions'!$B$51)/('Assumptions'!$D$51-'Assumptions'!$B$51)),'Assumptions'!$B$51+SQRT(F124*('Assumptions'!$D$51-'Assumptions'!$B$51)*('Assumptions'!$C$51-'Assumptions'!$B$51)),'Assumptions'!$D$51-SQRT((1-F124)*('Assumptions'!$D$51-'Assumptions'!$B$51)*('Assumptions'!$D$51-'Assumptions'!$C$51)))</x:f>
        <x:v>0.05821073394784779</x:v>
      </x:c>
      <x:c r="L124" s="133" t="n">
        <x:f>(('Assumptions'!$B$17*(1+G124)+'Assumptions'!$B$18)*(1-H124-'Assumptions'!$B$20)-SUM('Assumptions'!$B$21:$B$25)*(1+I124))-(('Assumptions'!$B$17*(1+G124)+'Assumptions'!$B$18)*(1-H124-'Assumptions'!$B$20)*'Assumptions'!$B$26)</x:f>
        <x:v>198633.68643712383</x:v>
      </x:c>
      <x:c r="M124" s="133" t="n">
        <x:f>'Assumptions'!$B$10*'Assumptions'!$B$33</x:f>
        <x:v>1950000</x:v>
      </x:c>
      <x:c r="N124" s="133" t="n">
        <x:f>-PMT(K124/12,'Assumptions'!$B$35*12,M124)*12</x:f>
        <x:v>137614.3927774371</x:v>
      </x:c>
      <x:c r="O124" s="133" t="n">
        <x:f>(L124*(1+'Assumptions'!$B$29)^('Assumptions'!$B$14/12)/J124)*(1-'Assumptions'!$B$42)-'Debt Schedule'!$F$9</x:f>
        <x:v>2943305.4557485557</x:v>
      </x:c>
      <x:c r="P124" s="132" t="n">
        <x:f>((O124+(L124-N124-'Assumptions'!$B$27-'Assumptions'!$B$28)*('Assumptions'!$B$14/12))/ABS('Monthly Cash Flow'!$S$5))^(1/('Assumptions'!$B$14/12))-1</x:f>
        <x:v>0.18684508183250026</x:v>
      </x:c>
      <x:c r="Q124" s="133" t="n">
        <x:f>-ABS('Monthly Cash Flow'!$S$5)+((L124-N124-'Assumptions'!$B$27-'Assumptions'!$B$28)*(1-(1+'Assumptions'!$B$43)^-('Assumptions'!$B$14/12))/'Assumptions'!$B$43)+(O124/(1+'Assumptions'!$B$43)^('Assumptions'!$B$14/12))</x:f>
        <x:v>612740.7780580737</x:v>
      </x:c>
    </x:row>
    <x:row r="125">
      <x:c r="A125" s="131" t="n">
        <x:f>118</x:f>
        <x:v>118</x:v>
      </x:c>
      <x:c r="B125" s="131" t="n">
        <x:f>MOD(ABS(SIN((A125+1)*12.9898+78.233)*43758.5453),1)</x:f>
        <x:v>0.9026492532984776</x:v>
      </x:c>
      <x:c r="C125" s="131" t="n">
        <x:f>MOD(ABS(SIN((A125+2)*12.9898+78.233)*43758.5453),1)</x:f>
        <x:v>0.6825837153428438</x:v>
      </x:c>
      <x:c r="D125" s="131" t="n">
        <x:f>MOD(ABS(SIN((A125+3)*12.9898+78.233)*43758.5453),1)</x:f>
        <x:v>0.8516825708647957</x:v>
      </x:c>
      <x:c r="E125" s="131" t="n">
        <x:f>MOD(ABS(SIN((A125+4)*12.9898+78.233)*43758.5453),1)</x:f>
        <x:v>0.001836882707721088</x:v>
      </x:c>
      <x:c r="F125" s="131" t="n">
        <x:f>MOD(ABS(SIN((A125+5)*12.9898+78.233)*43758.5453),1)</x:f>
        <x:v>0.40727389928360935</x:v>
      </x:c>
      <x:c r="G125" s="132" t="n">
        <x:f>IF(B125&lt;(('Assumptions'!$C$47-'Assumptions'!$B$47)/('Assumptions'!$D$47-'Assumptions'!$B$47)),'Assumptions'!$B$47+SQRT(B125*('Assumptions'!$D$47-'Assumptions'!$B$47)*('Assumptions'!$C$47-'Assumptions'!$B$47)),'Assumptions'!$D$47-SQRT((1-B125)*('Assumptions'!$D$47-'Assumptions'!$B$47)*('Assumptions'!$D$47-'Assumptions'!$C$47)))</x:f>
        <x:v>0.06053340720021098</x:v>
      </x:c>
      <x:c r="H125" s="132" t="n">
        <x:f>IF(C125&lt;(('Assumptions'!$C$48-'Assumptions'!$B$48)/('Assumptions'!$D$48-'Assumptions'!$B$48)),'Assumptions'!$B$48+SQRT(C125*('Assumptions'!$D$48-'Assumptions'!$B$48)*('Assumptions'!$C$48-'Assumptions'!$B$48)),'Assumptions'!$D$48-SQRT((1-C125)*('Assumptions'!$D$48-'Assumptions'!$B$48)*('Assumptions'!$D$48-'Assumptions'!$C$48)))</x:f>
        <x:v>0.08714866789774382</x:v>
      </x:c>
      <x:c r="I125" s="132" t="n">
        <x:f>IF(D125&lt;(('Assumptions'!$C$49-'Assumptions'!$B$49)/('Assumptions'!$D$49-'Assumptions'!$B$49)),'Assumptions'!$B$49+SQRT(D125*('Assumptions'!$D$49-'Assumptions'!$B$49)*('Assumptions'!$C$49-'Assumptions'!$B$49)),'Assumptions'!$D$49-SQRT((1-D125)*('Assumptions'!$D$49-'Assumptions'!$B$49)*('Assumptions'!$D$49-'Assumptions'!$C$49)))</x:f>
        <x:v>0.09339914780393838</x:v>
      </x:c>
      <x:c r="J125" s="132" t="n">
        <x:f>IF(E125&lt;(('Assumptions'!$C$50-'Assumptions'!$B$50)/('Assumptions'!$D$50-'Assumptions'!$B$50)),'Assumptions'!$B$50+SQRT(E125*('Assumptions'!$D$50-'Assumptions'!$B$50)*('Assumptions'!$C$50-'Assumptions'!$B$50)),'Assumptions'!$D$50-SQRT((1-E125)*('Assumptions'!$D$50-'Assumptions'!$B$50)*('Assumptions'!$D$50-'Assumptions'!$C$50)))</x:f>
        <x:v>0.05814288304475795</x:v>
      </x:c>
      <x:c r="K125" s="132" t="n">
        <x:f>IF(F125&lt;(('Assumptions'!$C$51-'Assumptions'!$B$51)/('Assumptions'!$D$51-'Assumptions'!$B$51)),'Assumptions'!$B$51+SQRT(F125*('Assumptions'!$D$51-'Assumptions'!$B$51)*('Assumptions'!$C$51-'Assumptions'!$B$51)),'Assumptions'!$D$51-SQRT((1-F125)*('Assumptions'!$D$51-'Assumptions'!$B$51)*('Assumptions'!$D$51-'Assumptions'!$C$51)))</x:f>
        <x:v>0.06811067094376562</x:v>
      </x:c>
      <x:c r="L125" s="133" t="n">
        <x:f>(('Assumptions'!$B$17*(1+G125)+'Assumptions'!$B$18)*(1-H125-'Assumptions'!$B$20)-SUM('Assumptions'!$B$21:$B$25)*(1+I125))-(('Assumptions'!$B$17*(1+G125)+'Assumptions'!$B$18)*(1-H125-'Assumptions'!$B$20)*'Assumptions'!$B$26)</x:f>
        <x:v>208746.36059831956</x:v>
      </x:c>
      <x:c r="M125" s="133" t="n">
        <x:f>'Assumptions'!$B$10*'Assumptions'!$B$33</x:f>
        <x:v>1950000</x:v>
      </x:c>
      <x:c r="N125" s="133" t="n">
        <x:f>-PMT(K125/12,'Assumptions'!$B$35*12,M125)*12</x:f>
        <x:v>152723.03704544596</x:v>
      </x:c>
      <x:c r="O125" s="133" t="n">
        <x:f>(L125*(1+'Assumptions'!$B$29)^('Assumptions'!$B$14/12)/J125)*(1-'Assumptions'!$B$42)-'Debt Schedule'!$F$9</x:f>
        <x:v>3912337.6309743025</x:v>
      </x:c>
      <x:c r="P125" s="132" t="n">
        <x:f>((O125+(L125-N125-'Assumptions'!$B$27-'Assumptions'!$B$28)*('Assumptions'!$B$14/12))/ABS('Monthly Cash Flow'!$S$5))^(1/('Assumptions'!$B$14/12))-1</x:f>
        <x:v>0.2526437580867418</x:v>
      </x:c>
      <x:c r="Q125" s="133" t="n">
        <x:f>-ABS('Monthly Cash Flow'!$S$5)+((L125-N125-'Assumptions'!$B$27-'Assumptions'!$B$28)*(1-(1+'Assumptions'!$B$43)^-('Assumptions'!$B$14/12))/'Assumptions'!$B$43)+(O125/(1+'Assumptions'!$B$43)^('Assumptions'!$B$14/12))</x:f>
        <x:v>1195494.8610048678</x:v>
      </x:c>
    </x:row>
    <x:row r="126">
      <x:c r="A126" s="131" t="n">
        <x:f>119</x:f>
        <x:v>119</x:v>
      </x:c>
      <x:c r="B126" s="131" t="n">
        <x:f>MOD(ABS(SIN((A126+1)*12.9898+78.233)*43758.5453),1)</x:f>
        <x:v>0.6825837153428438</x:v>
      </x:c>
      <x:c r="C126" s="131" t="n">
        <x:f>MOD(ABS(SIN((A126+2)*12.9898+78.233)*43758.5453),1)</x:f>
        <x:v>0.8516825708647957</x:v>
      </x:c>
      <x:c r="D126" s="131" t="n">
        <x:f>MOD(ABS(SIN((A126+3)*12.9898+78.233)*43758.5453),1)</x:f>
        <x:v>0.001836882707721088</x:v>
      </x:c>
      <x:c r="E126" s="131" t="n">
        <x:f>MOD(ABS(SIN((A126+4)*12.9898+78.233)*43758.5453),1)</x:f>
        <x:v>0.40727389928360935</x:v>
      </x:c>
      <x:c r="F126" s="131" t="n">
        <x:f>MOD(ABS(SIN((A126+5)*12.9898+78.233)*43758.5453),1)</x:f>
        <x:v>0.2668835515069077</x:v>
      </x:c>
      <x:c r="G126" s="132" t="n">
        <x:f>IF(B126&lt;(('Assumptions'!$C$47-'Assumptions'!$B$47)/('Assumptions'!$D$47-'Assumptions'!$B$47)),'Assumptions'!$B$47+SQRT(B126*('Assumptions'!$D$47-'Assumptions'!$B$47)*('Assumptions'!$C$47-'Assumptions'!$B$47)),'Assumptions'!$D$47-SQRT((1-B126)*('Assumptions'!$D$47-'Assumptions'!$B$47)*('Assumptions'!$D$47-'Assumptions'!$C$47)))</x:f>
        <x:v>0.028735278331319516</x:v>
      </x:c>
      <x:c r="H126" s="132" t="n">
        <x:f>IF(C126&lt;(('Assumptions'!$C$48-'Assumptions'!$B$48)/('Assumptions'!$D$48-'Assumptions'!$B$48)),'Assumptions'!$B$48+SQRT(C126*('Assumptions'!$D$48-'Assumptions'!$B$48)*('Assumptions'!$C$48-'Assumptions'!$B$48)),'Assumptions'!$D$48-SQRT((1-C126)*('Assumptions'!$D$48-'Assumptions'!$B$48)*('Assumptions'!$D$48-'Assumptions'!$C$48)))</x:f>
        <x:v>0.1038725398569205</x:v>
      </x:c>
      <x:c r="I126" s="132" t="n">
        <x:f>IF(D126&lt;(('Assumptions'!$C$49-'Assumptions'!$B$49)/('Assumptions'!$D$49-'Assumptions'!$B$49)),'Assumptions'!$B$49+SQRT(D126*('Assumptions'!$D$49-'Assumptions'!$B$49)*('Assumptions'!$C$49-'Assumptions'!$B$49)),'Assumptions'!$D$49-SQRT((1-D126)*('Assumptions'!$D$49-'Assumptions'!$B$49)*('Assumptions'!$D$49-'Assumptions'!$C$49)))</x:f>
        <x:v>-0.025545975612618656</x:v>
      </x:c>
      <x:c r="J126" s="132" t="n">
        <x:f>IF(E126&lt;(('Assumptions'!$C$50-'Assumptions'!$B$50)/('Assumptions'!$D$50-'Assumptions'!$B$50)),'Assumptions'!$B$50+SQRT(E126*('Assumptions'!$D$50-'Assumptions'!$B$50)*('Assumptions'!$C$50-'Assumptions'!$B$50)),'Assumptions'!$D$50-SQRT((1-E126)*('Assumptions'!$D$50-'Assumptions'!$B$50)*('Assumptions'!$D$50-'Assumptions'!$C$50)))</x:f>
        <x:v>0.06707270219628775</x:v>
      </x:c>
      <x:c r="K126" s="132" t="n">
        <x:f>IF(F126&lt;(('Assumptions'!$C$51-'Assumptions'!$B$51)/('Assumptions'!$D$51-'Assumptions'!$B$51)),'Assumptions'!$B$51+SQRT(F126*('Assumptions'!$D$51-'Assumptions'!$B$51)*('Assumptions'!$C$51-'Assumptions'!$B$51)),'Assumptions'!$D$51-SQRT((1-F126)*('Assumptions'!$D$51-'Assumptions'!$B$51)*('Assumptions'!$D$51-'Assumptions'!$C$51)))</x:f>
        <x:v>0.06606697009825525</x:v>
      </x:c>
      <x:c r="L126" s="133" t="n">
        <x:f>(('Assumptions'!$B$17*(1+G126)+'Assumptions'!$B$18)*(1-H126-'Assumptions'!$B$20)-SUM('Assumptions'!$B$21:$B$25)*(1+I126))-(('Assumptions'!$B$17*(1+G126)+'Assumptions'!$B$18)*(1-H126-'Assumptions'!$B$20)*'Assumptions'!$B$26)</x:f>
        <x:v>207576.77966089486</x:v>
      </x:c>
      <x:c r="M126" s="133" t="n">
        <x:f>'Assumptions'!$B$10*'Assumptions'!$B$33</x:f>
        <x:v>1950000</x:v>
      </x:c>
      <x:c r="N126" s="133" t="n">
        <x:f>-PMT(K126/12,'Assumptions'!$B$35*12,M126)*12</x:f>
        <x:v>149549.68574038235</x:v>
      </x:c>
      <x:c r="O126" s="133" t="n">
        <x:f>(L126*(1+'Assumptions'!$B$29)^('Assumptions'!$B$14/12)/J126)*(1-'Assumptions'!$B$42)-'Debt Schedule'!$F$9</x:f>
        <x:v>3372461.0599455596</x:v>
      </x:c>
      <x:c r="P126" s="132" t="n">
        <x:f>((O126+(L126-N126-'Assumptions'!$B$27-'Assumptions'!$B$28)*('Assumptions'!$B$14/12))/ABS('Monthly Cash Flow'!$S$5))^(1/('Assumptions'!$B$14/12))-1</x:f>
        <x:v>0.21747476139217503</x:v>
      </x:c>
      <x:c r="Q126" s="133" t="n">
        <x:f>-ABS('Monthly Cash Flow'!$S$5)+((L126-N126-'Assumptions'!$B$27-'Assumptions'!$B$28)*(1-(1+'Assumptions'!$B$43)^-('Assumptions'!$B$14/12))/'Assumptions'!$B$43)+(O126/(1+'Assumptions'!$B$43)^('Assumptions'!$B$14/12))</x:f>
        <x:v>867869.8524316393</x:v>
      </x:c>
    </x:row>
    <x:row r="127">
      <x:c r="A127" s="131" t="n">
        <x:f>120</x:f>
        <x:v>120</x:v>
      </x:c>
      <x:c r="B127" s="131" t="n">
        <x:f>MOD(ABS(SIN((A127+1)*12.9898+78.233)*43758.5453),1)</x:f>
        <x:v>0.8516825708647957</x:v>
      </x:c>
      <x:c r="C127" s="131" t="n">
        <x:f>MOD(ABS(SIN((A127+2)*12.9898+78.233)*43758.5453),1)</x:f>
        <x:v>0.001836882707721088</x:v>
      </x:c>
      <x:c r="D127" s="131" t="n">
        <x:f>MOD(ABS(SIN((A127+3)*12.9898+78.233)*43758.5453),1)</x:f>
        <x:v>0.40727389928360935</x:v>
      </x:c>
      <x:c r="E127" s="131" t="n">
        <x:f>MOD(ABS(SIN((A127+4)*12.9898+78.233)*43758.5453),1)</x:f>
        <x:v>0.2668835515069077</x:v>
      </x:c>
      <x:c r="F127" s="131" t="n">
        <x:f>MOD(ABS(SIN((A127+5)*12.9898+78.233)*43758.5453),1)</x:f>
        <x:v>0.39660778394318186</x:v>
      </x:c>
      <x:c r="G127" s="132" t="n">
        <x:f>IF(B127&lt;(('Assumptions'!$C$47-'Assumptions'!$B$47)/('Assumptions'!$D$47-'Assumptions'!$B$47)),'Assumptions'!$B$47+SQRT(B127*('Assumptions'!$D$47-'Assumptions'!$B$47)*('Assumptions'!$C$47-'Assumptions'!$B$47)),'Assumptions'!$D$47-SQRT((1-B127)*('Assumptions'!$D$47-'Assumptions'!$B$47)*('Assumptions'!$D$47-'Assumptions'!$C$47)))</x:f>
        <x:v>0.05128574268077909</x:v>
      </x:c>
      <x:c r="H127" s="132" t="n">
        <x:f>IF(C127&lt;(('Assumptions'!$C$48-'Assumptions'!$B$48)/('Assumptions'!$D$48-'Assumptions'!$B$48)),'Assumptions'!$B$48+SQRT(C127*('Assumptions'!$D$48-'Assumptions'!$B$48)*('Assumptions'!$C$48-'Assumptions'!$B$48)),'Assumptions'!$D$48-SQRT((1-C127)*('Assumptions'!$D$48-'Assumptions'!$B$48)*('Assumptions'!$D$48-'Assumptions'!$C$48)))</x:f>
        <x:v>0.032462054616672745</x:v>
      </x:c>
      <x:c r="I127" s="132" t="n">
        <x:f>IF(D127&lt;(('Assumptions'!$C$49-'Assumptions'!$B$49)/('Assumptions'!$D$49-'Assumptions'!$B$49)),'Assumptions'!$B$49+SQRT(D127*('Assumptions'!$D$49-'Assumptions'!$B$49)*('Assumptions'!$C$49-'Assumptions'!$B$49)),'Assumptions'!$D$49-SQRT((1-D127)*('Assumptions'!$D$49-'Assumptions'!$B$49)*('Assumptions'!$D$49-'Assumptions'!$C$49)))</x:f>
        <x:v>0.03685017112043855</x:v>
      </x:c>
      <x:c r="J127" s="132" t="n">
        <x:f>IF(E127&lt;(('Assumptions'!$C$50-'Assumptions'!$B$50)/('Assumptions'!$D$50-'Assumptions'!$B$50)),'Assumptions'!$B$50+SQRT(E127*('Assumptions'!$D$50-'Assumptions'!$B$50)*('Assumptions'!$C$50-'Assumptions'!$B$50)),'Assumptions'!$D$50-SQRT((1-E127)*('Assumptions'!$D$50-'Assumptions'!$B$50)*('Assumptions'!$D$50-'Assumptions'!$C$50)))</x:f>
        <x:v>0.06524911601984731</x:v>
      </x:c>
      <x:c r="K127" s="132" t="n">
        <x:f>IF(F127&lt;(('Assumptions'!$C$51-'Assumptions'!$B$51)/('Assumptions'!$D$51-'Assumptions'!$B$51)),'Assumptions'!$B$51+SQRT(F127*('Assumptions'!$D$51-'Assumptions'!$B$51)*('Assumptions'!$C$51-'Assumptions'!$B$51)),'Assumptions'!$D$51-SQRT((1-F127)*('Assumptions'!$D$51-'Assumptions'!$B$51)*('Assumptions'!$D$51-'Assumptions'!$C$51)))</x:f>
        <x:v>0.06795938663142245</x:v>
      </x:c>
      <x:c r="L127" s="133" t="n">
        <x:f>(('Assumptions'!$B$17*(1+G127)+'Assumptions'!$B$18)*(1-H127-'Assumptions'!$B$20)-SUM('Assumptions'!$B$21:$B$25)*(1+I127))-(('Assumptions'!$B$17*(1+G127)+'Assumptions'!$B$18)*(1-H127-'Assumptions'!$B$20)*'Assumptions'!$B$26)</x:f>
        <x:v>233799.9882988648</x:v>
      </x:c>
      <x:c r="M127" s="133" t="n">
        <x:f>'Assumptions'!$B$10*'Assumptions'!$B$33</x:f>
        <x:v>1950000</x:v>
      </x:c>
      <x:c r="N127" s="133" t="n">
        <x:f>-PMT(K127/12,'Assumptions'!$B$35*12,M127)*12</x:f>
        <x:v>152487.19514719018</x:v>
      </x:c>
      <x:c r="O127" s="133" t="n">
        <x:f>(L127*(1+'Assumptions'!$B$29)^('Assumptions'!$B$14/12)/J127)*(1-'Assumptions'!$B$42)-'Debt Schedule'!$F$9</x:f>
        <x:v>3904665.4521515537</x:v>
      </x:c>
      <x:c r="P127" s="132" t="n">
        <x:f>((O127+(L127-N127-'Assumptions'!$B$27-'Assumptions'!$B$28)*('Assumptions'!$B$14/12))/ABS('Monthly Cash Flow'!$S$5))^(1/('Assumptions'!$B$14/12))-1</x:f>
        <x:v>0.2600098248119478</x:v>
      </x:c>
      <x:c r="Q127" s="133" t="n">
        <x:f>-ABS('Monthly Cash Flow'!$S$5)+((L127-N127-'Assumptions'!$B$27-'Assumptions'!$B$28)*(1-(1+'Assumptions'!$B$43)^-('Assumptions'!$B$14/12))/'Assumptions'!$B$43)+(O127/(1+'Assumptions'!$B$43)^('Assumptions'!$B$14/12))</x:f>
        <x:v>1286598.0283399927</x:v>
      </x:c>
    </x:row>
    <x:row r="128">
      <x:c r="A128" s="131" t="n">
        <x:f>121</x:f>
        <x:v>121</x:v>
      </x:c>
      <x:c r="B128" s="131" t="n">
        <x:f>MOD(ABS(SIN((A128+1)*12.9898+78.233)*43758.5453),1)</x:f>
        <x:v>0.001836882707721088</x:v>
      </x:c>
      <x:c r="C128" s="131" t="n">
        <x:f>MOD(ABS(SIN((A128+2)*12.9898+78.233)*43758.5453),1)</x:f>
        <x:v>0.40727389928360935</x:v>
      </x:c>
      <x:c r="D128" s="131" t="n">
        <x:f>MOD(ABS(SIN((A128+3)*12.9898+78.233)*43758.5453),1)</x:f>
        <x:v>0.2668835515069077</x:v>
      </x:c>
      <x:c r="E128" s="131" t="n">
        <x:f>MOD(ABS(SIN((A128+4)*12.9898+78.233)*43758.5453),1)</x:f>
        <x:v>0.39660778394318186</x:v>
      </x:c>
      <x:c r="F128" s="131" t="n">
        <x:f>MOD(ABS(SIN((A128+5)*12.9898+78.233)*43758.5453),1)</x:f>
        <x:v>0.24334125323184708</x:v>
      </x:c>
      <x:c r="G128" s="132" t="n">
        <x:f>IF(B128&lt;(('Assumptions'!$C$47-'Assumptions'!$B$47)/('Assumptions'!$D$47-'Assumptions'!$B$47)),'Assumptions'!$B$47+SQRT(B128*('Assumptions'!$D$47-'Assumptions'!$B$47)*('Assumptions'!$C$47-'Assumptions'!$B$47)),'Assumptions'!$D$47-SQRT((1-B128)*('Assumptions'!$D$47-'Assumptions'!$B$47)*('Assumptions'!$D$47-'Assumptions'!$C$47)))</x:f>
        <x:v>-0.09336033246424898</x:v>
      </x:c>
      <x:c r="H128" s="132" t="n">
        <x:f>IF(C128&lt;(('Assumptions'!$C$48-'Assumptions'!$B$48)/('Assumptions'!$D$48-'Assumptions'!$B$48)),'Assumptions'!$B$48+SQRT(C128*('Assumptions'!$D$48-'Assumptions'!$B$48)*('Assumptions'!$C$48-'Assumptions'!$B$48)),'Assumptions'!$D$48-SQRT((1-C128)*('Assumptions'!$D$48-'Assumptions'!$B$48)*('Assumptions'!$D$48-'Assumptions'!$C$48)))</x:f>
        <x:v>0.06777819106181127</x:v>
      </x:c>
      <x:c r="I128" s="132" t="n">
        <x:f>IF(D128&lt;(('Assumptions'!$C$49-'Assumptions'!$B$49)/('Assumptions'!$D$49-'Assumptions'!$B$49)),'Assumptions'!$B$49+SQRT(D128*('Assumptions'!$D$49-'Assumptions'!$B$49)*('Assumptions'!$C$49-'Assumptions'!$B$49)),'Assumptions'!$D$49-SQRT((1-D128)*('Assumptions'!$D$49-'Assumptions'!$B$49)*('Assumptions'!$D$49-'Assumptions'!$C$49)))</x:f>
        <x:v>0.023687450640485837</x:v>
      </x:c>
      <x:c r="J128" s="132" t="n">
        <x:f>IF(E128&lt;(('Assumptions'!$C$50-'Assumptions'!$B$50)/('Assumptions'!$D$50-'Assumptions'!$B$50)),'Assumptions'!$B$50+SQRT(E128*('Assumptions'!$D$50-'Assumptions'!$B$50)*('Assumptions'!$C$50-'Assumptions'!$B$50)),'Assumptions'!$D$50-SQRT((1-E128)*('Assumptions'!$D$50-'Assumptions'!$B$50)*('Assumptions'!$D$50-'Assumptions'!$C$50)))</x:f>
        <x:v>0.06694652059687671</x:v>
      </x:c>
      <x:c r="K128" s="132" t="n">
        <x:f>IF(F128&lt;(('Assumptions'!$C$51-'Assumptions'!$B$51)/('Assumptions'!$D$51-'Assumptions'!$B$51)),'Assumptions'!$B$51+SQRT(F128*('Assumptions'!$D$51-'Assumptions'!$B$51)*('Assumptions'!$C$51-'Assumptions'!$B$51)),'Assumptions'!$D$51-SQRT((1-F128)*('Assumptions'!$D$51-'Assumptions'!$B$51)*('Assumptions'!$D$51-'Assumptions'!$C$51)))</x:f>
        <x:v>0.06568039391708969</x:v>
      </x:c>
      <x:c r="L128" s="133" t="n">
        <x:f>(('Assumptions'!$B$17*(1+G128)+'Assumptions'!$B$18)*(1-H128-'Assumptions'!$B$20)-SUM('Assumptions'!$B$21:$B$25)*(1+I128))-(('Assumptions'!$B$17*(1+G128)+'Assumptions'!$B$18)*(1-H128-'Assumptions'!$B$20)*'Assumptions'!$B$26)</x:f>
        <x:v>175915.43941852933</x:v>
      </x:c>
      <x:c r="M128" s="133" t="n">
        <x:f>'Assumptions'!$B$10*'Assumptions'!$B$33</x:f>
        <x:v>1950000</x:v>
      </x:c>
      <x:c r="N128" s="133" t="n">
        <x:f>-PMT(K128/12,'Assumptions'!$B$35*12,M128)*12</x:f>
        <x:v>148952.52702276243</x:v>
      </x:c>
      <x:c r="O128" s="133" t="n">
        <x:f>(L128*(1+'Assumptions'!$B$29)^('Assumptions'!$B$14/12)/J128)*(1-'Assumptions'!$B$42)-'Debt Schedule'!$F$9</x:f>
        <x:v>2863452.110530105</x:v>
      </x:c>
      <x:c r="P128" s="132" t="n">
        <x:f>((O128+(L128-N128-'Assumptions'!$B$27-'Assumptions'!$B$28)*('Assumptions'!$B$14/12))/ABS('Monthly Cash Flow'!$S$5))^(1/('Assumptions'!$B$14/12))-1</x:f>
        <x:v>0.16669519449230275</x:v>
      </x:c>
      <x:c r="Q128" s="133" t="n">
        <x:f>-ABS('Monthly Cash Flow'!$S$5)+((L128-N128-'Assumptions'!$B$27-'Assumptions'!$B$28)*(1-(1+'Assumptions'!$B$43)^-('Assumptions'!$B$14/12))/'Assumptions'!$B$43)+(O128/(1+'Assumptions'!$B$43)^('Assumptions'!$B$14/12))</x:f>
        <x:v>434057.6537851365</x:v>
      </x:c>
    </x:row>
    <x:row r="129">
      <x:c r="A129" s="131" t="n">
        <x:f>122</x:f>
        <x:v>122</x:v>
      </x:c>
      <x:c r="B129" s="131" t="n">
        <x:f>MOD(ABS(SIN((A129+1)*12.9898+78.233)*43758.5453),1)</x:f>
        <x:v>0.40727389928360935</x:v>
      </x:c>
      <x:c r="C129" s="131" t="n">
        <x:f>MOD(ABS(SIN((A129+2)*12.9898+78.233)*43758.5453),1)</x:f>
        <x:v>0.2668835515069077</x:v>
      </x:c>
      <x:c r="D129" s="131" t="n">
        <x:f>MOD(ABS(SIN((A129+3)*12.9898+78.233)*43758.5453),1)</x:f>
        <x:v>0.39660778394318186</x:v>
      </x:c>
      <x:c r="E129" s="131" t="n">
        <x:f>MOD(ABS(SIN((A129+4)*12.9898+78.233)*43758.5453),1)</x:f>
        <x:v>0.24334125323184708</x:v>
      </x:c>
      <x:c r="F129" s="131" t="n">
        <x:f>MOD(ABS(SIN((A129+5)*12.9898+78.233)*43758.5453),1)</x:f>
        <x:v>0.5919673421044536</x:v>
      </x:c>
      <x:c r="G129" s="132" t="n">
        <x:f>IF(B129&lt;(('Assumptions'!$C$47-'Assumptions'!$B$47)/('Assumptions'!$D$47-'Assumptions'!$B$47)),'Assumptions'!$B$47+SQRT(B129*('Assumptions'!$D$47-'Assumptions'!$B$47)*('Assumptions'!$C$47-'Assumptions'!$B$47)),'Assumptions'!$D$47-SQRT((1-B129)*('Assumptions'!$D$47-'Assumptions'!$B$47)*('Assumptions'!$D$47-'Assumptions'!$C$47)))</x:f>
        <x:v>-0.0011335568415317965</x:v>
      </x:c>
      <x:c r="H129" s="132" t="n">
        <x:f>IF(C129&lt;(('Assumptions'!$C$48-'Assumptions'!$B$48)/('Assumptions'!$D$48-'Assumptions'!$B$48)),'Assumptions'!$B$48+SQRT(C129*('Assumptions'!$D$48-'Assumptions'!$B$48)*('Assumptions'!$C$48-'Assumptions'!$B$48)),'Assumptions'!$D$48-SQRT((1-C129)*('Assumptions'!$D$48-'Assumptions'!$B$48)*('Assumptions'!$D$48-'Assumptions'!$C$48)))</x:f>
        <x:v>0.05967685495420287</x:v>
      </x:c>
      <x:c r="I129" s="132" t="n">
        <x:f>IF(D129&lt;(('Assumptions'!$C$49-'Assumptions'!$B$49)/('Assumptions'!$D$49-'Assumptions'!$B$49)),'Assumptions'!$B$49+SQRT(D129*('Assumptions'!$D$49-'Assumptions'!$B$49)*('Assumptions'!$C$49-'Assumptions'!$B$49)),'Assumptions'!$D$49-SQRT((1-D129)*('Assumptions'!$D$49-'Assumptions'!$B$49)*('Assumptions'!$D$49-'Assumptions'!$C$49)))</x:f>
        <x:v>0.03583664394024118</x:v>
      </x:c>
      <x:c r="J129" s="132" t="n">
        <x:f>IF(E129&lt;(('Assumptions'!$C$50-'Assumptions'!$B$50)/('Assumptions'!$D$50-'Assumptions'!$B$50)),'Assumptions'!$B$50+SQRT(E129*('Assumptions'!$D$50-'Assumptions'!$B$50)*('Assumptions'!$C$50-'Assumptions'!$B$50)),'Assumptions'!$D$50-SQRT((1-E129)*('Assumptions'!$D$50-'Assumptions'!$B$50)*('Assumptions'!$D$50-'Assumptions'!$C$50)))</x:f>
        <x:v>0.06489944470735241</x:v>
      </x:c>
      <x:c r="K129" s="132" t="n">
        <x:f>IF(F129&lt;(('Assumptions'!$C$51-'Assumptions'!$B$51)/('Assumptions'!$D$51-'Assumptions'!$B$51)),'Assumptions'!$B$51+SQRT(F129*('Assumptions'!$D$51-'Assumptions'!$B$51)*('Assumptions'!$C$51-'Assumptions'!$B$51)),'Assumptions'!$D$51-SQRT((1-F129)*('Assumptions'!$D$51-'Assumptions'!$B$51)*('Assumptions'!$D$51-'Assumptions'!$C$51)))</x:f>
        <x:v>0.07098694477951965</x:v>
      </x:c>
      <x:c r="L129" s="133" t="n">
        <x:f>(('Assumptions'!$B$17*(1+G129)+'Assumptions'!$B$18)*(1-H129-'Assumptions'!$B$20)-SUM('Assumptions'!$B$21:$B$25)*(1+I129))-(('Assumptions'!$B$17*(1+G129)+'Assumptions'!$B$18)*(1-H129-'Assumptions'!$B$20)*'Assumptions'!$B$26)</x:f>
        <x:v>206715.78490601273</x:v>
      </x:c>
      <x:c r="M129" s="133" t="n">
        <x:f>'Assumptions'!$B$10*'Assumptions'!$B$33</x:f>
        <x:v>1950000</x:v>
      </x:c>
      <x:c r="N129" s="133" t="n">
        <x:f>-PMT(K129/12,'Assumptions'!$B$35*12,M129)*12</x:f>
        <x:v>157234.8800220057</x:v>
      </x:c>
      <x:c r="O129" s="133" t="n">
        <x:f>(L129*(1+'Assumptions'!$B$29)^('Assumptions'!$B$14/12)/J129)*(1-'Assumptions'!$B$42)-'Debt Schedule'!$F$9</x:f>
        <x:v>3470936.2490614513</x:v>
      </x:c>
      <x:c r="P129" s="132" t="n">
        <x:f>((O129+(L129-N129-'Assumptions'!$B$27-'Assumptions'!$B$28)*('Assumptions'!$B$14/12))/ABS('Monthly Cash Flow'!$S$5))^(1/('Assumptions'!$B$14/12))-1</x:f>
        <x:v>0.2213697775798127</x:v>
      </x:c>
      <x:c r="Q129" s="133" t="n">
        <x:f>-ABS('Monthly Cash Flow'!$S$5)+((L129-N129-'Assumptions'!$B$27-'Assumptions'!$B$28)*(1-(1+'Assumptions'!$B$43)^-('Assumptions'!$B$14/12))/'Assumptions'!$B$43)+(O129/(1+'Assumptions'!$B$43)^('Assumptions'!$B$14/12))</x:f>
        <x:v>896618.416817531</x:v>
      </x:c>
    </x:row>
    <x:row r="130">
      <x:c r="A130" s="131" t="n">
        <x:f>123</x:f>
        <x:v>123</x:v>
      </x:c>
      <x:c r="B130" s="131" t="n">
        <x:f>MOD(ABS(SIN((A130+1)*12.9898+78.233)*43758.5453),1)</x:f>
        <x:v>0.2668835515069077</x:v>
      </x:c>
      <x:c r="C130" s="131" t="n">
        <x:f>MOD(ABS(SIN((A130+2)*12.9898+78.233)*43758.5453),1)</x:f>
        <x:v>0.39660778394318186</x:v>
      </x:c>
      <x:c r="D130" s="131" t="n">
        <x:f>MOD(ABS(SIN((A130+3)*12.9898+78.233)*43758.5453),1)</x:f>
        <x:v>0.24334125323184708</x:v>
      </x:c>
      <x:c r="E130" s="131" t="n">
        <x:f>MOD(ABS(SIN((A130+4)*12.9898+78.233)*43758.5453),1)</x:f>
        <x:v>0.5919673421044536</x:v>
      </x:c>
      <x:c r="F130" s="131" t="n">
        <x:f>MOD(ABS(SIN((A130+5)*12.9898+78.233)*43758.5453),1)</x:f>
        <x:v>0.3059770143700007</x:v>
      </x:c>
      <x:c r="G130" s="132" t="n">
        <x:f>IF(B130&lt;(('Assumptions'!$C$47-'Assumptions'!$B$47)/('Assumptions'!$D$47-'Assumptions'!$B$47)),'Assumptions'!$B$47+SQRT(B130*('Assumptions'!$D$47-'Assumptions'!$B$47)*('Assumptions'!$C$47-'Assumptions'!$B$47)),'Assumptions'!$D$47-SQRT((1-B130)*('Assumptions'!$D$47-'Assumptions'!$B$47)*('Assumptions'!$D$47-'Assumptions'!$C$47)))</x:f>
        <x:v>-0.01996747388613937</x:v>
      </x:c>
      <x:c r="H130" s="132" t="n">
        <x:f>IF(C130&lt;(('Assumptions'!$C$48-'Assumptions'!$B$48)/('Assumptions'!$D$48-'Assumptions'!$B$48)),'Assumptions'!$B$48+SQRT(C130*('Assumptions'!$D$48-'Assumptions'!$B$48)*('Assumptions'!$C$48-'Assumptions'!$B$48)),'Assumptions'!$D$48-SQRT((1-C130)*('Assumptions'!$D$48-'Assumptions'!$B$48)*('Assumptions'!$D$48-'Assumptions'!$C$48)))</x:f>
        <x:v>0.06713127213063207</x:v>
      </x:c>
      <x:c r="I130" s="132" t="n">
        <x:f>IF(D130&lt;(('Assumptions'!$C$49-'Assumptions'!$B$49)/('Assumptions'!$D$49-'Assumptions'!$B$49)),'Assumptions'!$B$49+SQRT(D130*('Assumptions'!$D$49-'Assumptions'!$B$49)*('Assumptions'!$C$49-'Assumptions'!$B$49)),'Assumptions'!$D$49-SQRT((1-D130)*('Assumptions'!$D$49-'Assumptions'!$B$49)*('Assumptions'!$D$49-'Assumptions'!$C$49)))</x:f>
        <x:v>0.02126485672372399</x:v>
      </x:c>
      <x:c r="J130" s="132" t="n">
        <x:f>IF(E130&lt;(('Assumptions'!$C$50-'Assumptions'!$B$50)/('Assumptions'!$D$50-'Assumptions'!$B$50)),'Assumptions'!$B$50+SQRT(E130*('Assumptions'!$D$50-'Assumptions'!$B$50)*('Assumptions'!$C$50-'Assumptions'!$B$50)),'Assumptions'!$D$50-SQRT((1-E130)*('Assumptions'!$D$50-'Assumptions'!$B$50)*('Assumptions'!$D$50-'Assumptions'!$C$50)))</x:f>
        <x:v>0.06928742864513275</x:v>
      </x:c>
      <x:c r="K130" s="132" t="n">
        <x:f>IF(F130&lt;(('Assumptions'!$C$51-'Assumptions'!$B$51)/('Assumptions'!$D$51-'Assumptions'!$B$51)),'Assumptions'!$B$51+SQRT(F130*('Assumptions'!$D$51-'Assumptions'!$B$51)*('Assumptions'!$C$51-'Assumptions'!$B$51)),'Assumptions'!$D$51-SQRT((1-F130)*('Assumptions'!$D$51-'Assumptions'!$B$51)*('Assumptions'!$D$51-'Assumptions'!$C$51)))</x:f>
        <x:v>0.06667298637041123</x:v>
      </x:c>
      <x:c r="L130" s="133" t="n">
        <x:f>(('Assumptions'!$B$17*(1+G130)+'Assumptions'!$B$18)*(1-H130-'Assumptions'!$B$20)-SUM('Assumptions'!$B$21:$B$25)*(1+I130))-(('Assumptions'!$B$17*(1+G130)+'Assumptions'!$B$18)*(1-H130-'Assumptions'!$B$20)*'Assumptions'!$B$26)</x:f>
        <x:v>199842.73736540967</x:v>
      </x:c>
      <x:c r="M130" s="133" t="n">
        <x:f>'Assumptions'!$B$10*'Assumptions'!$B$33</x:f>
        <x:v>1950000</x:v>
      </x:c>
      <x:c r="N130" s="133" t="n">
        <x:f>-PMT(K130/12,'Assumptions'!$B$35*12,M130)*12</x:f>
        <x:v>150487.81501200562</x:v>
      </x:c>
      <x:c r="O130" s="133" t="n">
        <x:f>(L130*(1+'Assumptions'!$B$29)^('Assumptions'!$B$14/12)/J130)*(1-'Assumptions'!$B$42)-'Debt Schedule'!$F$9</x:f>
        <x:v>3143025.4861719334</x:v>
      </x:c>
      <x:c r="P130" s="132" t="n">
        <x:f>((O130+(L130-N130-'Assumptions'!$B$27-'Assumptions'!$B$28)*('Assumptions'!$B$14/12))/ABS('Monthly Cash Flow'!$S$5))^(1/('Assumptions'!$B$14/12))-1</x:f>
        <x:v>0.19765651818163588</x:v>
      </x:c>
      <x:c r="Q130" s="133" t="n">
        <x:f>-ABS('Monthly Cash Flow'!$S$5)+((L130-N130-'Assumptions'!$B$27-'Assumptions'!$B$28)*(1-(1+'Assumptions'!$B$43)^-('Assumptions'!$B$14/12))/'Assumptions'!$B$43)+(O130/(1+'Assumptions'!$B$43)^('Assumptions'!$B$14/12))</x:f>
        <x:v>692534.0591686482</x:v>
      </x:c>
    </x:row>
    <x:row r="131">
      <x:c r="A131" s="131" t="n">
        <x:f>124</x:f>
        <x:v>124</x:v>
      </x:c>
      <x:c r="B131" s="131" t="n">
        <x:f>MOD(ABS(SIN((A131+1)*12.9898+78.233)*43758.5453),1)</x:f>
        <x:v>0.39660778394318186</x:v>
      </x:c>
      <x:c r="C131" s="131" t="n">
        <x:f>MOD(ABS(SIN((A131+2)*12.9898+78.233)*43758.5453),1)</x:f>
        <x:v>0.24334125323184708</x:v>
      </x:c>
      <x:c r="D131" s="131" t="n">
        <x:f>MOD(ABS(SIN((A131+3)*12.9898+78.233)*43758.5453),1)</x:f>
        <x:v>0.5919673421044536</x:v>
      </x:c>
      <x:c r="E131" s="131" t="n">
        <x:f>MOD(ABS(SIN((A131+4)*12.9898+78.233)*43758.5453),1)</x:f>
        <x:v>0.3059770143700007</x:v>
      </x:c>
      <x:c r="F131" s="131" t="n">
        <x:f>MOD(ABS(SIN((A131+5)*12.9898+78.233)*43758.5453),1)</x:f>
        <x:v>0.19245567148027476</x:v>
      </x:c>
      <x:c r="G131" s="132" t="n">
        <x:f>IF(B131&lt;(('Assumptions'!$C$47-'Assumptions'!$B$47)/('Assumptions'!$D$47-'Assumptions'!$B$47)),'Assumptions'!$B$47+SQRT(B131*('Assumptions'!$D$47-'Assumptions'!$B$47)*('Assumptions'!$C$47-'Assumptions'!$B$47)),'Assumptions'!$D$47-SQRT((1-B131)*('Assumptions'!$D$47-'Assumptions'!$B$47)*('Assumptions'!$D$47-'Assumptions'!$C$47)))</x:f>
        <x:v>-0.0024367547965097464</x:v>
      </x:c>
      <x:c r="H131" s="132" t="n">
        <x:f>IF(C131&lt;(('Assumptions'!$C$48-'Assumptions'!$B$48)/('Assumptions'!$D$48-'Assumptions'!$B$48)),'Assumptions'!$B$48+SQRT(C131*('Assumptions'!$D$48-'Assumptions'!$B$48)*('Assumptions'!$C$48-'Assumptions'!$B$48)),'Assumptions'!$D$48-SQRT((1-C131)*('Assumptions'!$D$48-'Assumptions'!$B$48)*('Assumptions'!$D$48-'Assumptions'!$C$48)))</x:f>
        <x:v>0.05833771578065344</x:v>
      </x:c>
      <x:c r="I131" s="132" t="n">
        <x:f>IF(D131&lt;(('Assumptions'!$C$49-'Assumptions'!$B$49)/('Assumptions'!$D$49-'Assumptions'!$B$49)),'Assumptions'!$B$49+SQRT(D131*('Assumptions'!$D$49-'Assumptions'!$B$49)*('Assumptions'!$C$49-'Assumptions'!$B$49)),'Assumptions'!$D$49-SQRT((1-D131)*('Assumptions'!$D$49-'Assumptions'!$B$49)*('Assumptions'!$D$49-'Assumptions'!$C$49)))</x:f>
        <x:v>0.05611972832088839</x:v>
      </x:c>
      <x:c r="J131" s="132" t="n">
        <x:f>IF(E131&lt;(('Assumptions'!$C$50-'Assumptions'!$B$50)/('Assumptions'!$D$50-'Assumptions'!$B$50)),'Assumptions'!$B$50+SQRT(E131*('Assumptions'!$D$50-'Assumptions'!$B$50)*('Assumptions'!$C$50-'Assumptions'!$B$50)),'Assumptions'!$D$50-SQRT((1-E131)*('Assumptions'!$D$50-'Assumptions'!$B$50)*('Assumptions'!$D$50-'Assumptions'!$C$50)))</x:f>
        <x:v>0.06579727836300857</x:v>
      </x:c>
      <x:c r="K131" s="132" t="n">
        <x:f>IF(F131&lt;(('Assumptions'!$C$51-'Assumptions'!$B$51)/('Assumptions'!$D$51-'Assumptions'!$B$51)),'Assumptions'!$B$51+SQRT(F131*('Assumptions'!$D$51-'Assumptions'!$B$51)*('Assumptions'!$C$51-'Assumptions'!$B$51)),'Assumptions'!$D$51-SQRT((1-F131)*('Assumptions'!$D$51-'Assumptions'!$B$51)*('Assumptions'!$D$51-'Assumptions'!$C$51)))</x:f>
        <x:v>0.06477497832691449</x:v>
      </x:c>
      <x:c r="L131" s="133" t="n">
        <x:f>(('Assumptions'!$B$17*(1+G131)+'Assumptions'!$B$18)*(1-H131-'Assumptions'!$B$20)-SUM('Assumptions'!$B$21:$B$25)*(1+I131))-(('Assumptions'!$B$17*(1+G131)+'Assumptions'!$B$18)*(1-H131-'Assumptions'!$B$20)*'Assumptions'!$B$26)</x:f>
        <x:v>204225.9315633301</x:v>
      </x:c>
      <x:c r="M131" s="133" t="n">
        <x:f>'Assumptions'!$B$10*'Assumptions'!$B$33</x:f>
        <x:v>1950000</x:v>
      </x:c>
      <x:c r="N131" s="133" t="n">
        <x:f>-PMT(K131/12,'Assumptions'!$B$35*12,M131)*12</x:f>
        <x:v>147557.80111144742</x:v>
      </x:c>
      <x:c r="O131" s="133" t="n">
        <x:f>(L131*(1+'Assumptions'!$B$29)^('Assumptions'!$B$14/12)/J131)*(1-'Assumptions'!$B$42)-'Debt Schedule'!$F$9</x:f>
        <x:v>3382337.440579975</x:v>
      </x:c>
      <x:c r="P131" s="132" t="n">
        <x:f>((O131+(L131-N131-'Assumptions'!$B$27-'Assumptions'!$B$28)*('Assumptions'!$B$14/12))/ABS('Monthly Cash Flow'!$S$5))^(1/('Assumptions'!$B$14/12))-1</x:f>
        <x:v>0.21769138441845826</x:v>
      </x:c>
      <x:c r="Q131" s="133" t="n">
        <x:f>-ABS('Monthly Cash Flow'!$S$5)+((L131-N131-'Assumptions'!$B$27-'Assumptions'!$B$28)*(1-(1+'Assumptions'!$B$43)^-('Assumptions'!$B$14/12))/'Assumptions'!$B$43)+(O131/(1+'Assumptions'!$B$43)^('Assumptions'!$B$14/12))</x:f>
        <x:v>868850.7670252048</x:v>
      </x:c>
    </x:row>
    <x:row r="132">
      <x:c r="A132" s="131" t="n">
        <x:f>125</x:f>
        <x:v>125</x:v>
      </x:c>
      <x:c r="B132" s="131" t="n">
        <x:f>MOD(ABS(SIN((A132+1)*12.9898+78.233)*43758.5453),1)</x:f>
        <x:v>0.24334125323184708</x:v>
      </x:c>
      <x:c r="C132" s="131" t="n">
        <x:f>MOD(ABS(SIN((A132+2)*12.9898+78.233)*43758.5453),1)</x:f>
        <x:v>0.5919673421044536</x:v>
      </x:c>
      <x:c r="D132" s="131" t="n">
        <x:f>MOD(ABS(SIN((A132+3)*12.9898+78.233)*43758.5453),1)</x:f>
        <x:v>0.3059770143700007</x:v>
      </x:c>
      <x:c r="E132" s="131" t="n">
        <x:f>MOD(ABS(SIN((A132+4)*12.9898+78.233)*43758.5453),1)</x:f>
        <x:v>0.19245567148027476</x:v>
      </x:c>
      <x:c r="F132" s="131" t="n">
        <x:f>MOD(ABS(SIN((A132+5)*12.9898+78.233)*43758.5453),1)</x:f>
        <x:v>0.08774368856393266</x:v>
      </x:c>
      <x:c r="G132" s="132" t="n">
        <x:f>IF(B132&lt;(('Assumptions'!$C$47-'Assumptions'!$B$47)/('Assumptions'!$D$47-'Assumptions'!$B$47)),'Assumptions'!$B$47+SQRT(B132*('Assumptions'!$D$47-'Assumptions'!$B$47)*('Assumptions'!$C$47-'Assumptions'!$B$47)),'Assumptions'!$D$47-SQRT((1-B132)*('Assumptions'!$D$47-'Assumptions'!$B$47)*('Assumptions'!$D$47-'Assumptions'!$C$47)))</x:f>
        <x:v>-0.023578863672644</x:v>
      </x:c>
      <x:c r="H132" s="132" t="n">
        <x:f>IF(C132&lt;(('Assumptions'!$C$48-'Assumptions'!$B$48)/('Assumptions'!$D$48-'Assumptions'!$B$48)),'Assumptions'!$B$48+SQRT(C132*('Assumptions'!$D$48-'Assumptions'!$B$48)*('Assumptions'!$C$48-'Assumptions'!$B$48)),'Assumptions'!$D$48-SQRT((1-C132)*('Assumptions'!$D$48-'Assumptions'!$B$48)*('Assumptions'!$D$48-'Assumptions'!$C$48)))</x:f>
        <x:v>0.08007765534059262</x:v>
      </x:c>
      <x:c r="I132" s="132" t="n">
        <x:f>IF(D132&lt;(('Assumptions'!$C$49-'Assumptions'!$B$49)/('Assumptions'!$D$49-'Assumptions'!$B$49)),'Assumptions'!$B$49+SQRT(D132*('Assumptions'!$D$49-'Assumptions'!$B$49)*('Assumptions'!$C$49-'Assumptions'!$B$49)),'Assumptions'!$D$49-SQRT((1-D132)*('Assumptions'!$D$49-'Assumptions'!$B$49)*('Assumptions'!$D$49-'Assumptions'!$C$49)))</x:f>
        <x:v>0.027485230757091056</x:v>
      </x:c>
      <x:c r="J132" s="132" t="n">
        <x:f>IF(E132&lt;(('Assumptions'!$C$50-'Assumptions'!$B$50)/('Assumptions'!$D$50-'Assumptions'!$B$50)),'Assumptions'!$B$50+SQRT(E132*('Assumptions'!$D$50-'Assumptions'!$B$50)*('Assumptions'!$C$50-'Assumptions'!$B$50)),'Assumptions'!$D$50-SQRT((1-E132)*('Assumptions'!$D$50-'Assumptions'!$B$50)*('Assumptions'!$D$50-'Assumptions'!$C$50)))</x:f>
        <x:v>0.06408046549136623</x:v>
      </x:c>
      <x:c r="K132" s="132" t="n">
        <x:f>IF(F132&lt;(('Assumptions'!$C$51-'Assumptions'!$B$51)/('Assumptions'!$D$51-'Assumptions'!$B$51)),'Assumptions'!$B$51+SQRT(F132*('Assumptions'!$D$51-'Assumptions'!$B$51)*('Assumptions'!$C$51-'Assumptions'!$B$51)),'Assumptions'!$D$51-SQRT((1-F132)*('Assumptions'!$D$51-'Assumptions'!$B$51)*('Assumptions'!$D$51-'Assumptions'!$C$51)))</x:f>
        <x:v>0.06241218020384855</x:v>
      </x:c>
      <x:c r="L132" s="133" t="n">
        <x:f>(('Assumptions'!$B$17*(1+G132)+'Assumptions'!$B$18)*(1-H132-'Assumptions'!$B$20)-SUM('Assumptions'!$B$21:$B$25)*(1+I132))-(('Assumptions'!$B$17*(1+G132)+'Assumptions'!$B$18)*(1-H132-'Assumptions'!$B$20)*'Assumptions'!$B$26)</x:f>
        <x:v>193314.65584715307</x:v>
      </x:c>
      <x:c r="M132" s="133" t="n">
        <x:f>'Assumptions'!$B$10*'Assumptions'!$B$33</x:f>
        <x:v>1950000</x:v>
      </x:c>
      <x:c r="N132" s="133" t="n">
        <x:f>-PMT(K132/12,'Assumptions'!$B$35*12,M132)*12</x:f>
        <x:v>143944.1989805973</x:v>
      </x:c>
      <x:c r="O132" s="133" t="n">
        <x:f>(L132*(1+'Assumptions'!$B$29)^('Assumptions'!$B$14/12)/J132)*(1-'Assumptions'!$B$42)-'Debt Schedule'!$F$9</x:f>
        <x:v>3287404.156136542</x:v>
      </x:c>
      <x:c r="P132" s="132" t="n">
        <x:f>((O132+(L132-N132-'Assumptions'!$B$27-'Assumptions'!$B$28)*('Assumptions'!$B$14/12))/ABS('Monthly Cash Flow'!$S$5))^(1/('Assumptions'!$B$14/12))-1</x:f>
        <x:v>0.20831283527431754</x:v>
      </x:c>
      <x:c r="Q132" s="133" t="n">
        <x:f>-ABS('Monthly Cash Flow'!$S$5)+((L132-N132-'Assumptions'!$B$27-'Assumptions'!$B$28)*(1-(1+'Assumptions'!$B$43)^-('Assumptions'!$B$14/12))/'Assumptions'!$B$43)+(O132/(1+'Assumptions'!$B$43)^('Assumptions'!$B$14/12))</x:f>
        <x:v>782240.7419715186</x:v>
      </x:c>
    </x:row>
    <x:row r="133">
      <x:c r="A133" s="131" t="n">
        <x:f>126</x:f>
        <x:v>126</x:v>
      </x:c>
      <x:c r="B133" s="131" t="n">
        <x:f>MOD(ABS(SIN((A133+1)*12.9898+78.233)*43758.5453),1)</x:f>
        <x:v>0.5919673421044536</x:v>
      </x:c>
      <x:c r="C133" s="131" t="n">
        <x:f>MOD(ABS(SIN((A133+2)*12.9898+78.233)*43758.5453),1)</x:f>
        <x:v>0.3059770143700007</x:v>
      </x:c>
      <x:c r="D133" s="131" t="n">
        <x:f>MOD(ABS(SIN((A133+3)*12.9898+78.233)*43758.5453),1)</x:f>
        <x:v>0.19245567148027476</x:v>
      </x:c>
      <x:c r="E133" s="131" t="n">
        <x:f>MOD(ABS(SIN((A133+4)*12.9898+78.233)*43758.5453),1)</x:f>
        <x:v>0.08774368856393266</x:v>
      </x:c>
      <x:c r="F133" s="131" t="n">
        <x:f>MOD(ABS(SIN((A133+5)*12.9898+78.233)*43758.5453),1)</x:f>
        <x:v>0.3839650519803399</x:v>
      </x:c>
      <x:c r="G133" s="132" t="n">
        <x:f>IF(B133&lt;(('Assumptions'!$C$47-'Assumptions'!$B$47)/('Assumptions'!$D$47-'Assumptions'!$B$47)),'Assumptions'!$B$47+SQRT(B133*('Assumptions'!$D$47-'Assumptions'!$B$47)*('Assumptions'!$C$47-'Assumptions'!$B$47)),'Assumptions'!$D$47-SQRT((1-B133)*('Assumptions'!$D$47-'Assumptions'!$B$47)*('Assumptions'!$D$47-'Assumptions'!$C$47)))</x:f>
        <x:v>0.01919402757901456</x:v>
      </x:c>
      <x:c r="H133" s="132" t="n">
        <x:f>IF(C133&lt;(('Assumptions'!$C$48-'Assumptions'!$B$48)/('Assumptions'!$D$48-'Assumptions'!$B$48)),'Assumptions'!$B$48+SQRT(C133*('Assumptions'!$D$48-'Assumptions'!$B$48)*('Assumptions'!$C$48-'Assumptions'!$B$48)),'Assumptions'!$D$48-SQRT((1-C133)*('Assumptions'!$D$48-'Assumptions'!$B$48)*('Assumptions'!$D$48-'Assumptions'!$C$48)))</x:f>
        <x:v>0.061850129408015056</x:v>
      </x:c>
      <x:c r="I133" s="132" t="n">
        <x:f>IF(D133&lt;(('Assumptions'!$C$49-'Assumptions'!$B$49)/('Assumptions'!$D$49-'Assumptions'!$B$49)),'Assumptions'!$B$49+SQRT(D133*('Assumptions'!$D$49-'Assumptions'!$B$49)*('Assumptions'!$C$49-'Assumptions'!$B$49)),'Assumptions'!$D$49-SQRT((1-D133)*('Assumptions'!$D$49-'Assumptions'!$B$49)*('Assumptions'!$D$49-'Assumptions'!$C$49)))</x:f>
        <x:v>0.015590802274000039</x:v>
      </x:c>
      <x:c r="J133" s="132" t="n">
        <x:f>IF(E133&lt;(('Assumptions'!$C$50-'Assumptions'!$B$50)/('Assumptions'!$D$50-'Assumptions'!$B$50)),'Assumptions'!$B$50+SQRT(E133*('Assumptions'!$D$50-'Assumptions'!$B$50)*('Assumptions'!$C$50-'Assumptions'!$B$50)),'Assumptions'!$D$50-SQRT((1-E133)*('Assumptions'!$D$50-'Assumptions'!$B$50)*('Assumptions'!$D$50-'Assumptions'!$C$50)))</x:f>
        <x:v>0.06194323417421194</x:v>
      </x:c>
      <x:c r="K133" s="132" t="n">
        <x:f>IF(F133&lt;(('Assumptions'!$C$51-'Assumptions'!$B$51)/('Assumptions'!$D$51-'Assumptions'!$B$51)),'Assumptions'!$B$51+SQRT(F133*('Assumptions'!$D$51-'Assumptions'!$B$51)*('Assumptions'!$C$51-'Assumptions'!$B$51)),'Assumptions'!$D$51-SQRT((1-F133)*('Assumptions'!$D$51-'Assumptions'!$B$51)*('Assumptions'!$D$51-'Assumptions'!$C$51)))</x:f>
        <x:v>0.06778178816675606</x:v>
      </x:c>
      <x:c r="L133" s="133" t="n">
        <x:f>(('Assumptions'!$B$17*(1+G133)+'Assumptions'!$B$18)*(1-H133-'Assumptions'!$B$20)-SUM('Assumptions'!$B$21:$B$25)*(1+I133))-(('Assumptions'!$B$17*(1+G133)+'Assumptions'!$B$18)*(1-H133-'Assumptions'!$B$20)*'Assumptions'!$B$26)</x:f>
        <x:v>214999.42521811608</x:v>
      </x:c>
      <x:c r="M133" s="133" t="n">
        <x:f>'Assumptions'!$B$10*'Assumptions'!$B$33</x:f>
        <x:v>1950000</x:v>
      </x:c>
      <x:c r="N133" s="133" t="n">
        <x:f>-PMT(K133/12,'Assumptions'!$B$35*12,M133)*12</x:f>
        <x:v>152210.52092398272</x:v>
      </x:c>
      <x:c r="O133" s="133" t="n">
        <x:f>(L133*(1+'Assumptions'!$B$29)^('Assumptions'!$B$14/12)/J133)*(1-'Assumptions'!$B$42)-'Debt Schedule'!$F$9</x:f>
        <x:v>3782312.4218401928</x:v>
      </x:c>
      <x:c r="P133" s="132" t="n">
        <x:f>((O133+(L133-N133-'Assumptions'!$B$27-'Assumptions'!$B$28)*('Assumptions'!$B$14/12))/ABS('Monthly Cash Flow'!$S$5))^(1/('Assumptions'!$B$14/12))-1</x:f>
        <x:v>0.24654828885715285</x:v>
      </x:c>
      <x:c r="Q133" s="133" t="n">
        <x:f>-ABS('Monthly Cash Flow'!$S$5)+((L133-N133-'Assumptions'!$B$27-'Assumptions'!$B$28)*(1-(1+'Assumptions'!$B$43)^-('Assumptions'!$B$14/12))/'Assumptions'!$B$43)+(O133/(1+'Assumptions'!$B$43)^('Assumptions'!$B$14/12))</x:f>
        <x:v>1140406.3100796053</x:v>
      </x:c>
    </x:row>
    <x:row r="134">
      <x:c r="A134" s="131" t="n">
        <x:f>127</x:f>
        <x:v>127</x:v>
      </x:c>
      <x:c r="B134" s="131" t="n">
        <x:f>MOD(ABS(SIN((A134+1)*12.9898+78.233)*43758.5453),1)</x:f>
        <x:v>0.3059770143700007</x:v>
      </x:c>
      <x:c r="C134" s="131" t="n">
        <x:f>MOD(ABS(SIN((A134+2)*12.9898+78.233)*43758.5453),1)</x:f>
        <x:v>0.19245567148027476</x:v>
      </x:c>
      <x:c r="D134" s="131" t="n">
        <x:f>MOD(ABS(SIN((A134+3)*12.9898+78.233)*43758.5453),1)</x:f>
        <x:v>0.08774368856393266</x:v>
      </x:c>
      <x:c r="E134" s="131" t="n">
        <x:f>MOD(ABS(SIN((A134+4)*12.9898+78.233)*43758.5453),1)</x:f>
        <x:v>0.3839650519803399</x:v>
      </x:c>
      <x:c r="F134" s="131" t="n">
        <x:f>MOD(ABS(SIN((A134+5)*12.9898+78.233)*43758.5453),1)</x:f>
        <x:v>0.8906338261076598</x:v>
      </x:c>
      <x:c r="G134" s="132" t="n">
        <x:f>IF(B134&lt;(('Assumptions'!$C$47-'Assumptions'!$B$47)/('Assumptions'!$D$47-'Assumptions'!$B$47)),'Assumptions'!$B$47+SQRT(B134*('Assumptions'!$D$47-'Assumptions'!$B$47)*('Assumptions'!$C$47-'Assumptions'!$B$47)),'Assumptions'!$D$47-SQRT((1-B134)*('Assumptions'!$D$47-'Assumptions'!$B$47)*('Assumptions'!$D$47-'Assumptions'!$C$47)))</x:f>
        <x:v>-0.014306077549921803</x:v>
      </x:c>
      <x:c r="H134" s="132" t="n">
        <x:f>IF(C134&lt;(('Assumptions'!$C$48-'Assumptions'!$B$48)/('Assumptions'!$D$48-'Assumptions'!$B$48)),'Assumptions'!$B$48+SQRT(C134*('Assumptions'!$D$48-'Assumptions'!$B$48)*('Assumptions'!$C$48-'Assumptions'!$B$48)),'Assumptions'!$D$48-SQRT((1-C134)*('Assumptions'!$D$48-'Assumptions'!$B$48)*('Assumptions'!$D$48-'Assumptions'!$C$48)))</x:f>
        <x:v>0.05520126417235664</x:v>
      </x:c>
      <x:c r="I134" s="132" t="n">
        <x:f>IF(D134&lt;(('Assumptions'!$C$49-'Assumptions'!$B$49)/('Assumptions'!$D$49-'Assumptions'!$B$49)),'Assumptions'!$B$49+SQRT(D134*('Assumptions'!$D$49-'Assumptions'!$B$49)*('Assumptions'!$C$49-'Assumptions'!$B$49)),'Assumptions'!$D$49-SQRT((1-D134)*('Assumptions'!$D$49-'Assumptions'!$B$49)*('Assumptions'!$D$49-'Assumptions'!$C$49)))</x:f>
        <x:v>0.0007836293586456905</x:v>
      </x:c>
      <x:c r="J134" s="132" t="n">
        <x:f>IF(E134&lt;(('Assumptions'!$C$50-'Assumptions'!$B$50)/('Assumptions'!$D$50-'Assumptions'!$B$50)),'Assumptions'!$B$50+SQRT(E134*('Assumptions'!$D$50-'Assumptions'!$B$50)*('Assumptions'!$C$50-'Assumptions'!$B$50)),'Assumptions'!$D$50-SQRT((1-E134)*('Assumptions'!$D$50-'Assumptions'!$B$50)*('Assumptions'!$D$50-'Assumptions'!$C$50)))</x:f>
        <x:v>0.06679473704284186</x:v>
      </x:c>
      <x:c r="K134" s="132" t="n">
        <x:f>IF(F134&lt;(('Assumptions'!$C$51-'Assumptions'!$B$51)/('Assumptions'!$D$51-'Assumptions'!$B$51)),'Assumptions'!$B$51+SQRT(F134*('Assumptions'!$D$51-'Assumptions'!$B$51)*('Assumptions'!$C$51-'Assumptions'!$B$51)),'Assumptions'!$D$51-SQRT((1-F134)*('Assumptions'!$D$51-'Assumptions'!$B$51)*('Assumptions'!$D$51-'Assumptions'!$C$51)))</x:f>
        <x:v>0.07774517600587798</x:v>
      </x:c>
      <x:c r="L134" s="133" t="n">
        <x:f>(('Assumptions'!$B$17*(1+G134)+'Assumptions'!$B$18)*(1-H134-'Assumptions'!$B$20)-SUM('Assumptions'!$B$21:$B$25)*(1+I134))-(('Assumptions'!$B$17*(1+G134)+'Assumptions'!$B$18)*(1-H134-'Assumptions'!$B$20)*'Assumptions'!$B$26)</x:f>
        <x:v>208499.2143691508</x:v>
      </x:c>
      <x:c r="M134" s="133" t="n">
        <x:f>'Assumptions'!$B$10*'Assumptions'!$B$33</x:f>
        <x:v>1950000</x:v>
      </x:c>
      <x:c r="N134" s="133" t="n">
        <x:f>-PMT(K134/12,'Assumptions'!$B$35*12,M134)*12</x:f>
        <x:v>168037.0936385554</x:v>
      </x:c>
      <x:c r="O134" s="133" t="n">
        <x:f>(L134*(1+'Assumptions'!$B$29)^('Assumptions'!$B$14/12)/J134)*(1-'Assumptions'!$B$42)-'Debt Schedule'!$F$9</x:f>
        <x:v>3401544.489359118</x:v>
      </x:c>
      <x:c r="P134" s="132" t="n">
        <x:f>((O134+(L134-N134-'Assumptions'!$B$27-'Assumptions'!$B$28)*('Assumptions'!$B$14/12))/ABS('Monthly Cash Flow'!$S$5))^(1/('Assumptions'!$B$14/12))-1</x:f>
        <x:v>0.21331565642634742</x:v>
      </x:c>
      <x:c r="Q134" s="133" t="n">
        <x:f>-ABS('Monthly Cash Flow'!$S$5)+((L134-N134-'Assumptions'!$B$27-'Assumptions'!$B$28)*(1-(1+'Assumptions'!$B$43)^-('Assumptions'!$B$14/12))/'Assumptions'!$B$43)+(O134/(1+'Assumptions'!$B$43)^('Assumptions'!$B$14/12))</x:f>
        <x:v>819343.3059288517</x:v>
      </x:c>
    </x:row>
    <x:row r="135">
      <x:c r="A135" s="131" t="n">
        <x:f>128</x:f>
        <x:v>128</x:v>
      </x:c>
      <x:c r="B135" s="131" t="n">
        <x:f>MOD(ABS(SIN((A135+1)*12.9898+78.233)*43758.5453),1)</x:f>
        <x:v>0.19245567148027476</x:v>
      </x:c>
      <x:c r="C135" s="131" t="n">
        <x:f>MOD(ABS(SIN((A135+2)*12.9898+78.233)*43758.5453),1)</x:f>
        <x:v>0.08774368856393266</x:v>
      </x:c>
      <x:c r="D135" s="131" t="n">
        <x:f>MOD(ABS(SIN((A135+3)*12.9898+78.233)*43758.5453),1)</x:f>
        <x:v>0.3839650519803399</x:v>
      </x:c>
      <x:c r="E135" s="131" t="n">
        <x:f>MOD(ABS(SIN((A135+4)*12.9898+78.233)*43758.5453),1)</x:f>
        <x:v>0.8906338261076598</x:v>
      </x:c>
      <x:c r="F135" s="131" t="n">
        <x:f>MOD(ABS(SIN((A135+5)*12.9898+78.233)*43758.5453),1)</x:f>
        <x:v>0.41170338099982473</x:v>
      </x:c>
      <x:c r="G135" s="132" t="n">
        <x:f>IF(B135&lt;(('Assumptions'!$C$47-'Assumptions'!$B$47)/('Assumptions'!$D$47-'Assumptions'!$B$47)),'Assumptions'!$B$47+SQRT(B135*('Assumptions'!$D$47-'Assumptions'!$B$47)*('Assumptions'!$C$47-'Assumptions'!$B$47)),'Assumptions'!$D$47-SQRT((1-B135)*('Assumptions'!$D$47-'Assumptions'!$B$47)*('Assumptions'!$D$47-'Assumptions'!$C$47)))</x:f>
        <x:v>-0.03203724464438927</x:v>
      </x:c>
      <x:c r="H135" s="132" t="n">
        <x:f>IF(C135&lt;(('Assumptions'!$C$48-'Assumptions'!$B$48)/('Assumptions'!$D$48-'Assumptions'!$B$48)),'Assumptions'!$B$48+SQRT(C135*('Assumptions'!$D$48-'Assumptions'!$B$48)*('Assumptions'!$C$48-'Assumptions'!$B$48)),'Assumptions'!$D$48-SQRT((1-C135)*('Assumptions'!$D$48-'Assumptions'!$B$48)*('Assumptions'!$D$48-'Assumptions'!$C$48)))</x:f>
        <x:v>0.04701629137799943</x:v>
      </x:c>
      <x:c r="I135" s="132" t="n">
        <x:f>IF(D135&lt;(('Assumptions'!$C$49-'Assumptions'!$B$49)/('Assumptions'!$D$49-'Assumptions'!$B$49)),'Assumptions'!$B$49+SQRT(D135*('Assumptions'!$D$49-'Assumptions'!$B$49)*('Assumptions'!$C$49-'Assumptions'!$B$49)),'Assumptions'!$D$49-SQRT((1-D135)*('Assumptions'!$D$49-'Assumptions'!$B$49)*('Assumptions'!$D$49-'Assumptions'!$C$49)))</x:f>
        <x:v>0.03464682545666696</x:v>
      </x:c>
      <x:c r="J135" s="132" t="n">
        <x:f>IF(E135&lt;(('Assumptions'!$C$50-'Assumptions'!$B$50)/('Assumptions'!$D$50-'Assumptions'!$B$50)),'Assumptions'!$B$50+SQRT(E135*('Assumptions'!$D$50-'Assumptions'!$B$50)*('Assumptions'!$C$50-'Assumptions'!$B$50)),'Assumptions'!$D$50-SQRT((1-E135)*('Assumptions'!$D$50-'Assumptions'!$B$50)*('Assumptions'!$D$50-'Assumptions'!$C$50)))</x:f>
        <x:v>0.07445389899053212</x:v>
      </x:c>
      <x:c r="K135" s="132" t="n">
        <x:f>IF(F135&lt;(('Assumptions'!$C$51-'Assumptions'!$B$51)/('Assumptions'!$D$51-'Assumptions'!$B$51)),'Assumptions'!$B$51+SQRT(F135*('Assumptions'!$D$51-'Assumptions'!$B$51)*('Assumptions'!$C$51-'Assumptions'!$B$51)),'Assumptions'!$D$51-SQRT((1-F135)*('Assumptions'!$D$51-'Assumptions'!$B$51)*('Assumptions'!$D$51-'Assumptions'!$C$51)))</x:f>
        <x:v>0.0681738968298113</x:v>
      </x:c>
      <x:c r="L135" s="133" t="n">
        <x:f>(('Assumptions'!$B$17*(1+G135)+'Assumptions'!$B$18)*(1-H135-'Assumptions'!$B$20)-SUM('Assumptions'!$B$21:$B$25)*(1+I135))-(('Assumptions'!$B$17*(1+G135)+'Assumptions'!$B$18)*(1-H135-'Assumptions'!$B$20)*'Assumptions'!$B$26)</x:f>
        <x:v>201383.6448971154</x:v>
      </x:c>
      <x:c r="M135" s="133" t="n">
        <x:f>'Assumptions'!$B$10*'Assumptions'!$B$33</x:f>
        <x:v>1950000</x:v>
      </x:c>
      <x:c r="N135" s="133" t="n">
        <x:f>-PMT(K135/12,'Assumptions'!$B$35*12,M135)*12</x:f>
        <x:v>152821.6458471716</x:v>
      </x:c>
      <x:c r="O135" s="133" t="n">
        <x:f>(L135*(1+'Assumptions'!$B$29)^('Assumptions'!$B$14/12)/J135)*(1-'Assumptions'!$B$42)-'Debt Schedule'!$F$9</x:f>
        <x:v>2947479.059950023</x:v>
      </x:c>
      <x:c r="P135" s="132" t="n">
        <x:f>((O135+(L135-N135-'Assumptions'!$B$27-'Assumptions'!$B$28)*('Assumptions'!$B$14/12))/ABS('Monthly Cash Flow'!$S$5))^(1/('Assumptions'!$B$14/12))-1</x:f>
        <x:v>0.1822851189720076</x:v>
      </x:c>
      <x:c r="Q135" s="133" t="n">
        <x:f>-ABS('Monthly Cash Flow'!$S$5)+((L135-N135-'Assumptions'!$B$27-'Assumptions'!$B$28)*(1-(1+'Assumptions'!$B$43)^-('Assumptions'!$B$14/12))/'Assumptions'!$B$43)+(O135/(1+'Assumptions'!$B$43)^('Assumptions'!$B$14/12))</x:f>
        <x:v>568109.3103115372</x:v>
      </x:c>
    </x:row>
    <x:row r="136">
      <x:c r="A136" s="131" t="n">
        <x:f>129</x:f>
        <x:v>129</x:v>
      </x:c>
      <x:c r="B136" s="131" t="n">
        <x:f>MOD(ABS(SIN((A136+1)*12.9898+78.233)*43758.5453),1)</x:f>
        <x:v>0.08774368856393266</x:v>
      </x:c>
      <x:c r="C136" s="131" t="n">
        <x:f>MOD(ABS(SIN((A136+2)*12.9898+78.233)*43758.5453),1)</x:f>
        <x:v>0.3839650519803399</x:v>
      </x:c>
      <x:c r="D136" s="131" t="n">
        <x:f>MOD(ABS(SIN((A136+3)*12.9898+78.233)*43758.5453),1)</x:f>
        <x:v>0.8906338261076598</x:v>
      </x:c>
      <x:c r="E136" s="131" t="n">
        <x:f>MOD(ABS(SIN((A136+4)*12.9898+78.233)*43758.5453),1)</x:f>
        <x:v>0.41170338099982473</x:v>
      </x:c>
      <x:c r="F136" s="131" t="n">
        <x:f>MOD(ABS(SIN((A136+5)*12.9898+78.233)*43758.5453),1)</x:f>
        <x:v>0.28669052860550437</x:v>
      </x:c>
      <x:c r="G136" s="132" t="n">
        <x:f>IF(B136&lt;(('Assumptions'!$C$47-'Assumptions'!$B$47)/('Assumptions'!$D$47-'Assumptions'!$B$47)),'Assumptions'!$B$47+SQRT(B136*('Assumptions'!$D$47-'Assumptions'!$B$47)*('Assumptions'!$C$47-'Assumptions'!$B$47)),'Assumptions'!$D$47-SQRT((1-B136)*('Assumptions'!$D$47-'Assumptions'!$B$47)*('Assumptions'!$D$47-'Assumptions'!$C$47)))</x:f>
        <x:v>-0.054110474773273326</x:v>
      </x:c>
      <x:c r="H136" s="132" t="n">
        <x:f>IF(C136&lt;(('Assumptions'!$C$48-'Assumptions'!$B$48)/('Assumptions'!$D$48-'Assumptions'!$B$48)),'Assumptions'!$B$48+SQRT(C136*('Assumptions'!$D$48-'Assumptions'!$B$48)*('Assumptions'!$C$48-'Assumptions'!$B$48)),'Assumptions'!$D$48-SQRT((1-C136)*('Assumptions'!$D$48-'Assumptions'!$B$48)*('Assumptions'!$D$48-'Assumptions'!$C$48)))</x:f>
        <x:v>0.0663718291509764</x:v>
      </x:c>
      <x:c r="I136" s="132" t="n">
        <x:f>IF(D136&lt;(('Assumptions'!$C$49-'Assumptions'!$B$49)/('Assumptions'!$D$49-'Assumptions'!$B$49)),'Assumptions'!$B$49+SQRT(D136*('Assumptions'!$D$49-'Assumptions'!$B$49)*('Assumptions'!$C$49-'Assumptions'!$B$49)),'Assumptions'!$D$49-SQRT((1-D136)*('Assumptions'!$D$49-'Assumptions'!$B$49)*('Assumptions'!$D$49-'Assumptions'!$C$49)))</x:f>
        <x:v>0.10139640593459628</x:v>
      </x:c>
      <x:c r="J136" s="132" t="n">
        <x:f>IF(E136&lt;(('Assumptions'!$C$50-'Assumptions'!$B$50)/('Assumptions'!$D$50-'Assumptions'!$B$50)),'Assumptions'!$B$50+SQRT(E136*('Assumptions'!$D$50-'Assumptions'!$B$50)*('Assumptions'!$C$50-'Assumptions'!$B$50)),'Assumptions'!$D$50-SQRT((1-E136)*('Assumptions'!$D$50-'Assumptions'!$B$50)*('Assumptions'!$D$50-'Assumptions'!$C$50)))</x:f>
        <x:v>0.06712461743265469</x:v>
      </x:c>
      <x:c r="K136" s="132" t="n">
        <x:f>IF(F136&lt;(('Assumptions'!$C$51-'Assumptions'!$B$51)/('Assumptions'!$D$51-'Assumptions'!$B$51)),'Assumptions'!$B$51+SQRT(F136*('Assumptions'!$D$51-'Assumptions'!$B$51)*('Assumptions'!$C$51-'Assumptions'!$B$51)),'Assumptions'!$D$51-SQRT((1-F136)*('Assumptions'!$D$51-'Assumptions'!$B$51)*('Assumptions'!$D$51-'Assumptions'!$C$51)))</x:f>
        <x:v>0.06637918326010415</x:v>
      </x:c>
      <x:c r="L136" s="133" t="n">
        <x:f>(('Assumptions'!$B$17*(1+G136)+'Assumptions'!$B$18)*(1-H136-'Assumptions'!$B$20)-SUM('Assumptions'!$B$21:$B$25)*(1+I136))-(('Assumptions'!$B$17*(1+G136)+'Assumptions'!$B$18)*(1-H136-'Assumptions'!$B$20)*'Assumptions'!$B$26)</x:f>
        <x:v>179117.8609153107</x:v>
      </x:c>
      <x:c r="M136" s="133" t="n">
        <x:f>'Assumptions'!$B$10*'Assumptions'!$B$33</x:f>
        <x:v>1950000</x:v>
      </x:c>
      <x:c r="N136" s="133" t="n">
        <x:f>-PMT(K136/12,'Assumptions'!$B$35*12,M136)*12</x:f>
        <x:v>150032.69683463103</x:v>
      </x:c>
      <x:c r="O136" s="133" t="n">
        <x:f>(L136*(1+'Assumptions'!$B$29)^('Assumptions'!$B$14/12)/J136)*(1-'Assumptions'!$B$42)-'Debt Schedule'!$F$9</x:f>
        <x:v>2907843.6246557534</x:v>
      </x:c>
      <x:c r="P136" s="132" t="n">
        <x:f>((O136+(L136-N136-'Assumptions'!$B$27-'Assumptions'!$B$28)*('Assumptions'!$B$14/12))/ABS('Monthly Cash Flow'!$S$5))^(1/('Assumptions'!$B$14/12))-1</x:f>
        <x:v>0.17124606868785053</x:v>
      </x:c>
      <x:c r="Q136" s="133" t="n">
        <x:f>-ABS('Monthly Cash Flow'!$S$5)+((L136-N136-'Assumptions'!$B$27-'Assumptions'!$B$28)*(1-(1+'Assumptions'!$B$43)^-('Assumptions'!$B$14/12))/'Assumptions'!$B$43)+(O136/(1+'Assumptions'!$B$43)^('Assumptions'!$B$14/12))</x:f>
        <x:v>469666.2950771556</x:v>
      </x:c>
    </x:row>
    <x:row r="137">
      <x:c r="A137" s="131" t="n">
        <x:f>130</x:f>
        <x:v>130</x:v>
      </x:c>
      <x:c r="B137" s="131" t="n">
        <x:f>MOD(ABS(SIN((A137+1)*12.9898+78.233)*43758.5453),1)</x:f>
        <x:v>0.3839650519803399</x:v>
      </x:c>
      <x:c r="C137" s="131" t="n">
        <x:f>MOD(ABS(SIN((A137+2)*12.9898+78.233)*43758.5453),1)</x:f>
        <x:v>0.8906338261076598</x:v>
      </x:c>
      <x:c r="D137" s="131" t="n">
        <x:f>MOD(ABS(SIN((A137+3)*12.9898+78.233)*43758.5453),1)</x:f>
        <x:v>0.41170338099982473</x:v>
      </x:c>
      <x:c r="E137" s="131" t="n">
        <x:f>MOD(ABS(SIN((A137+4)*12.9898+78.233)*43758.5453),1)</x:f>
        <x:v>0.28669052860550437</x:v>
      </x:c>
      <x:c r="F137" s="131" t="n">
        <x:f>MOD(ABS(SIN((A137+5)*12.9898+78.233)*43758.5453),1)</x:f>
        <x:v>0.9879354279273684</x:v>
      </x:c>
      <x:c r="G137" s="132" t="n">
        <x:f>IF(B137&lt;(('Assumptions'!$C$47-'Assumptions'!$B$47)/('Assumptions'!$D$47-'Assumptions'!$B$47)),'Assumptions'!$B$47+SQRT(B137*('Assumptions'!$D$47-'Assumptions'!$B$47)*('Assumptions'!$C$47-'Assumptions'!$B$47)),'Assumptions'!$D$47-SQRT((1-B137)*('Assumptions'!$D$47-'Assumptions'!$B$47)*('Assumptions'!$D$47-'Assumptions'!$C$47)))</x:f>
        <x:v>-0.004004368601856892</x:v>
      </x:c>
      <x:c r="H137" s="132" t="n">
        <x:f>IF(C137&lt;(('Assumptions'!$C$48-'Assumptions'!$B$48)/('Assumptions'!$D$48-'Assumptions'!$B$48)),'Assumptions'!$B$48+SQRT(C137*('Assumptions'!$D$48-'Assumptions'!$B$48)*('Assumptions'!$C$48-'Assumptions'!$B$48)),'Assumptions'!$D$48-SQRT((1-C137)*('Assumptions'!$D$48-'Assumptions'!$B$48)*('Assumptions'!$D$48-'Assumptions'!$C$48)))</x:f>
        <x:v>0.10897706767159827</x:v>
      </x:c>
      <x:c r="I137" s="132" t="n">
        <x:f>IF(D137&lt;(('Assumptions'!$C$49-'Assumptions'!$B$49)/('Assumptions'!$D$49-'Assumptions'!$B$49)),'Assumptions'!$B$49+SQRT(D137*('Assumptions'!$D$49-'Assumptions'!$B$49)*('Assumptions'!$C$49-'Assumptions'!$B$49)),'Assumptions'!$D$49-SQRT((1-D137)*('Assumptions'!$D$49-'Assumptions'!$B$49)*('Assumptions'!$D$49-'Assumptions'!$C$49)))</x:f>
        <x:v>0.037273752078747044</x:v>
      </x:c>
      <x:c r="J137" s="132" t="n">
        <x:f>IF(E137&lt;(('Assumptions'!$C$50-'Assumptions'!$B$50)/('Assumptions'!$D$50-'Assumptions'!$B$50)),'Assumptions'!$B$50+SQRT(E137*('Assumptions'!$D$50-'Assumptions'!$B$50)*('Assumptions'!$C$50-'Assumptions'!$B$50)),'Assumptions'!$D$50-SQRT((1-E137)*('Assumptions'!$D$50-'Assumptions'!$B$50)*('Assumptions'!$D$50-'Assumptions'!$C$50)))</x:f>
        <x:v>0.06553152345051912</x:v>
      </x:c>
      <x:c r="K137" s="132" t="n">
        <x:f>IF(F137&lt;(('Assumptions'!$C$51-'Assumptions'!$B$51)/('Assumptions'!$D$51-'Assumptions'!$B$51)),'Assumptions'!$B$51+SQRT(F137*('Assumptions'!$D$51-'Assumptions'!$B$51)*('Assumptions'!$C$51-'Assumptions'!$B$51)),'Assumptions'!$D$51-SQRT((1-F137)*('Assumptions'!$D$51-'Assumptions'!$B$51)*('Assumptions'!$D$51-'Assumptions'!$C$51)))</x:f>
        <x:v>0.08259042009678992</x:v>
      </x:c>
      <x:c r="L137" s="133" t="n">
        <x:f>(('Assumptions'!$B$17*(1+G137)+'Assumptions'!$B$18)*(1-H137-'Assumptions'!$B$20)-SUM('Assumptions'!$B$21:$B$25)*(1+I137))-(('Assumptions'!$B$17*(1+G137)+'Assumptions'!$B$18)*(1-H137-'Assumptions'!$B$20)*'Assumptions'!$B$26)</x:f>
        <x:v>187789.85266120016</x:v>
      </x:c>
      <x:c r="M137" s="133" t="n">
        <x:f>'Assumptions'!$B$10*'Assumptions'!$B$33</x:f>
        <x:v>1950000</x:v>
      </x:c>
      <x:c r="N137" s="133" t="n">
        <x:f>-PMT(K137/12,'Assumptions'!$B$35*12,M137)*12</x:f>
        <x:v>175945.152576476</x:v>
      </x:c>
      <x:c r="O137" s="133" t="n">
        <x:f>(L137*(1+'Assumptions'!$B$29)^('Assumptions'!$B$14/12)/J137)*(1-'Assumptions'!$B$42)-'Debt Schedule'!$F$9</x:f>
        <x:v>3122740.055095123</x:v>
      </x:c>
      <x:c r="P137" s="132" t="n">
        <x:f>((O137+(L137-N137-'Assumptions'!$B$27-'Assumptions'!$B$28)*('Assumptions'!$B$14/12))/ABS('Monthly Cash Flow'!$S$5))^(1/('Assumptions'!$B$14/12))-1</x:f>
        <x:v>0.1816260459163037</x:v>
      </x:c>
      <x:c r="Q137" s="133" t="n">
        <x:f>-ABS('Monthly Cash Flow'!$S$5)+((L137-N137-'Assumptions'!$B$27-'Assumptions'!$B$28)*(1-(1+'Assumptions'!$B$43)^-('Assumptions'!$B$14/12))/'Assumptions'!$B$43)+(O137/(1+'Assumptions'!$B$43)^('Assumptions'!$B$14/12))</x:f>
        <x:v>537745.1481719278</x:v>
      </x:c>
    </x:row>
    <x:row r="138">
      <x:c r="A138" s="131" t="n">
        <x:f>131</x:f>
        <x:v>131</x:v>
      </x:c>
      <x:c r="B138" s="131" t="n">
        <x:f>MOD(ABS(SIN((A138+1)*12.9898+78.233)*43758.5453),1)</x:f>
        <x:v>0.8906338261076598</x:v>
      </x:c>
      <x:c r="C138" s="131" t="n">
        <x:f>MOD(ABS(SIN((A138+2)*12.9898+78.233)*43758.5453),1)</x:f>
        <x:v>0.41170338099982473</x:v>
      </x:c>
      <x:c r="D138" s="131" t="n">
        <x:f>MOD(ABS(SIN((A138+3)*12.9898+78.233)*43758.5453),1)</x:f>
        <x:v>0.28669052860550437</x:v>
      </x:c>
      <x:c r="E138" s="131" t="n">
        <x:f>MOD(ABS(SIN((A138+4)*12.9898+78.233)*43758.5453),1)</x:f>
        <x:v>0.9879354279273684</x:v>
      </x:c>
      <x:c r="F138" s="131" t="n">
        <x:f>MOD(ABS(SIN((A138+5)*12.9898+78.233)*43758.5453),1)</x:f>
        <x:v>0.9824272778751038</x:v>
      </x:c>
      <x:c r="G138" s="132" t="n">
        <x:f>IF(B138&lt;(('Assumptions'!$C$47-'Assumptions'!$B$47)/('Assumptions'!$D$47-'Assumptions'!$B$47)),'Assumptions'!$B$47+SQRT(B138*('Assumptions'!$D$47-'Assumptions'!$B$47)*('Assumptions'!$C$47-'Assumptions'!$B$47)),'Assumptions'!$D$47-SQRT((1-B138)*('Assumptions'!$D$47-'Assumptions'!$B$47)*('Assumptions'!$D$47-'Assumptions'!$C$47)))</x:f>
        <x:v>0.05816868658197018</x:v>
      </x:c>
      <x:c r="H138" s="132" t="n">
        <x:f>IF(C138&lt;(('Assumptions'!$C$48-'Assumptions'!$B$48)/('Assumptions'!$D$48-'Assumptions'!$B$48)),'Assumptions'!$B$48+SQRT(C138*('Assumptions'!$D$48-'Assumptions'!$B$48)*('Assumptions'!$C$48-'Assumptions'!$B$48)),'Assumptions'!$D$48-SQRT((1-C138)*('Assumptions'!$D$48-'Assumptions'!$B$48)*('Assumptions'!$D$48-'Assumptions'!$C$48)))</x:f>
        <x:v>0.06804855632302058</x:v>
      </x:c>
      <x:c r="I138" s="132" t="n">
        <x:f>IF(D138&lt;(('Assumptions'!$C$49-'Assumptions'!$B$49)/('Assumptions'!$D$49-'Assumptions'!$B$49)),'Assumptions'!$B$49+SQRT(D138*('Assumptions'!$D$49-'Assumptions'!$B$49)*('Assumptions'!$C$49-'Assumptions'!$B$49)),'Assumptions'!$D$49-SQRT((1-D138)*('Assumptions'!$D$49-'Assumptions'!$B$49)*('Assumptions'!$D$49-'Assumptions'!$C$49)))</x:f>
        <x:v>0.02564402671392004</x:v>
      </x:c>
      <x:c r="J138" s="132" t="n">
        <x:f>IF(E138&lt;(('Assumptions'!$C$50-'Assumptions'!$B$50)/('Assumptions'!$D$50-'Assumptions'!$B$50)),'Assumptions'!$B$50+SQRT(E138*('Assumptions'!$D$50-'Assumptions'!$B$50)*('Assumptions'!$C$50-'Assumptions'!$B$50)),'Assumptions'!$D$50-SQRT((1-E138)*('Assumptions'!$D$50-'Assumptions'!$B$50)*('Assumptions'!$D$50-'Assumptions'!$C$50)))</x:f>
        <x:v>0.07815794655467666</x:v>
      </x:c>
      <x:c r="K138" s="132" t="n">
        <x:f>IF(F138&lt;(('Assumptions'!$C$51-'Assumptions'!$B$51)/('Assumptions'!$D$51-'Assumptions'!$B$51)),'Assumptions'!$B$51+SQRT(F138*('Assumptions'!$D$51-'Assumptions'!$B$51)*('Assumptions'!$C$51-'Assumptions'!$B$51)),'Assumptions'!$D$51-SQRT((1-F138)*('Assumptions'!$D$51-'Assumptions'!$B$51)*('Assumptions'!$D$51-'Assumptions'!$C$51)))</x:f>
        <x:v>0.0820919297596849</x:v>
      </x:c>
      <x:c r="L138" s="133" t="n">
        <x:f>(('Assumptions'!$B$17*(1+G138)+'Assumptions'!$B$18)*(1-H138-'Assumptions'!$B$20)-SUM('Assumptions'!$B$21:$B$25)*(1+I138))-(('Assumptions'!$B$17*(1+G138)+'Assumptions'!$B$18)*(1-H138-'Assumptions'!$B$20)*'Assumptions'!$B$26)</x:f>
        <x:v>223860.67281530023</x:v>
      </x:c>
      <x:c r="M138" s="133" t="n">
        <x:f>'Assumptions'!$B$10*'Assumptions'!$B$33</x:f>
        <x:v>1950000</x:v>
      </x:c>
      <x:c r="N138" s="133" t="n">
        <x:f>-PMT(K138/12,'Assumptions'!$B$35*12,M138)*12</x:f>
        <x:v>175125.54405129558</x:v>
      </x:c>
      <x:c r="O138" s="133" t="n">
        <x:f>(L138*(1+'Assumptions'!$B$29)^('Assumptions'!$B$14/12)/J138)*(1-'Assumptions'!$B$42)-'Debt Schedule'!$F$9</x:f>
        <x:v>3121178.7482731366</x:v>
      </x:c>
      <x:c r="P138" s="132" t="n">
        <x:f>((O138+(L138-N138-'Assumptions'!$B$27-'Assumptions'!$B$28)*('Assumptions'!$B$14/12))/ABS('Monthly Cash Flow'!$S$5))^(1/('Assumptions'!$B$14/12))-1</x:f>
        <x:v>0.19577738556645685</x:v>
      </x:c>
      <x:c r="Q138" s="133" t="n">
        <x:f>-ABS('Monthly Cash Flow'!$S$5)+((L138-N138-'Assumptions'!$B$27-'Assumptions'!$B$28)*(1-(1+'Assumptions'!$B$43)^-('Assumptions'!$B$14/12))/'Assumptions'!$B$43)+(O138/(1+'Assumptions'!$B$43)^('Assumptions'!$B$14/12))</x:f>
        <x:v>676619.4484295412</x:v>
      </x:c>
    </x:row>
    <x:row r="139">
      <x:c r="A139" s="131" t="n">
        <x:f>132</x:f>
        <x:v>132</x:v>
      </x:c>
      <x:c r="B139" s="131" t="n">
        <x:f>MOD(ABS(SIN((A139+1)*12.9898+78.233)*43758.5453),1)</x:f>
        <x:v>0.41170338099982473</x:v>
      </x:c>
      <x:c r="C139" s="131" t="n">
        <x:f>MOD(ABS(SIN((A139+2)*12.9898+78.233)*43758.5453),1)</x:f>
        <x:v>0.28669052860550437</x:v>
      </x:c>
      <x:c r="D139" s="131" t="n">
        <x:f>MOD(ABS(SIN((A139+3)*12.9898+78.233)*43758.5453),1)</x:f>
        <x:v>0.9879354279273684</x:v>
      </x:c>
      <x:c r="E139" s="131" t="n">
        <x:f>MOD(ABS(SIN((A139+4)*12.9898+78.233)*43758.5453),1)</x:f>
        <x:v>0.9824272778751038</x:v>
      </x:c>
      <x:c r="F139" s="131" t="n">
        <x:f>MOD(ABS(SIN((A139+5)*12.9898+78.233)*43758.5453),1)</x:f>
        <x:v>0.4531244046156644</x:v>
      </x:c>
      <x:c r="G139" s="132" t="n">
        <x:f>IF(B139&lt;(('Assumptions'!$C$47-'Assumptions'!$B$47)/('Assumptions'!$D$47-'Assumptions'!$B$47)),'Assumptions'!$B$47+SQRT(B139*('Assumptions'!$D$47-'Assumptions'!$B$47)*('Assumptions'!$C$47-'Assumptions'!$B$47)),'Assumptions'!$D$47-SQRT((1-B139)*('Assumptions'!$D$47-'Assumptions'!$B$47)*('Assumptions'!$D$47-'Assumptions'!$C$47)))</x:f>
        <x:v>-0.0005973785858954667</x:v>
      </x:c>
      <x:c r="H139" s="132" t="n">
        <x:f>IF(C139&lt;(('Assumptions'!$C$48-'Assumptions'!$B$48)/('Assumptions'!$D$48-'Assumptions'!$B$48)),'Assumptions'!$B$48+SQRT(C139*('Assumptions'!$D$48-'Assumptions'!$B$48)*('Assumptions'!$C$48-'Assumptions'!$B$48)),'Assumptions'!$D$48-SQRT((1-C139)*('Assumptions'!$D$48-'Assumptions'!$B$48)*('Assumptions'!$D$48-'Assumptions'!$C$48)))</x:f>
        <x:v>0.06077170108937362</x:v>
      </x:c>
      <x:c r="I139" s="132" t="n">
        <x:f>IF(D139&lt;(('Assumptions'!$C$49-'Assumptions'!$B$49)/('Assumptions'!$D$49-'Assumptions'!$B$49)),'Assumptions'!$B$49+SQRT(D139*('Assumptions'!$D$49-'Assumptions'!$B$49)*('Assumptions'!$C$49-'Assumptions'!$B$49)),'Assumptions'!$D$49-SQRT((1-D139)*('Assumptions'!$D$49-'Assumptions'!$B$49)*('Assumptions'!$D$49-'Assumptions'!$C$49)))</x:f>
        <x:v>0.13385705241386064</x:v>
      </x:c>
      <x:c r="J139" s="132" t="n">
        <x:f>IF(E139&lt;(('Assumptions'!$C$50-'Assumptions'!$B$50)/('Assumptions'!$D$50-'Assumptions'!$B$50)),'Assumptions'!$B$50+SQRT(E139*('Assumptions'!$D$50-'Assumptions'!$B$50)*('Assumptions'!$C$50-'Assumptions'!$B$50)),'Assumptions'!$D$50-SQRT((1-E139)*('Assumptions'!$D$50-'Assumptions'!$B$50)*('Assumptions'!$D$50-'Assumptions'!$C$50)))</x:f>
        <x:v>0.07777686525428011</x:v>
      </x:c>
      <x:c r="K139" s="132" t="n">
        <x:f>IF(F139&lt;(('Assumptions'!$C$51-'Assumptions'!$B$51)/('Assumptions'!$D$51-'Assumptions'!$B$51)),'Assumptions'!$B$51+SQRT(F139*('Assumptions'!$D$51-'Assumptions'!$B$51)*('Assumptions'!$C$51-'Assumptions'!$B$51)),'Assumptions'!$D$51-SQRT((1-F139)*('Assumptions'!$D$51-'Assumptions'!$B$51)*('Assumptions'!$D$51-'Assumptions'!$C$51)))</x:f>
        <x:v>0.06877705697850382</x:v>
      </x:c>
      <x:c r="L139" s="133" t="n">
        <x:f>(('Assumptions'!$B$17*(1+G139)+'Assumptions'!$B$18)*(1-H139-'Assumptions'!$B$20)-SUM('Assumptions'!$B$21:$B$25)*(1+I139))-(('Assumptions'!$B$17*(1+G139)+'Assumptions'!$B$18)*(1-H139-'Assumptions'!$B$20)*'Assumptions'!$B$26)</x:f>
        <x:v>194140.53356881317</x:v>
      </x:c>
      <x:c r="M139" s="133" t="n">
        <x:f>'Assumptions'!$B$10*'Assumptions'!$B$33</x:f>
        <x:v>1950000</x:v>
      </x:c>
      <x:c r="N139" s="133" t="n">
        <x:f>-PMT(K139/12,'Assumptions'!$B$35*12,M139)*12</x:f>
        <x:v>153763.649720263</x:v>
      </x:c>
      <x:c r="O139" s="133" t="n">
        <x:f>(L139*(1+'Assumptions'!$B$29)^('Assumptions'!$B$14/12)/J139)*(1-'Assumptions'!$B$42)-'Debt Schedule'!$F$9</x:f>
        <x:v>2720067.9971506842</x:v>
      </x:c>
      <x:c r="P139" s="132" t="n">
        <x:f>((O139+(L139-N139-'Assumptions'!$B$27-'Assumptions'!$B$28)*('Assumptions'!$B$14/12))/ABS('Monthly Cash Flow'!$S$5))^(1/('Assumptions'!$B$14/12))-1</x:f>
        <x:v>0.16026100085857853</x:v>
      </x:c>
      <x:c r="Q139" s="133" t="n">
        <x:f>-ABS('Monthly Cash Flow'!$S$5)+((L139-N139-'Assumptions'!$B$27-'Assumptions'!$B$28)*(1-(1+'Assumptions'!$B$43)^-('Assumptions'!$B$14/12))/'Assumptions'!$B$43)+(O139/(1+'Assumptions'!$B$43)^('Assumptions'!$B$14/12))</x:f>
        <x:v>395876.9059083564</x:v>
      </x:c>
    </x:row>
    <x:row r="140">
      <x:c r="A140" s="131" t="n">
        <x:f>133</x:f>
        <x:v>133</x:v>
      </x:c>
      <x:c r="B140" s="131" t="n">
        <x:f>MOD(ABS(SIN((A140+1)*12.9898+78.233)*43758.5453),1)</x:f>
        <x:v>0.28669052860550437</x:v>
      </x:c>
      <x:c r="C140" s="131" t="n">
        <x:f>MOD(ABS(SIN((A140+2)*12.9898+78.233)*43758.5453),1)</x:f>
        <x:v>0.9879354279273684</x:v>
      </x:c>
      <x:c r="D140" s="131" t="n">
        <x:f>MOD(ABS(SIN((A140+3)*12.9898+78.233)*43758.5453),1)</x:f>
        <x:v>0.9824272778751038</x:v>
      </x:c>
      <x:c r="E140" s="131" t="n">
        <x:f>MOD(ABS(SIN((A140+4)*12.9898+78.233)*43758.5453),1)</x:f>
        <x:v>0.4531244046156644</x:v>
      </x:c>
      <x:c r="F140" s="131" t="n">
        <x:f>MOD(ABS(SIN((A140+5)*12.9898+78.233)*43758.5453),1)</x:f>
        <x:v>0.48092895108129596</x:v>
      </x:c>
      <x:c r="G140" s="132" t="n">
        <x:f>IF(B140&lt;(('Assumptions'!$C$47-'Assumptions'!$B$47)/('Assumptions'!$D$47-'Assumptions'!$B$47)),'Assumptions'!$B$47+SQRT(B140*('Assumptions'!$D$47-'Assumptions'!$B$47)*('Assumptions'!$C$47-'Assumptions'!$B$47)),'Assumptions'!$D$47-SQRT((1-B140)*('Assumptions'!$D$47-'Assumptions'!$B$47)*('Assumptions'!$D$47-'Assumptions'!$C$47)))</x:f>
        <x:v>-0.01705078248390704</x:v>
      </x:c>
      <x:c r="H140" s="132" t="n">
        <x:f>IF(C140&lt;(('Assumptions'!$C$48-'Assumptions'!$B$48)/('Assumptions'!$D$48-'Assumptions'!$B$48)),'Assumptions'!$B$48+SQRT(C140*('Assumptions'!$D$48-'Assumptions'!$B$48)*('Assumptions'!$C$48-'Assumptions'!$B$48)),'Assumptions'!$D$48-SQRT((1-C140)*('Assumptions'!$D$48-'Assumptions'!$B$48)*('Assumptions'!$D$48-'Assumptions'!$C$48)))</x:f>
        <x:v>0.12969620292129364</x:v>
      </x:c>
      <x:c r="I140" s="132" t="n">
        <x:f>IF(D140&lt;(('Assumptions'!$C$49-'Assumptions'!$B$49)/('Assumptions'!$D$49-'Assumptions'!$B$49)),'Assumptions'!$B$49+SQRT(D140*('Assumptions'!$D$49-'Assumptions'!$B$49)*('Assumptions'!$C$49-'Assumptions'!$B$49)),'Assumptions'!$D$49-SQRT((1-D140)*('Assumptions'!$D$49-'Assumptions'!$B$49)*('Assumptions'!$D$49-'Assumptions'!$C$49)))</x:f>
        <x:v>0.1305174232223312</x:v>
      </x:c>
      <x:c r="J140" s="132" t="n">
        <x:f>IF(E140&lt;(('Assumptions'!$C$50-'Assumptions'!$B$50)/('Assumptions'!$D$50-'Assumptions'!$B$50)),'Assumptions'!$B$50+SQRT(E140*('Assumptions'!$D$50-'Assumptions'!$B$50)*('Assumptions'!$C$50-'Assumptions'!$B$50)),'Assumptions'!$D$50-SQRT((1-E140)*('Assumptions'!$D$50-'Assumptions'!$B$50)*('Assumptions'!$D$50-'Assumptions'!$C$50)))</x:f>
        <x:v>0.06759803397836277</x:v>
      </x:c>
      <x:c r="K140" s="132" t="n">
        <x:f>IF(F140&lt;(('Assumptions'!$C$51-'Assumptions'!$B$51)/('Assumptions'!$D$51-'Assumptions'!$B$51)),'Assumptions'!$B$51+SQRT(F140*('Assumptions'!$D$51-'Assumptions'!$B$51)*('Assumptions'!$C$51-'Assumptions'!$B$51)),'Assumptions'!$D$51-SQRT((1-F140)*('Assumptions'!$D$51-'Assumptions'!$B$51)*('Assumptions'!$D$51-'Assumptions'!$C$51)))</x:f>
        <x:v>0.06919484443948348</x:v>
      </x:c>
      <x:c r="L140" s="133" t="n">
        <x:f>(('Assumptions'!$B$17*(1+G140)+'Assumptions'!$B$18)*(1-H140-'Assumptions'!$B$20)-SUM('Assumptions'!$B$21:$B$25)*(1+I140))-(('Assumptions'!$B$17*(1+G140)+'Assumptions'!$B$18)*(1-H140-'Assumptions'!$B$20)*'Assumptions'!$B$26)</x:f>
        <x:v>164672.29099080528</x:v>
      </x:c>
      <x:c r="M140" s="133" t="n">
        <x:f>'Assumptions'!$B$10*'Assumptions'!$B$33</x:f>
        <x:v>1950000</x:v>
      </x:c>
      <x:c r="N140" s="133" t="n">
        <x:f>-PMT(K140/12,'Assumptions'!$B$35*12,M140)*12</x:f>
        <x:v>154417.51490913314</x:v>
      </x:c>
      <x:c r="O140" s="133" t="n">
        <x:f>(L140*(1+'Assumptions'!$B$29)^('Assumptions'!$B$14/12)/J140)*(1-'Assumptions'!$B$42)-'Debt Schedule'!$F$9</x:f>
        <x:v>2654608.249355164</x:v>
      </x:c>
      <x:c r="P140" s="132" t="n">
        <x:f>((O140+(L140-N140-'Assumptions'!$B$27-'Assumptions'!$B$28)*('Assumptions'!$B$14/12))/ABS('Monthly Cash Flow'!$S$5))^(1/('Assumptions'!$B$14/12))-1</x:f>
        <x:v>0.14122615618426293</x:v>
      </x:c>
      <x:c r="Q140" s="133" t="n">
        <x:f>-ABS('Monthly Cash Flow'!$S$5)+((L140-N140-'Assumptions'!$B$27-'Assumptions'!$B$28)*(1-(1+'Assumptions'!$B$43)^-('Assumptions'!$B$14/12))/'Assumptions'!$B$43)+(O140/(1+'Assumptions'!$B$43)^('Assumptions'!$B$14/12))</x:f>
        <x:v>241045.06511066644</x:v>
      </x:c>
    </x:row>
    <x:row r="141">
      <x:c r="A141" s="131" t="n">
        <x:f>134</x:f>
        <x:v>134</x:v>
      </x:c>
      <x:c r="B141" s="131" t="n">
        <x:f>MOD(ABS(SIN((A141+1)*12.9898+78.233)*43758.5453),1)</x:f>
        <x:v>0.9879354279273684</x:v>
      </x:c>
      <x:c r="C141" s="131" t="n">
        <x:f>MOD(ABS(SIN((A141+2)*12.9898+78.233)*43758.5453),1)</x:f>
        <x:v>0.9824272778751038</x:v>
      </x:c>
      <x:c r="D141" s="131" t="n">
        <x:f>MOD(ABS(SIN((A141+3)*12.9898+78.233)*43758.5453),1)</x:f>
        <x:v>0.4531244046156644</x:v>
      </x:c>
      <x:c r="E141" s="131" t="n">
        <x:f>MOD(ABS(SIN((A141+4)*12.9898+78.233)*43758.5453),1)</x:f>
        <x:v>0.48092895108129596</x:v>
      </x:c>
      <x:c r="F141" s="131" t="n">
        <x:f>MOD(ABS(SIN((A141+5)*12.9898+78.233)*43758.5453),1)</x:f>
        <x:v>0.642899833372212</x:v>
      </x:c>
      <x:c r="G141" s="132" t="n">
        <x:f>IF(B141&lt;(('Assumptions'!$C$47-'Assumptions'!$B$47)/('Assumptions'!$D$47-'Assumptions'!$B$47)),'Assumptions'!$B$47+SQRT(B141*('Assumptions'!$D$47-'Assumptions'!$B$47)*('Assumptions'!$C$47-'Assumptions'!$B$47)),'Assumptions'!$D$47-SQRT((1-B141)*('Assumptions'!$D$47-'Assumptions'!$B$47)*('Assumptions'!$D$47-'Assumptions'!$C$47)))</x:f>
        <x:v>0.08610636285337403</x:v>
      </x:c>
      <x:c r="H141" s="132" t="n">
        <x:f>IF(C141&lt;(('Assumptions'!$C$48-'Assumptions'!$B$48)/('Assumptions'!$D$48-'Assumptions'!$B$48)),'Assumptions'!$B$48+SQRT(C141*('Assumptions'!$D$48-'Assumptions'!$B$48)*('Assumptions'!$C$48-'Assumptions'!$B$48)),'Assumptions'!$D$48-SQRT((1-C141)*('Assumptions'!$D$48-'Assumptions'!$B$48)*('Assumptions'!$D$48-'Assumptions'!$C$48)))</x:f>
        <x:v>0.1275645685760772</x:v>
      </x:c>
      <x:c r="I141" s="132" t="n">
        <x:f>IF(D141&lt;(('Assumptions'!$C$49-'Assumptions'!$B$49)/('Assumptions'!$D$49-'Assumptions'!$B$49)),'Assumptions'!$B$49+SQRT(D141*('Assumptions'!$D$49-'Assumptions'!$B$49)*('Assumptions'!$C$49-'Assumptions'!$B$49)),'Assumptions'!$D$49-SQRT((1-D141)*('Assumptions'!$D$49-'Assumptions'!$B$49)*('Assumptions'!$D$49-'Assumptions'!$C$49)))</x:f>
        <x:v>0.041314615240586966</x:v>
      </x:c>
      <x:c r="J141" s="132" t="n">
        <x:f>IF(E141&lt;(('Assumptions'!$C$50-'Assumptions'!$B$50)/('Assumptions'!$D$50-'Assumptions'!$B$50)),'Assumptions'!$B$50+SQRT(E141*('Assumptions'!$D$50-'Assumptions'!$B$50)*('Assumptions'!$C$50-'Assumptions'!$B$50)),'Assumptions'!$D$50-SQRT((1-E141)*('Assumptions'!$D$50-'Assumptions'!$B$50)*('Assumptions'!$D$50-'Assumptions'!$C$50)))</x:f>
        <x:v>0.06791742028752198</x:v>
      </x:c>
      <x:c r="K141" s="132" t="n">
        <x:f>IF(F141&lt;(('Assumptions'!$C$51-'Assumptions'!$B$51)/('Assumptions'!$D$51-'Assumptions'!$B$51)),'Assumptions'!$B$51+SQRT(F141*('Assumptions'!$D$51-'Assumptions'!$B$51)*('Assumptions'!$C$51-'Assumptions'!$B$51)),'Assumptions'!$D$51-SQRT((1-F141)*('Assumptions'!$D$51-'Assumptions'!$B$51)*('Assumptions'!$D$51-'Assumptions'!$C$51)))</x:f>
        <x:v>0.07189067296961348</x:v>
      </x:c>
      <x:c r="L141" s="133" t="n">
        <x:f>(('Assumptions'!$B$17*(1+G141)+'Assumptions'!$B$18)*(1-H141-'Assumptions'!$B$20)-SUM('Assumptions'!$B$21:$B$25)*(1+I141))-(('Assumptions'!$B$17*(1+G141)+'Assumptions'!$B$18)*(1-H141-'Assumptions'!$B$20)*'Assumptions'!$B$26)</x:f>
        <x:v>207419.59101926573</x:v>
      </x:c>
      <x:c r="M141" s="133" t="n">
        <x:f>'Assumptions'!$B$10*'Assumptions'!$B$33</x:f>
        <x:v>1950000</x:v>
      </x:c>
      <x:c r="N141" s="133" t="n">
        <x:f>-PMT(K141/12,'Assumptions'!$B$35*12,M141)*12</x:f>
        <x:v>158663.2961937575</x:v>
      </x:c>
      <x:c r="O141" s="133" t="n">
        <x:f>(L141*(1+'Assumptions'!$B$29)^('Assumptions'!$B$14/12)/J141)*(1-'Assumptions'!$B$42)-'Debt Schedule'!$F$9</x:f>
        <x:v>3327994.263495871</x:v>
      </x:c>
      <x:c r="P141" s="132" t="n">
        <x:f>((O141+(L141-N141-'Assumptions'!$B$27-'Assumptions'!$B$28)*('Assumptions'!$B$14/12))/ABS('Monthly Cash Flow'!$S$5))^(1/('Assumptions'!$B$14/12))-1</x:f>
        <x:v>0.21102002711068835</x:v>
      </x:c>
      <x:c r="Q141" s="133" t="n">
        <x:f>-ABS('Monthly Cash Flow'!$S$5)+((L141-N141-'Assumptions'!$B$27-'Assumptions'!$B$28)*(1-(1+'Assumptions'!$B$43)^-('Assumptions'!$B$14/12))/'Assumptions'!$B$43)+(O141/(1+'Assumptions'!$B$43)^('Assumptions'!$B$14/12))</x:f>
        <x:v>805115.8477967104</x:v>
      </x:c>
    </x:row>
    <x:row r="142">
      <x:c r="A142" s="131" t="n">
        <x:f>135</x:f>
        <x:v>135</x:v>
      </x:c>
      <x:c r="B142" s="131" t="n">
        <x:f>MOD(ABS(SIN((A142+1)*12.9898+78.233)*43758.5453),1)</x:f>
        <x:v>0.9824272778751038</x:v>
      </x:c>
      <x:c r="C142" s="131" t="n">
        <x:f>MOD(ABS(SIN((A142+2)*12.9898+78.233)*43758.5453),1)</x:f>
        <x:v>0.4531244046156644</x:v>
      </x:c>
      <x:c r="D142" s="131" t="n">
        <x:f>MOD(ABS(SIN((A142+3)*12.9898+78.233)*43758.5453),1)</x:f>
        <x:v>0.48092895108129596</x:v>
      </x:c>
      <x:c r="E142" s="131" t="n">
        <x:f>MOD(ABS(SIN((A142+4)*12.9898+78.233)*43758.5453),1)</x:f>
        <x:v>0.642899833372212</x:v>
      </x:c>
      <x:c r="F142" s="131" t="n">
        <x:f>MOD(ABS(SIN((A142+5)*12.9898+78.233)*43758.5453),1)</x:f>
        <x:v>0.662484797740035</x:v>
      </x:c>
      <x:c r="G142" s="132" t="n">
        <x:f>IF(B142&lt;(('Assumptions'!$C$47-'Assumptions'!$B$47)/('Assumptions'!$D$47-'Assumptions'!$B$47)),'Assumptions'!$B$47+SQRT(B142*('Assumptions'!$D$47-'Assumptions'!$B$47)*('Assumptions'!$C$47-'Assumptions'!$B$47)),'Assumptions'!$D$47-SQRT((1-B142)*('Assumptions'!$D$47-'Assumptions'!$B$47)*('Assumptions'!$D$47-'Assumptions'!$C$47)))</x:f>
        <x:v>0.08323206768864033</x:v>
      </x:c>
      <x:c r="H142" s="132" t="n">
        <x:f>IF(C142&lt;(('Assumptions'!$C$48-'Assumptions'!$B$48)/('Assumptions'!$D$48-'Assumptions'!$B$48)),'Assumptions'!$B$48+SQRT(C142*('Assumptions'!$D$48-'Assumptions'!$B$48)*('Assumptions'!$C$48-'Assumptions'!$B$48)),'Assumptions'!$D$48-SQRT((1-C142)*('Assumptions'!$D$48-'Assumptions'!$B$48)*('Assumptions'!$D$48-'Assumptions'!$C$48)))</x:f>
        <x:v>0.07062777760960694</x:v>
      </x:c>
      <x:c r="I142" s="132" t="n">
        <x:f>IF(D142&lt;(('Assumptions'!$C$49-'Assumptions'!$B$49)/('Assumptions'!$D$49-'Assumptions'!$B$49)),'Assumptions'!$B$49+SQRT(D142*('Assumptions'!$D$49-'Assumptions'!$B$49)*('Assumptions'!$C$49-'Assumptions'!$B$49)),'Assumptions'!$D$49-SQRT((1-D142)*('Assumptions'!$D$49-'Assumptions'!$B$49)*('Assumptions'!$D$49-'Assumptions'!$C$49)))</x:f>
        <x:v>0.044113576617944045</x:v>
      </x:c>
      <x:c r="J142" s="132" t="n">
        <x:f>IF(E142&lt;(('Assumptions'!$C$50-'Assumptions'!$B$50)/('Assumptions'!$D$50-'Assumptions'!$B$50)),'Assumptions'!$B$50+SQRT(E142*('Assumptions'!$D$50-'Assumptions'!$B$50)*('Assumptions'!$C$50-'Assumptions'!$B$50)),'Assumptions'!$D$50-SQRT((1-E142)*('Assumptions'!$D$50-'Assumptions'!$B$50)*('Assumptions'!$D$50-'Assumptions'!$C$50)))</x:f>
        <x:v>0.06997830244598924</x:v>
      </x:c>
      <x:c r="K142" s="132" t="n">
        <x:f>IF(F142&lt;(('Assumptions'!$C$51-'Assumptions'!$B$51)/('Assumptions'!$D$51-'Assumptions'!$B$51)),'Assumptions'!$B$51+SQRT(F142*('Assumptions'!$D$51-'Assumptions'!$B$51)*('Assumptions'!$C$51-'Assumptions'!$B$51)),'Assumptions'!$D$51-SQRT((1-F142)*('Assumptions'!$D$51-'Assumptions'!$B$51)*('Assumptions'!$D$51-'Assumptions'!$C$51)))</x:f>
        <x:v>0.07225522887268633</x:v>
      </x:c>
      <x:c r="L142" s="133" t="n">
        <x:f>(('Assumptions'!$B$17*(1+G142)+'Assumptions'!$B$18)*(1-H142-'Assumptions'!$B$20)-SUM('Assumptions'!$B$21:$B$25)*(1+I142))-(('Assumptions'!$B$17*(1+G142)+'Assumptions'!$B$18)*(1-H142-'Assumptions'!$B$20)*'Assumptions'!$B$26)</x:f>
        <x:v>228509.22576833513</x:v>
      </x:c>
      <x:c r="M142" s="133" t="n">
        <x:f>'Assumptions'!$B$10*'Assumptions'!$B$33</x:f>
        <x:v>1950000</x:v>
      </x:c>
      <x:c r="N142" s="133" t="n">
        <x:f>-PMT(K142/12,'Assumptions'!$B$35*12,M142)*12</x:f>
        <x:v>159240.9433758222</x:v>
      </x:c>
      <x:c r="O142" s="133" t="n">
        <x:f>(L142*(1+'Assumptions'!$B$29)^('Assumptions'!$B$14/12)/J142)*(1-'Assumptions'!$B$42)-'Debt Schedule'!$F$9</x:f>
        <x:v>3558396.2913860665</x:v>
      </x:c>
      <x:c r="P142" s="132" t="n">
        <x:f>((O142+(L142-N142-'Assumptions'!$B$27-'Assumptions'!$B$28)*('Assumptions'!$B$14/12))/ABS('Monthly Cash Flow'!$S$5))^(1/('Assumptions'!$B$14/12))-1</x:f>
        <x:v>0.23404524255154402</x:v>
      </x:c>
      <x:c r="Q142" s="133" t="n">
        <x:f>-ABS('Monthly Cash Flow'!$S$5)+((L142-N142-'Assumptions'!$B$27-'Assumptions'!$B$28)*(1-(1+'Assumptions'!$B$43)^-('Assumptions'!$B$14/12))/'Assumptions'!$B$43)+(O142/(1+'Assumptions'!$B$43)^('Assumptions'!$B$14/12))</x:f>
        <x:v>1025933.9508730748</x:v>
      </x:c>
    </x:row>
    <x:row r="143">
      <x:c r="A143" s="131" t="n">
        <x:f>136</x:f>
        <x:v>136</x:v>
      </x:c>
      <x:c r="B143" s="131" t="n">
        <x:f>MOD(ABS(SIN((A143+1)*12.9898+78.233)*43758.5453),1)</x:f>
        <x:v>0.4531244046156644</x:v>
      </x:c>
      <x:c r="C143" s="131" t="n">
        <x:f>MOD(ABS(SIN((A143+2)*12.9898+78.233)*43758.5453),1)</x:f>
        <x:v>0.48092895108129596</x:v>
      </x:c>
      <x:c r="D143" s="131" t="n">
        <x:f>MOD(ABS(SIN((A143+3)*12.9898+78.233)*43758.5453),1)</x:f>
        <x:v>0.642899833372212</x:v>
      </x:c>
      <x:c r="E143" s="131" t="n">
        <x:f>MOD(ABS(SIN((A143+4)*12.9898+78.233)*43758.5453),1)</x:f>
        <x:v>0.662484797740035</x:v>
      </x:c>
      <x:c r="F143" s="131" t="n">
        <x:f>MOD(ABS(SIN((A143+5)*12.9898+78.233)*43758.5453),1)</x:f>
        <x:v>0.9345081184237642</x:v>
      </x:c>
      <x:c r="G143" s="132" t="n">
        <x:f>IF(B143&lt;(('Assumptions'!$C$47-'Assumptions'!$B$47)/('Assumptions'!$D$47-'Assumptions'!$B$47)),'Assumptions'!$B$47+SQRT(B143*('Assumptions'!$D$47-'Assumptions'!$B$47)*('Assumptions'!$C$47-'Assumptions'!$B$47)),'Assumptions'!$D$47-SQRT((1-B143)*('Assumptions'!$D$47-'Assumptions'!$B$47)*('Assumptions'!$D$47-'Assumptions'!$C$47)))</x:f>
        <x:v>0.004283199561463141</x:v>
      </x:c>
      <x:c r="H143" s="132" t="n">
        <x:f>IF(C143&lt;(('Assumptions'!$C$48-'Assumptions'!$B$48)/('Assumptions'!$D$48-'Assumptions'!$B$48)),'Assumptions'!$B$48+SQRT(C143*('Assumptions'!$D$48-'Assumptions'!$B$48)*('Assumptions'!$C$48-'Assumptions'!$B$48)),'Assumptions'!$D$48-SQRT((1-C143)*('Assumptions'!$D$48-'Assumptions'!$B$48)*('Assumptions'!$D$48-'Assumptions'!$C$48)))</x:f>
        <x:v>0.07241431194043671</x:v>
      </x:c>
      <x:c r="I143" s="132" t="n">
        <x:f>IF(D143&lt;(('Assumptions'!$C$49-'Assumptions'!$B$49)/('Assumptions'!$D$49-'Assumptions'!$B$49)),'Assumptions'!$B$49+SQRT(D143*('Assumptions'!$D$49-'Assumptions'!$B$49)*('Assumptions'!$C$49-'Assumptions'!$B$49)),'Assumptions'!$D$49-SQRT((1-D143)*('Assumptions'!$D$49-'Assumptions'!$B$49)*('Assumptions'!$D$49-'Assumptions'!$C$49)))</x:f>
        <x:v>0.06217424296278329</x:v>
      </x:c>
      <x:c r="J143" s="132" t="n">
        <x:f>IF(E143&lt;(('Assumptions'!$C$50-'Assumptions'!$B$50)/('Assumptions'!$D$50-'Assumptions'!$B$50)),'Assumptions'!$B$50+SQRT(E143*('Assumptions'!$D$50-'Assumptions'!$B$50)*('Assumptions'!$C$50-'Assumptions'!$B$50)),'Assumptions'!$D$50-SQRT((1-E143)*('Assumptions'!$D$50-'Assumptions'!$B$50)*('Assumptions'!$D$50-'Assumptions'!$C$50)))</x:f>
        <x:v>0.07025699478417388</x:v>
      </x:c>
      <x:c r="K143" s="132" t="n">
        <x:f>IF(F143&lt;(('Assumptions'!$C$51-'Assumptions'!$B$51)/('Assumptions'!$D$51-'Assumptions'!$B$51)),'Assumptions'!$B$51+SQRT(F143*('Assumptions'!$D$51-'Assumptions'!$B$51)*('Assumptions'!$C$51-'Assumptions'!$B$51)),'Assumptions'!$D$51-SQRT((1-F143)*('Assumptions'!$D$51-'Assumptions'!$B$51)*('Assumptions'!$D$51-'Assumptions'!$C$51)))</x:f>
        <x:v>0.07938591343061371</x:v>
      </x:c>
      <x:c r="L143" s="133" t="n">
        <x:f>(('Assumptions'!$B$17*(1+G143)+'Assumptions'!$B$18)*(1-H143-'Assumptions'!$B$20)-SUM('Assumptions'!$B$21:$B$25)*(1+I143))-(('Assumptions'!$B$17*(1+G143)+'Assumptions'!$B$18)*(1-H143-'Assumptions'!$B$20)*'Assumptions'!$B$26)</x:f>
        <x:v>200497.81789407568</x:v>
      </x:c>
      <x:c r="M143" s="133" t="n">
        <x:f>'Assumptions'!$B$10*'Assumptions'!$B$33</x:f>
        <x:v>1950000</x:v>
      </x:c>
      <x:c r="N143" s="133" t="n">
        <x:f>-PMT(K143/12,'Assumptions'!$B$35*12,M143)*12</x:f>
        <x:v>170700.23502998115</x:v>
      </x:c>
      <x:c r="O143" s="133" t="n">
        <x:f>(L143*(1+'Assumptions'!$B$29)^('Assumptions'!$B$14/12)/J143)*(1-'Assumptions'!$B$42)-'Debt Schedule'!$F$9</x:f>
        <x:v>3109811.4511616044</x:v>
      </x:c>
      <x:c r="P143" s="132" t="n">
        <x:f>((O143+(L143-N143-'Assumptions'!$B$27-'Assumptions'!$B$28)*('Assumptions'!$B$14/12))/ABS('Monthly Cash Flow'!$S$5))^(1/('Assumptions'!$B$14/12))-1</x:f>
        <x:v>0.1876535940346904</x:v>
      </x:c>
      <x:c r="Q143" s="133" t="n">
        <x:f>-ABS('Monthly Cash Flow'!$S$5)+((L143-N143-'Assumptions'!$B$27-'Assumptions'!$B$28)*(1-(1+'Assumptions'!$B$43)^-('Assumptions'!$B$14/12))/'Assumptions'!$B$43)+(O143/(1+'Assumptions'!$B$43)^('Assumptions'!$B$14/12))</x:f>
        <x:v>597773.0528249976</x:v>
      </x:c>
    </x:row>
    <x:row r="144">
      <x:c r="A144" s="131" t="n">
        <x:f>137</x:f>
        <x:v>137</x:v>
      </x:c>
      <x:c r="B144" s="131" t="n">
        <x:f>MOD(ABS(SIN((A144+1)*12.9898+78.233)*43758.5453),1)</x:f>
        <x:v>0.48092895108129596</x:v>
      </x:c>
      <x:c r="C144" s="131" t="n">
        <x:f>MOD(ABS(SIN((A144+2)*12.9898+78.233)*43758.5453),1)</x:f>
        <x:v>0.642899833372212</x:v>
      </x:c>
      <x:c r="D144" s="131" t="n">
        <x:f>MOD(ABS(SIN((A144+3)*12.9898+78.233)*43758.5453),1)</x:f>
        <x:v>0.662484797740035</x:v>
      </x:c>
      <x:c r="E144" s="131" t="n">
        <x:f>MOD(ABS(SIN((A144+4)*12.9898+78.233)*43758.5453),1)</x:f>
        <x:v>0.9345081184237642</x:v>
      </x:c>
      <x:c r="F144" s="131" t="n">
        <x:f>MOD(ABS(SIN((A144+5)*12.9898+78.233)*43758.5453),1)</x:f>
        <x:v>0.08911593973243725</x:v>
      </x:c>
      <x:c r="G144" s="132" t="n">
        <x:f>IF(B144&lt;(('Assumptions'!$C$47-'Assumptions'!$B$47)/('Assumptions'!$D$47-'Assumptions'!$B$47)),'Assumptions'!$B$47+SQRT(B144*('Assumptions'!$D$47-'Assumptions'!$B$47)*('Assumptions'!$C$47-'Assumptions'!$B$47)),'Assumptions'!$D$47-SQRT((1-B144)*('Assumptions'!$D$47-'Assumptions'!$B$47)*('Assumptions'!$D$47-'Assumptions'!$C$47)))</x:f>
        <x:v>0.0074350726064403155</x:v>
      </x:c>
      <x:c r="H144" s="132" t="n">
        <x:f>IF(C144&lt;(('Assumptions'!$C$48-'Assumptions'!$B$48)/('Assumptions'!$D$48-'Assumptions'!$B$48)),'Assumptions'!$B$48+SQRT(C144*('Assumptions'!$D$48-'Assumptions'!$B$48)*('Assumptions'!$C$48-'Assumptions'!$B$48)),'Assumptions'!$D$48-SQRT((1-C144)*('Assumptions'!$D$48-'Assumptions'!$B$48)*('Assumptions'!$D$48-'Assumptions'!$C$48)))</x:f>
        <x:v>0.0839421596355645</x:v>
      </x:c>
      <x:c r="I144" s="132" t="n">
        <x:f>IF(D144&lt;(('Assumptions'!$C$49-'Assumptions'!$B$49)/('Assumptions'!$D$49-'Assumptions'!$B$49)),'Assumptions'!$B$49+SQRT(D144*('Assumptions'!$D$49-'Assumptions'!$B$49)*('Assumptions'!$C$49-'Assumptions'!$B$49)),'Assumptions'!$D$49-SQRT((1-D144)*('Assumptions'!$D$49-'Assumptions'!$B$49)*('Assumptions'!$D$49-'Assumptions'!$C$49)))</x:f>
        <x:v>0.06461658024642464</x:v>
      </x:c>
      <x:c r="J144" s="132" t="n">
        <x:f>IF(E144&lt;(('Assumptions'!$C$50-'Assumptions'!$B$50)/('Assumptions'!$D$50-'Assumptions'!$B$50)),'Assumptions'!$B$50+SQRT(E144*('Assumptions'!$D$50-'Assumptions'!$B$50)*('Assumptions'!$C$50-'Assumptions'!$B$50)),'Assumptions'!$D$50-SQRT((1-E144)*('Assumptions'!$D$50-'Assumptions'!$B$50)*('Assumptions'!$D$50-'Assumptions'!$C$50)))</x:f>
        <x:v>0.07570819482113689</x:v>
      </x:c>
      <x:c r="K144" s="132" t="n">
        <x:f>IF(F144&lt;(('Assumptions'!$C$51-'Assumptions'!$B$51)/('Assumptions'!$D$51-'Assumptions'!$B$51)),'Assumptions'!$B$51+SQRT(F144*('Assumptions'!$D$51-'Assumptions'!$B$51)*('Assumptions'!$C$51-'Assumptions'!$B$51)),'Assumptions'!$D$51-SQRT((1-F144)*('Assumptions'!$D$51-'Assumptions'!$B$51)*('Assumptions'!$D$51-'Assumptions'!$C$51)))</x:f>
        <x:v>0.06245044275054467</x:v>
      </x:c>
      <x:c r="L144" s="133" t="n">
        <x:f>(('Assumptions'!$B$17*(1+G144)+'Assumptions'!$B$18)*(1-H144-'Assumptions'!$B$20)-SUM('Assumptions'!$B$21:$B$25)*(1+I144))-(('Assumptions'!$B$17*(1+G144)+'Assumptions'!$B$18)*(1-H144-'Assumptions'!$B$20)*'Assumptions'!$B$26)</x:f>
        <x:v>196976.7509748108</x:v>
      </x:c>
      <x:c r="M144" s="133" t="n">
        <x:f>'Assumptions'!$B$10*'Assumptions'!$B$33</x:f>
        <x:v>1950000</x:v>
      </x:c>
      <x:c r="N144" s="133" t="n">
        <x:f>-PMT(K144/12,'Assumptions'!$B$35*12,M144)*12</x:f>
        <x:v>144002.41243431388</x:v>
      </x:c>
      <x:c r="O144" s="133" t="n">
        <x:f>(L144*(1+'Assumptions'!$B$29)^('Assumptions'!$B$14/12)/J144)*(1-'Assumptions'!$B$42)-'Debt Schedule'!$F$9</x:f>
        <x:v>2835215.378115462</x:v>
      </x:c>
      <x:c r="P144" s="132" t="n">
        <x:f>((O144+(L144-N144-'Assumptions'!$B$27-'Assumptions'!$B$28)*('Assumptions'!$B$14/12))/ABS('Monthly Cash Flow'!$S$5))^(1/('Assumptions'!$B$14/12))-1</x:f>
        <x:v>0.17506474493505508</x:v>
      </x:c>
      <x:c r="Q144" s="133" t="n">
        <x:f>-ABS('Monthly Cash Flow'!$S$5)+((L144-N144-'Assumptions'!$B$27-'Assumptions'!$B$28)*(1-(1+'Assumptions'!$B$43)^-('Assumptions'!$B$14/12))/'Assumptions'!$B$43)+(O144/(1+'Assumptions'!$B$43)^('Assumptions'!$B$14/12))</x:f>
        <x:v>515128.63461825694</x:v>
      </x:c>
    </x:row>
    <x:row r="145">
      <x:c r="A145" s="131" t="n">
        <x:f>138</x:f>
        <x:v>138</x:v>
      </x:c>
      <x:c r="B145" s="131" t="n">
        <x:f>MOD(ABS(SIN((A145+1)*12.9898+78.233)*43758.5453),1)</x:f>
        <x:v>0.642899833372212</x:v>
      </x:c>
      <x:c r="C145" s="131" t="n">
        <x:f>MOD(ABS(SIN((A145+2)*12.9898+78.233)*43758.5453),1)</x:f>
        <x:v>0.662484797740035</x:v>
      </x:c>
      <x:c r="D145" s="131" t="n">
        <x:f>MOD(ABS(SIN((A145+3)*12.9898+78.233)*43758.5453),1)</x:f>
        <x:v>0.9345081184237642</x:v>
      </x:c>
      <x:c r="E145" s="131" t="n">
        <x:f>MOD(ABS(SIN((A145+4)*12.9898+78.233)*43758.5453),1)</x:f>
        <x:v>0.08911593973243725</x:v>
      </x:c>
      <x:c r="F145" s="131" t="n">
        <x:f>MOD(ABS(SIN((A145+5)*12.9898+78.233)*43758.5453),1)</x:f>
        <x:v>0.9604940290810191</x:v>
      </x:c>
      <x:c r="G145" s="132" t="n">
        <x:f>IF(B145&lt;(('Assumptions'!$C$47-'Assumptions'!$B$47)/('Assumptions'!$D$47-'Assumptions'!$B$47)),'Assumptions'!$B$47+SQRT(B145*('Assumptions'!$D$47-'Assumptions'!$B$47)*('Assumptions'!$C$47-'Assumptions'!$B$47)),'Assumptions'!$D$47-SQRT((1-B145)*('Assumptions'!$D$47-'Assumptions'!$B$47)*('Assumptions'!$D$47-'Assumptions'!$C$47)))</x:f>
        <x:v>0.024411623472622407</x:v>
      </x:c>
      <x:c r="H145" s="132" t="n">
        <x:f>IF(C145&lt;(('Assumptions'!$C$48-'Assumptions'!$B$48)/('Assumptions'!$D$48-'Assumptions'!$B$48)),'Assumptions'!$B$48+SQRT(C145*('Assumptions'!$D$48-'Assumptions'!$B$48)*('Assumptions'!$C$48-'Assumptions'!$B$48)),'Assumptions'!$D$48-SQRT((1-C145)*('Assumptions'!$D$48-'Assumptions'!$B$48)*('Assumptions'!$D$48-'Assumptions'!$C$48)))</x:f>
        <x:v>0.08550106624999264</x:v>
      </x:c>
      <x:c r="I145" s="132" t="n">
        <x:f>IF(D145&lt;(('Assumptions'!$C$49-'Assumptions'!$B$49)/('Assumptions'!$D$49-'Assumptions'!$B$49)),'Assumptions'!$B$49+SQRT(D145*('Assumptions'!$D$49-'Assumptions'!$B$49)*('Assumptions'!$C$49-'Assumptions'!$B$49)),'Assumptions'!$D$49-SQRT((1-D145)*('Assumptions'!$D$49-'Assumptions'!$B$49)*('Assumptions'!$D$49-'Assumptions'!$C$49)))</x:f>
        <x:v>0.11238850385790679</x:v>
      </x:c>
      <x:c r="J145" s="132" t="n">
        <x:f>IF(E145&lt;(('Assumptions'!$C$50-'Assumptions'!$B$50)/('Assumptions'!$D$50-'Assumptions'!$B$50)),'Assumptions'!$B$50+SQRT(E145*('Assumptions'!$D$50-'Assumptions'!$B$50)*('Assumptions'!$C$50-'Assumptions'!$B$50)),'Assumptions'!$D$50-SQRT((1-E145)*('Assumptions'!$D$50-'Assumptions'!$B$50)*('Assumptions'!$D$50-'Assumptions'!$C$50)))</x:f>
        <x:v>0.0619778439499159</x:v>
      </x:c>
      <x:c r="K145" s="132" t="n">
        <x:f>IF(F145&lt;(('Assumptions'!$C$51-'Assumptions'!$B$51)/('Assumptions'!$D$51-'Assumptions'!$B$51)),'Assumptions'!$B$51+SQRT(F145*('Assumptions'!$D$51-'Assumptions'!$B$51)*('Assumptions'!$C$51-'Assumptions'!$B$51)),'Assumptions'!$D$51-SQRT((1-F145)*('Assumptions'!$D$51-'Assumptions'!$B$51)*('Assumptions'!$D$51-'Assumptions'!$C$51)))</x:f>
        <x:v>0.08063969628296841</x:v>
      </x:c>
      <x:c r="L145" s="133" t="n">
        <x:f>(('Assumptions'!$B$17*(1+G145)+'Assumptions'!$B$18)*(1-H145-'Assumptions'!$B$20)-SUM('Assumptions'!$B$21:$B$25)*(1+I145))-(('Assumptions'!$B$17*(1+G145)+'Assumptions'!$B$18)*(1-H145-'Assumptions'!$B$20)*'Assumptions'!$B$26)</x:f>
        <x:v>195694.56891926995</x:v>
      </x:c>
      <x:c r="M145" s="133" t="n">
        <x:f>'Assumptions'!$B$10*'Assumptions'!$B$33</x:f>
        <x:v>1950000</x:v>
      </x:c>
      <x:c r="N145" s="133" t="n">
        <x:f>-PMT(K145/12,'Assumptions'!$B$35*12,M145)*12</x:f>
        <x:v>172745.56481690318</x:v>
      </x:c>
      <x:c r="O145" s="133" t="n">
        <x:f>(L145*(1+'Assumptions'!$B$29)^('Assumptions'!$B$14/12)/J145)*(1-'Assumptions'!$B$42)-'Debt Schedule'!$F$9</x:f>
        <x:v>3440775.093563869</x:v>
      </x:c>
      <x:c r="P145" s="132" t="n">
        <x:f>((O145+(L145-N145-'Assumptions'!$B$27-'Assumptions'!$B$28)*('Assumptions'!$B$14/12))/ABS('Monthly Cash Flow'!$S$5))^(1/('Assumptions'!$B$14/12))-1</x:f>
        <x:v>0.20985008223087687</x:v>
      </x:c>
      <x:c r="Q145" s="133" t="n">
        <x:f>-ABS('Monthly Cash Flow'!$S$5)+((L145-N145-'Assumptions'!$B$27-'Assumptions'!$B$28)*(1-(1+'Assumptions'!$B$43)^-('Assumptions'!$B$14/12))/'Assumptions'!$B$43)+(O145/(1+'Assumptions'!$B$43)^('Assumptions'!$B$14/12))</x:f>
        <x:v>777313.9337906793</x:v>
      </x:c>
    </x:row>
    <x:row r="146">
      <x:c r="A146" s="131" t="n">
        <x:f>139</x:f>
        <x:v>139</x:v>
      </x:c>
      <x:c r="B146" s="131" t="n">
        <x:f>MOD(ABS(SIN((A146+1)*12.9898+78.233)*43758.5453),1)</x:f>
        <x:v>0.662484797740035</x:v>
      </x:c>
      <x:c r="C146" s="131" t="n">
        <x:f>MOD(ABS(SIN((A146+2)*12.9898+78.233)*43758.5453),1)</x:f>
        <x:v>0.9345081184237642</x:v>
      </x:c>
      <x:c r="D146" s="131" t="n">
        <x:f>MOD(ABS(SIN((A146+3)*12.9898+78.233)*43758.5453),1)</x:f>
        <x:v>0.08911593973243725</x:v>
      </x:c>
      <x:c r="E146" s="131" t="n">
        <x:f>MOD(ABS(SIN((A146+4)*12.9898+78.233)*43758.5453),1)</x:f>
        <x:v>0.9604940290810191</x:v>
      </x:c>
      <x:c r="F146" s="131" t="n">
        <x:f>MOD(ABS(SIN((A146+5)*12.9898+78.233)*43758.5453),1)</x:f>
        <x:v>0.06484162439301144</x:v>
      </x:c>
      <x:c r="G146" s="132" t="n">
        <x:f>IF(B146&lt;(('Assumptions'!$C$47-'Assumptions'!$B$47)/('Assumptions'!$D$47-'Assumptions'!$B$47)),'Assumptions'!$B$47+SQRT(B146*('Assumptions'!$D$47-'Assumptions'!$B$47)*('Assumptions'!$C$47-'Assumptions'!$B$47)),'Assumptions'!$D$47-SQRT((1-B146)*('Assumptions'!$D$47-'Assumptions'!$B$47)*('Assumptions'!$D$47-'Assumptions'!$C$47)))</x:f>
        <x:v>0.026513652722703382</x:v>
      </x:c>
      <x:c r="H146" s="132" t="n">
        <x:f>IF(C146&lt;(('Assumptions'!$C$48-'Assumptions'!$B$48)/('Assumptions'!$D$48-'Assumptions'!$B$48)),'Assumptions'!$B$48+SQRT(C146*('Assumptions'!$D$48-'Assumptions'!$B$48)*('Assumptions'!$C$48-'Assumptions'!$B$48)),'Assumptions'!$D$48-SQRT((1-C146)*('Assumptions'!$D$48-'Assumptions'!$B$48)*('Assumptions'!$D$48-'Assumptions'!$C$48)))</x:f>
        <x:v>0.11599315602019136</x:v>
      </x:c>
      <x:c r="I146" s="132" t="n">
        <x:f>IF(D146&lt;(('Assumptions'!$C$49-'Assumptions'!$B$49)/('Assumptions'!$D$49-'Assumptions'!$B$49)),'Assumptions'!$B$49+SQRT(D146*('Assumptions'!$D$49-'Assumptions'!$B$49)*('Assumptions'!$C$49-'Assumptions'!$B$49)),'Assumptions'!$D$49-SQRT((1-D146)*('Assumptions'!$D$49-'Assumptions'!$B$49)*('Assumptions'!$D$49-'Assumptions'!$C$49)))</x:f>
        <x:v>0.0010234129184769451</x:v>
      </x:c>
      <x:c r="J146" s="132" t="n">
        <x:f>IF(E146&lt;(('Assumptions'!$C$50-'Assumptions'!$B$50)/('Assumptions'!$D$50-'Assumptions'!$B$50)),'Assumptions'!$B$50+SQRT(E146*('Assumptions'!$D$50-'Assumptions'!$B$50)*('Assumptions'!$C$50-'Assumptions'!$B$50)),'Assumptions'!$D$50-SQRT((1-E146)*('Assumptions'!$D$50-'Assumptions'!$B$50)*('Assumptions'!$D$50-'Assumptions'!$C$50)))</x:f>
        <x:v>0.07666667518519972</x:v>
      </x:c>
      <x:c r="K146" s="132" t="n">
        <x:f>IF(F146&lt;(('Assumptions'!$C$51-'Assumptions'!$B$51)/('Assumptions'!$D$51-'Assumptions'!$B$51)),'Assumptions'!$B$51+SQRT(F146*('Assumptions'!$D$51-'Assumptions'!$B$51)*('Assumptions'!$C$51-'Assumptions'!$B$51)),'Assumptions'!$D$51-SQRT((1-F146)*('Assumptions'!$D$51-'Assumptions'!$B$51)*('Assumptions'!$D$51-'Assumptions'!$C$51)))</x:f>
        <x:v>0.06172272976971984</x:v>
      </x:c>
      <x:c r="L146" s="133" t="n">
        <x:f>(('Assumptions'!$B$17*(1+G146)+'Assumptions'!$B$18)*(1-H146-'Assumptions'!$B$20)-SUM('Assumptions'!$B$21:$B$25)*(1+I146))-(('Assumptions'!$B$17*(1+G146)+'Assumptions'!$B$18)*(1-H146-'Assumptions'!$B$20)*'Assumptions'!$B$26)</x:f>
        <x:v>199039.28169282663</x:v>
      </x:c>
      <x:c r="M146" s="133" t="n">
        <x:f>'Assumptions'!$B$10*'Assumptions'!$B$33</x:f>
        <x:v>1950000</x:v>
      </x:c>
      <x:c r="N146" s="133" t="n">
        <x:f>-PMT(K146/12,'Assumptions'!$B$35*12,M146)*12</x:f>
        <x:v>142896.98957927333</x:v>
      </x:c>
      <x:c r="O146" s="133" t="n">
        <x:f>(L146*(1+'Assumptions'!$B$29)^('Assumptions'!$B$14/12)/J146)*(1-'Assumptions'!$B$42)-'Debt Schedule'!$F$9</x:f>
        <x:v>2829085.9590273774</x:v>
      </x:c>
      <x:c r="P146" s="132" t="n">
        <x:f>((O146+(L146-N146-'Assumptions'!$B$27-'Assumptions'!$B$28)*('Assumptions'!$B$14/12))/ABS('Monthly Cash Flow'!$S$5))^(1/('Assumptions'!$B$14/12))-1</x:f>
        <x:v>0.17585058597035919</x:v>
      </x:c>
      <x:c r="Q146" s="133" t="n">
        <x:f>-ABS('Monthly Cash Flow'!$S$5)+((L146-N146-'Assumptions'!$B$27-'Assumptions'!$B$28)*(1-(1+'Assumptions'!$B$43)^-('Assumptions'!$B$14/12))/'Assumptions'!$B$43)+(O146/(1+'Assumptions'!$B$43)^('Assumptions'!$B$14/12))</x:f>
        <x:v>523331.7840993416</x:v>
      </x:c>
    </x:row>
    <x:row r="147">
      <x:c r="A147" s="131" t="n">
        <x:f>140</x:f>
        <x:v>140</x:v>
      </x:c>
      <x:c r="B147" s="131" t="n">
        <x:f>MOD(ABS(SIN((A147+1)*12.9898+78.233)*43758.5453),1)</x:f>
        <x:v>0.9345081184237642</x:v>
      </x:c>
      <x:c r="C147" s="131" t="n">
        <x:f>MOD(ABS(SIN((A147+2)*12.9898+78.233)*43758.5453),1)</x:f>
        <x:v>0.08911593973243725</x:v>
      </x:c>
      <x:c r="D147" s="131" t="n">
        <x:f>MOD(ABS(SIN((A147+3)*12.9898+78.233)*43758.5453),1)</x:f>
        <x:v>0.9604940290810191</x:v>
      </x:c>
      <x:c r="E147" s="131" t="n">
        <x:f>MOD(ABS(SIN((A147+4)*12.9898+78.233)*43758.5453),1)</x:f>
        <x:v>0.06484162439301144</x:v>
      </x:c>
      <x:c r="F147" s="131" t="n">
        <x:f>MOD(ABS(SIN((A147+5)*12.9898+78.233)*43758.5453),1)</x:f>
        <x:v>0.21561184724851046</x:v>
      </x:c>
      <x:c r="G147" s="132" t="n">
        <x:f>IF(B147&lt;(('Assumptions'!$C$47-'Assumptions'!$B$47)/('Assumptions'!$D$47-'Assumptions'!$B$47)),'Assumptions'!$B$47+SQRT(B147*('Assumptions'!$D$47-'Assumptions'!$B$47)*('Assumptions'!$C$47-'Assumptions'!$B$47)),'Assumptions'!$D$47-SQRT((1-B147)*('Assumptions'!$D$47-'Assumptions'!$B$47)*('Assumptions'!$D$47-'Assumptions'!$C$47)))</x:f>
        <x:v>0.06762917818127301</x:v>
      </x:c>
      <x:c r="H147" s="132" t="n">
        <x:f>IF(C147&lt;(('Assumptions'!$C$48-'Assumptions'!$B$48)/('Assumptions'!$D$48-'Assumptions'!$B$48)),'Assumptions'!$B$48+SQRT(C147*('Assumptions'!$D$48-'Assumptions'!$B$48)*('Assumptions'!$C$48-'Assumptions'!$B$48)),'Assumptions'!$D$48-SQRT((1-C147)*('Assumptions'!$D$48-'Assumptions'!$B$48)*('Assumptions'!$D$48-'Assumptions'!$C$48)))</x:f>
        <x:v>0.04714883672780877</x:v>
      </x:c>
      <x:c r="I147" s="132" t="n">
        <x:f>IF(D147&lt;(('Assumptions'!$C$49-'Assumptions'!$B$49)/('Assumptions'!$D$49-'Assumptions'!$B$49)),'Assumptions'!$B$49+SQRT(D147*('Assumptions'!$D$49-'Assumptions'!$B$49)*('Assumptions'!$C$49-'Assumptions'!$B$49)),'Assumptions'!$D$49-SQRT((1-D147)*('Assumptions'!$D$49-'Assumptions'!$B$49)*('Assumptions'!$D$49-'Assumptions'!$C$49)))</x:f>
        <x:v>0.12078820491907442</x:v>
      </x:c>
      <x:c r="J147" s="132" t="n">
        <x:f>IF(E147&lt;(('Assumptions'!$C$50-'Assumptions'!$B$50)/('Assumptions'!$D$50-'Assumptions'!$B$50)),'Assumptions'!$B$50+SQRT(E147*('Assumptions'!$D$50-'Assumptions'!$B$50)*('Assumptions'!$C$50-'Assumptions'!$B$50)),'Assumptions'!$D$50-SQRT((1-E147)*('Assumptions'!$D$50-'Assumptions'!$B$50)*('Assumptions'!$D$50-'Assumptions'!$C$50)))</x:f>
        <x:v>0.06131960279197034</x:v>
      </x:c>
      <x:c r="K147" s="132" t="n">
        <x:f>IF(F147&lt;(('Assumptions'!$C$51-'Assumptions'!$B$51)/('Assumptions'!$D$51-'Assumptions'!$B$51)),'Assumptions'!$B$51+SQRT(F147*('Assumptions'!$D$51-'Assumptions'!$B$51)*('Assumptions'!$C$51-'Assumptions'!$B$51)),'Assumptions'!$D$51-SQRT((1-F147)*('Assumptions'!$D$51-'Assumptions'!$B$51)*('Assumptions'!$D$51-'Assumptions'!$C$51)))</x:f>
        <x:v>0.06520021155510292</x:v>
      </x:c>
      <x:c r="L147" s="133" t="n">
        <x:f>(('Assumptions'!$B$17*(1+G147)+'Assumptions'!$B$18)*(1-H147-'Assumptions'!$B$20)-SUM('Assumptions'!$B$21:$B$25)*(1+I147))-(('Assumptions'!$B$17*(1+G147)+'Assumptions'!$B$18)*(1-H147-'Assumptions'!$B$20)*'Assumptions'!$B$26)</x:f>
        <x:v>222959.44087317865</x:v>
      </x:c>
      <x:c r="M147" s="133" t="n">
        <x:f>'Assumptions'!$B$10*'Assumptions'!$B$33</x:f>
        <x:v>1950000</x:v>
      </x:c>
      <x:c r="N147" s="133" t="n">
        <x:f>-PMT(K147/12,'Assumptions'!$B$35*12,M147)*12</x:f>
        <x:v>148212.15798794746</x:v>
      </x:c>
      <x:c r="O147" s="133" t="n">
        <x:f>(L147*(1+'Assumptions'!$B$29)^('Assumptions'!$B$14/12)/J147)*(1-'Assumptions'!$B$42)-'Debt Schedule'!$F$9</x:f>
        <x:v>3962237.5618361514</x:v>
      </x:c>
      <x:c r="P147" s="132" t="n">
        <x:f>((O147+(L147-N147-'Assumptions'!$B$27-'Assumptions'!$B$28)*('Assumptions'!$B$14/12))/ABS('Monthly Cash Flow'!$S$5))^(1/('Assumptions'!$B$14/12))-1</x:f>
        <x:v>0.2615229291001193</x:v>
      </x:c>
      <x:c r="Q147" s="133" t="n">
        <x:f>-ABS('Monthly Cash Flow'!$S$5)+((L147-N147-'Assumptions'!$B$27-'Assumptions'!$B$28)*(1-(1+'Assumptions'!$B$43)^-('Assumptions'!$B$14/12))/'Assumptions'!$B$43)+(O147/(1+'Assumptions'!$B$43)^('Assumptions'!$B$14/12))</x:f>
        <x:v>1297457.3294042107</x:v>
      </x:c>
    </x:row>
    <x:row r="148">
      <x:c r="A148" s="131" t="n">
        <x:f>141</x:f>
        <x:v>141</x:v>
      </x:c>
      <x:c r="B148" s="131" t="n">
        <x:f>MOD(ABS(SIN((A148+1)*12.9898+78.233)*43758.5453),1)</x:f>
        <x:v>0.08911593973243725</x:v>
      </x:c>
      <x:c r="C148" s="131" t="n">
        <x:f>MOD(ABS(SIN((A148+2)*12.9898+78.233)*43758.5453),1)</x:f>
        <x:v>0.9604940290810191</x:v>
      </x:c>
      <x:c r="D148" s="131" t="n">
        <x:f>MOD(ABS(SIN((A148+3)*12.9898+78.233)*43758.5453),1)</x:f>
        <x:v>0.06484162439301144</x:v>
      </x:c>
      <x:c r="E148" s="131" t="n">
        <x:f>MOD(ABS(SIN((A148+4)*12.9898+78.233)*43758.5453),1)</x:f>
        <x:v>0.21561184724851046</x:v>
      </x:c>
      <x:c r="F148" s="131" t="n">
        <x:f>MOD(ABS(SIN((A148+5)*12.9898+78.233)*43758.5453),1)</x:f>
        <x:v>0.5305701235120068</x:v>
      </x:c>
      <x:c r="G148" s="132" t="n">
        <x:f>IF(B148&lt;(('Assumptions'!$C$47-'Assumptions'!$B$47)/('Assumptions'!$D$47-'Assumptions'!$B$47)),'Assumptions'!$B$47+SQRT(B148*('Assumptions'!$D$47-'Assumptions'!$B$47)*('Assumptions'!$C$47-'Assumptions'!$B$47)),'Assumptions'!$D$47-SQRT((1-B148)*('Assumptions'!$D$47-'Assumptions'!$B$47)*('Assumptions'!$D$47-'Assumptions'!$C$47)))</x:f>
        <x:v>-0.05375302654682694</x:v>
      </x:c>
      <x:c r="H148" s="132" t="n">
        <x:f>IF(C148&lt;(('Assumptions'!$C$48-'Assumptions'!$B$48)/('Assumptions'!$D$48-'Assumptions'!$B$48)),'Assumptions'!$B$48+SQRT(C148*('Assumptions'!$D$48-'Assumptions'!$B$48)*('Assumptions'!$C$48-'Assumptions'!$B$48)),'Assumptions'!$D$48-SQRT((1-C148)*('Assumptions'!$D$48-'Assumptions'!$B$48)*('Assumptions'!$D$48-'Assumptions'!$C$48)))</x:f>
        <x:v>0.12135455701553241</x:v>
      </x:c>
      <x:c r="I148" s="132" t="n">
        <x:f>IF(D148&lt;(('Assumptions'!$C$49-'Assumptions'!$B$49)/('Assumptions'!$D$49-'Assumptions'!$B$49)),'Assumptions'!$B$49+SQRT(D148*('Assumptions'!$D$49-'Assumptions'!$B$49)*('Assumptions'!$C$49-'Assumptions'!$B$49)),'Assumptions'!$D$49-SQRT((1-D148)*('Assumptions'!$D$49-'Assumptions'!$B$49)*('Assumptions'!$D$49-'Assumptions'!$C$49)))</x:f>
        <x:v>-0.0035370155983017737</x:v>
      </x:c>
      <x:c r="J148" s="132" t="n">
        <x:f>IF(E148&lt;(('Assumptions'!$C$50-'Assumptions'!$B$50)/('Assumptions'!$D$50-'Assumptions'!$B$50)),'Assumptions'!$B$50+SQRT(E148*('Assumptions'!$D$50-'Assumptions'!$B$50)*('Assumptions'!$C$50-'Assumptions'!$B$50)),'Assumptions'!$D$50-SQRT((1-E148)*('Assumptions'!$D$50-'Assumptions'!$B$50)*('Assumptions'!$D$50-'Assumptions'!$C$50)))</x:f>
        <x:v>0.06446510341853694</x:v>
      </x:c>
      <x:c r="K148" s="132" t="n">
        <x:f>IF(F148&lt;(('Assumptions'!$C$51-'Assumptions'!$B$51)/('Assumptions'!$D$51-'Assumptions'!$B$51)),'Assumptions'!$B$51+SQRT(F148*('Assumptions'!$D$51-'Assumptions'!$B$51)*('Assumptions'!$C$51-'Assumptions'!$B$51)),'Assumptions'!$D$51-SQRT((1-F148)*('Assumptions'!$D$51-'Assumptions'!$B$51)*('Assumptions'!$D$51-'Assumptions'!$C$51)))</x:f>
        <x:v>0.06996959321708668</x:v>
      </x:c>
      <x:c r="L148" s="133" t="n">
        <x:f>(('Assumptions'!$B$17*(1+G148)+'Assumptions'!$B$18)*(1-H148-'Assumptions'!$B$20)-SUM('Assumptions'!$B$21:$B$25)*(1+I148))-(('Assumptions'!$B$17*(1+G148)+'Assumptions'!$B$18)*(1-H148-'Assumptions'!$B$20)*'Assumptions'!$B$26)</x:f>
        <x:v>173522.85598565478</x:v>
      </x:c>
      <x:c r="M148" s="133" t="n">
        <x:f>'Assumptions'!$B$10*'Assumptions'!$B$33</x:f>
        <x:v>1950000</x:v>
      </x:c>
      <x:c r="N148" s="133" t="n">
        <x:f>-PMT(K148/12,'Assumptions'!$B$35*12,M148)*12</x:f>
        <x:v>155633.0014469525</x:v>
      </x:c>
      <x:c r="O148" s="133" t="n">
        <x:f>(L148*(1+'Assumptions'!$B$29)^('Assumptions'!$B$14/12)/J148)*(1-'Assumptions'!$B$42)-'Debt Schedule'!$F$9</x:f>
        <x:v>2933229.070004553</x:v>
      </x:c>
      <x:c r="P148" s="132" t="n">
        <x:f>((O148+(L148-N148-'Assumptions'!$B$27-'Assumptions'!$B$28)*('Assumptions'!$B$14/12))/ABS('Monthly Cash Flow'!$S$5))^(1/('Assumptions'!$B$14/12))-1</x:f>
        <x:v>0.168723743813743</x:v>
      </x:c>
      <x:c r="Q148" s="133" t="n">
        <x:f>-ABS('Monthly Cash Flow'!$S$5)+((L148-N148-'Assumptions'!$B$27-'Assumptions'!$B$28)*(1-(1+'Assumptions'!$B$43)^-('Assumptions'!$B$14/12))/'Assumptions'!$B$43)+(O148/(1+'Assumptions'!$B$43)^('Assumptions'!$B$14/12))</x:f>
        <x:v>442989.62809841824</x:v>
      </x:c>
    </x:row>
    <x:row r="149">
      <x:c r="A149" s="131" t="n">
        <x:f>142</x:f>
        <x:v>142</x:v>
      </x:c>
      <x:c r="B149" s="131" t="n">
        <x:f>MOD(ABS(SIN((A149+1)*12.9898+78.233)*43758.5453),1)</x:f>
        <x:v>0.9604940290810191</x:v>
      </x:c>
      <x:c r="C149" s="131" t="n">
        <x:f>MOD(ABS(SIN((A149+2)*12.9898+78.233)*43758.5453),1)</x:f>
        <x:v>0.06484162439301144</x:v>
      </x:c>
      <x:c r="D149" s="131" t="n">
        <x:f>MOD(ABS(SIN((A149+3)*12.9898+78.233)*43758.5453),1)</x:f>
        <x:v>0.21561184724851046</x:v>
      </x:c>
      <x:c r="E149" s="131" t="n">
        <x:f>MOD(ABS(SIN((A149+4)*12.9898+78.233)*43758.5453),1)</x:f>
        <x:v>0.5305701235120068</x:v>
      </x:c>
      <x:c r="F149" s="131" t="n">
        <x:f>MOD(ABS(SIN((A149+5)*12.9898+78.233)*43758.5453),1)</x:f>
        <x:v>0.48605412081087707</x:v>
      </x:c>
      <x:c r="G149" s="132" t="n">
        <x:f>IF(B149&lt;(('Assumptions'!$C$47-'Assumptions'!$B$47)/('Assumptions'!$D$47-'Assumptions'!$B$47)),'Assumptions'!$B$47+SQRT(B149*('Assumptions'!$D$47-'Assumptions'!$B$47)*('Assumptions'!$C$47-'Assumptions'!$B$47)),'Assumptions'!$D$47-SQRT((1-B149)*('Assumptions'!$D$47-'Assumptions'!$B$47)*('Assumptions'!$D$47-'Assumptions'!$C$47)))</x:f>
        <x:v>0.07485848980861146</x:v>
      </x:c>
      <x:c r="H149" s="132" t="n">
        <x:f>IF(C149&lt;(('Assumptions'!$C$48-'Assumptions'!$B$48)/('Assumptions'!$D$48-'Assumptions'!$B$48)),'Assumptions'!$B$48+SQRT(C149*('Assumptions'!$D$48-'Assumptions'!$B$48)*('Assumptions'!$C$48-'Assumptions'!$B$48)),'Assumptions'!$D$48-SQRT((1-C149)*('Assumptions'!$D$48-'Assumptions'!$B$48)*('Assumptions'!$D$48-'Assumptions'!$C$48)))</x:f>
        <x:v>0.04462796501557677</x:v>
      </x:c>
      <x:c r="I149" s="132" t="n">
        <x:f>IF(D149&lt;(('Assumptions'!$C$49-'Assumptions'!$B$49)/('Assumptions'!$D$49-'Assumptions'!$B$49)),'Assumptions'!$B$49+SQRT(D149*('Assumptions'!$D$49-'Assumptions'!$B$49)*('Assumptions'!$C$49-'Assumptions'!$B$49)),'Assumptions'!$D$49-SQRT((1-D149)*('Assumptions'!$D$49-'Assumptions'!$B$49)*('Assumptions'!$D$49-'Assumptions'!$C$49)))</x:f>
        <x:v>0.018255652003510557</x:v>
      </x:c>
      <x:c r="J149" s="132" t="n">
        <x:f>IF(E149&lt;(('Assumptions'!$C$50-'Assumptions'!$B$50)/('Assumptions'!$D$50-'Assumptions'!$B$50)),'Assumptions'!$B$50+SQRT(E149*('Assumptions'!$D$50-'Assumptions'!$B$50)*('Assumptions'!$C$50-'Assumptions'!$B$50)),'Assumptions'!$D$50-SQRT((1-E149)*('Assumptions'!$D$50-'Assumptions'!$B$50)*('Assumptions'!$D$50-'Assumptions'!$C$50)))</x:f>
        <x:v>0.0685096930953848</x:v>
      </x:c>
      <x:c r="K149" s="132" t="n">
        <x:f>IF(F149&lt;(('Assumptions'!$C$51-'Assumptions'!$B$51)/('Assumptions'!$D$51-'Assumptions'!$B$51)),'Assumptions'!$B$51+SQRT(F149*('Assumptions'!$D$51-'Assumptions'!$B$51)*('Assumptions'!$C$51-'Assumptions'!$B$51)),'Assumptions'!$D$51-SQRT((1-F149)*('Assumptions'!$D$51-'Assumptions'!$B$51)*('Assumptions'!$D$51-'Assumptions'!$C$51)))</x:f>
        <x:v>0.06927306595805256</x:v>
      </x:c>
      <x:c r="L149" s="133" t="n">
        <x:f>(('Assumptions'!$B$17*(1+G149)+'Assumptions'!$B$18)*(1-H149-'Assumptions'!$B$20)-SUM('Assumptions'!$B$21:$B$25)*(1+I149))-(('Assumptions'!$B$17*(1+G149)+'Assumptions'!$B$18)*(1-H149-'Assumptions'!$B$20)*'Assumptions'!$B$26)</x:f>
        <x:v>239214.20075836152</x:v>
      </x:c>
      <x:c r="M149" s="133" t="n">
        <x:f>'Assumptions'!$B$10*'Assumptions'!$B$33</x:f>
        <x:v>1950000</x:v>
      </x:c>
      <x:c r="N149" s="133" t="n">
        <x:f>-PMT(K149/12,'Assumptions'!$B$35*12,M149)*12</x:f>
        <x:v>154540.06113875075</x:v>
      </x:c>
      <x:c r="O149" s="133" t="n">
        <x:f>(L149*(1+'Assumptions'!$B$29)^('Assumptions'!$B$14/12)/J149)*(1-'Assumptions'!$B$42)-'Debt Schedule'!$F$9</x:f>
        <x:v>3804949.6370099885</x:v>
      </x:c>
      <x:c r="P149" s="132" t="n">
        <x:f>((O149+(L149-N149-'Assumptions'!$B$27-'Assumptions'!$B$28)*('Assumptions'!$B$14/12))/ABS('Monthly Cash Flow'!$S$5))^(1/('Assumptions'!$B$14/12))-1</x:f>
        <x:v>0.25488633117696735</x:v>
      </x:c>
      <x:c r="Q149" s="133" t="n">
        <x:f>-ABS('Monthly Cash Flow'!$S$5)+((L149-N149-'Assumptions'!$B$27-'Assumptions'!$B$28)*(1-(1+'Assumptions'!$B$43)^-('Assumptions'!$B$14/12))/'Assumptions'!$B$43)+(O149/(1+'Assumptions'!$B$43)^('Assumptions'!$B$14/12))</x:f>
        <x:v>1237424.50019042</x:v>
      </x:c>
    </x:row>
    <x:row r="150">
      <x:c r="A150" s="131" t="n">
        <x:f>143</x:f>
        <x:v>143</x:v>
      </x:c>
      <x:c r="B150" s="131" t="n">
        <x:f>MOD(ABS(SIN((A150+1)*12.9898+78.233)*43758.5453),1)</x:f>
        <x:v>0.06484162439301144</x:v>
      </x:c>
      <x:c r="C150" s="131" t="n">
        <x:f>MOD(ABS(SIN((A150+2)*12.9898+78.233)*43758.5453),1)</x:f>
        <x:v>0.21561184724851046</x:v>
      </x:c>
      <x:c r="D150" s="131" t="n">
        <x:f>MOD(ABS(SIN((A150+3)*12.9898+78.233)*43758.5453),1)</x:f>
        <x:v>0.5305701235120068</x:v>
      </x:c>
      <x:c r="E150" s="131" t="n">
        <x:f>MOD(ABS(SIN((A150+4)*12.9898+78.233)*43758.5453),1)</x:f>
        <x:v>0.48605412081087707</x:v>
      </x:c>
      <x:c r="F150" s="131" t="n">
        <x:f>MOD(ABS(SIN((A150+5)*12.9898+78.233)*43758.5453),1)</x:f>
        <x:v>0.34110320490799495</x:v>
      </x:c>
      <x:c r="G150" s="132" t="n">
        <x:f>IF(B150&lt;(('Assumptions'!$C$47-'Assumptions'!$B$47)/('Assumptions'!$D$47-'Assumptions'!$B$47)),'Assumptions'!$B$47+SQRT(B150*('Assumptions'!$D$47-'Assumptions'!$B$47)*('Assumptions'!$C$47-'Assumptions'!$B$47)),'Assumptions'!$D$47-SQRT((1-B150)*('Assumptions'!$D$47-'Assumptions'!$B$47)*('Assumptions'!$D$47-'Assumptions'!$C$47)))</x:f>
        <x:v>-0.060551311993524114</x:v>
      </x:c>
      <x:c r="H150" s="132" t="n">
        <x:f>IF(C150&lt;(('Assumptions'!$C$48-'Assumptions'!$B$48)/('Assumptions'!$D$48-'Assumptions'!$B$48)),'Assumptions'!$B$48+SQRT(C150*('Assumptions'!$D$48-'Assumptions'!$B$48)*('Assumptions'!$C$48-'Assumptions'!$B$48)),'Assumptions'!$D$48-SQRT((1-C150)*('Assumptions'!$D$48-'Assumptions'!$B$48)*('Assumptions'!$D$48-'Assumptions'!$C$48)))</x:f>
        <x:v>0.05667431528493439</x:v>
      </x:c>
      <x:c r="I150" s="132" t="n">
        <x:f>IF(D150&lt;(('Assumptions'!$C$49-'Assumptions'!$B$49)/('Assumptions'!$D$49-'Assumptions'!$B$49)),'Assumptions'!$B$49+SQRT(D150*('Assumptions'!$D$49-'Assumptions'!$B$49)*('Assumptions'!$C$49-'Assumptions'!$B$49)),'Assumptions'!$D$49-SQRT((1-D150)*('Assumptions'!$D$49-'Assumptions'!$B$49)*('Assumptions'!$D$49-'Assumptions'!$C$49)))</x:f>
        <x:v>0.04930399545095818</x:v>
      </x:c>
      <x:c r="J150" s="132" t="n">
        <x:f>IF(E150&lt;(('Assumptions'!$C$50-'Assumptions'!$B$50)/('Assumptions'!$D$50-'Assumptions'!$B$50)),'Assumptions'!$B$50+SQRT(E150*('Assumptions'!$D$50-'Assumptions'!$B$50)*('Assumptions'!$C$50-'Assumptions'!$B$50)),'Assumptions'!$D$50-SQRT((1-E150)*('Assumptions'!$D$50-'Assumptions'!$B$50)*('Assumptions'!$D$50-'Assumptions'!$C$50)))</x:f>
        <x:v>0.06797721835339506</x:v>
      </x:c>
      <x:c r="K150" s="132" t="n">
        <x:f>IF(F150&lt;(('Assumptions'!$C$51-'Assumptions'!$B$51)/('Assumptions'!$D$51-'Assumptions'!$B$51)),'Assumptions'!$B$51+SQRT(F150*('Assumptions'!$D$51-'Assumptions'!$B$51)*('Assumptions'!$C$51-'Assumptions'!$B$51)),'Assumptions'!$D$51-SQRT((1-F150)*('Assumptions'!$D$51-'Assumptions'!$B$51)*('Assumptions'!$D$51-'Assumptions'!$C$51)))</x:f>
        <x:v>0.06718521457427241</x:v>
      </x:c>
      <x:c r="L150" s="133" t="n">
        <x:f>(('Assumptions'!$B$17*(1+G150)+'Assumptions'!$B$18)*(1-H150-'Assumptions'!$B$20)-SUM('Assumptions'!$B$21:$B$25)*(1+I150))-(('Assumptions'!$B$17*(1+G150)+'Assumptions'!$B$18)*(1-H150-'Assumptions'!$B$20)*'Assumptions'!$B$26)</x:f>
        <x:v>186941.64990501697</x:v>
      </x:c>
      <x:c r="M150" s="133" t="n">
        <x:f>'Assumptions'!$B$10*'Assumptions'!$B$33</x:f>
        <x:v>1950000</x:v>
      </x:c>
      <x:c r="N150" s="133" t="n">
        <x:f>-PMT(K150/12,'Assumptions'!$B$35*12,M150)*12</x:f>
        <x:v>151282.64528202027</x:v>
      </x:c>
      <x:c r="O150" s="133" t="n">
        <x:f>(L150*(1+'Assumptions'!$B$29)^('Assumptions'!$B$14/12)/J150)*(1-'Assumptions'!$B$42)-'Debt Schedule'!$F$9</x:f>
        <x:v>2996792.4046876472</x:v>
      </x:c>
      <x:c r="P150" s="132" t="n">
        <x:f>((O150+(L150-N150-'Assumptions'!$B$27-'Assumptions'!$B$28)*('Assumptions'!$B$14/12))/ABS('Monthly Cash Flow'!$S$5))^(1/('Assumptions'!$B$14/12))-1</x:f>
        <x:v>0.18108059886146277</x:v>
      </x:c>
      <x:c r="Q150" s="133" t="n">
        <x:f>-ABS('Monthly Cash Flow'!$S$5)+((L150-N150-'Assumptions'!$B$27-'Assumptions'!$B$28)*(1-(1+'Assumptions'!$B$43)^-('Assumptions'!$B$14/12))/'Assumptions'!$B$43)+(O150/(1+'Assumptions'!$B$43)^('Assumptions'!$B$14/12))</x:f>
        <x:v>549816.5170110732</x:v>
      </x:c>
    </x:row>
    <x:row r="151">
      <x:c r="A151" s="131" t="n">
        <x:f>144</x:f>
        <x:v>144</x:v>
      </x:c>
      <x:c r="B151" s="131" t="n">
        <x:f>MOD(ABS(SIN((A151+1)*12.9898+78.233)*43758.5453),1)</x:f>
        <x:v>0.21561184724851046</x:v>
      </x:c>
      <x:c r="C151" s="131" t="n">
        <x:f>MOD(ABS(SIN((A151+2)*12.9898+78.233)*43758.5453),1)</x:f>
        <x:v>0.5305701235120068</x:v>
      </x:c>
      <x:c r="D151" s="131" t="n">
        <x:f>MOD(ABS(SIN((A151+3)*12.9898+78.233)*43758.5453),1)</x:f>
        <x:v>0.48605412081087707</x:v>
      </x:c>
      <x:c r="E151" s="131" t="n">
        <x:f>MOD(ABS(SIN((A151+4)*12.9898+78.233)*43758.5453),1)</x:f>
        <x:v>0.34110320490799495</x:v>
      </x:c>
      <x:c r="F151" s="131" t="n">
        <x:f>MOD(ABS(SIN((A151+5)*12.9898+78.233)*43758.5453),1)</x:f>
        <x:v>0.09565371054850402</x:v>
      </x:c>
      <x:c r="G151" s="132" t="n">
        <x:f>IF(B151&lt;(('Assumptions'!$C$47-'Assumptions'!$B$47)/('Assumptions'!$D$47-'Assumptions'!$B$47)),'Assumptions'!$B$47+SQRT(B151*('Assumptions'!$D$47-'Assumptions'!$B$47)*('Assumptions'!$C$47-'Assumptions'!$B$47)),'Assumptions'!$D$47-SQRT((1-B151)*('Assumptions'!$D$47-'Assumptions'!$B$47)*('Assumptions'!$D$47-'Assumptions'!$C$47)))</x:f>
        <x:v>-0.028064721214384303</x:v>
      </x:c>
      <x:c r="H151" s="132" t="n">
        <x:f>IF(C151&lt;(('Assumptions'!$C$48-'Assumptions'!$B$48)/('Assumptions'!$D$48-'Assumptions'!$B$48)),'Assumptions'!$B$48+SQRT(C151*('Assumptions'!$D$48-'Assumptions'!$B$48)*('Assumptions'!$C$48-'Assumptions'!$B$48)),'Assumptions'!$D$48-SQRT((1-C151)*('Assumptions'!$D$48-'Assumptions'!$B$48)*('Assumptions'!$D$48-'Assumptions'!$C$48)))</x:f>
        <x:v>0.07572727706799455</x:v>
      </x:c>
      <x:c r="I151" s="132" t="n">
        <x:f>IF(D151&lt;(('Assumptions'!$C$49-'Assumptions'!$B$49)/('Assumptions'!$D$49-'Assumptions'!$B$49)),'Assumptions'!$B$49+SQRT(D151*('Assumptions'!$D$49-'Assumptions'!$B$49)*('Assumptions'!$C$49-'Assumptions'!$B$49)),'Assumptions'!$D$49-SQRT((1-D151)*('Assumptions'!$D$49-'Assumptions'!$B$49)*('Assumptions'!$D$49-'Assumptions'!$C$49)))</x:f>
        <x:v>0.04463762061112583</x:v>
      </x:c>
      <x:c r="J151" s="132" t="n">
        <x:f>IF(E151&lt;(('Assumptions'!$C$50-'Assumptions'!$B$50)/('Assumptions'!$D$50-'Assumptions'!$B$50)),'Assumptions'!$B$50+SQRT(E151*('Assumptions'!$D$50-'Assumptions'!$B$50)*('Assumptions'!$C$50-'Assumptions'!$B$50)),'Assumptions'!$D$50-SQRT((1-E151)*('Assumptions'!$D$50-'Assumptions'!$B$50)*('Assumptions'!$D$50-'Assumptions'!$C$50)))</x:f>
        <x:v>0.06626060620643907</x:v>
      </x:c>
      <x:c r="K151" s="132" t="n">
        <x:f>IF(F151&lt;(('Assumptions'!$C$51-'Assumptions'!$B$51)/('Assumptions'!$D$51-'Assumptions'!$B$51)),'Assumptions'!$B$51+SQRT(F151*('Assumptions'!$D$51-'Assumptions'!$B$51)*('Assumptions'!$C$51-'Assumptions'!$B$51)),'Assumptions'!$D$51-SQRT((1-F151)*('Assumptions'!$D$51-'Assumptions'!$B$51)*('Assumptions'!$D$51-'Assumptions'!$C$51)))</x:f>
        <x:v>0.062628817641605</x:v>
      </x:c>
      <x:c r="L151" s="133" t="n">
        <x:f>(('Assumptions'!$B$17*(1+G151)+'Assumptions'!$B$18)*(1-H151-'Assumptions'!$B$20)-SUM('Assumptions'!$B$21:$B$25)*(1+I151))-(('Assumptions'!$B$17*(1+G151)+'Assumptions'!$B$18)*(1-H151-'Assumptions'!$B$20)*'Assumptions'!$B$26)</x:f>
        <x:v>191279.26108147853</x:v>
      </x:c>
      <x:c r="M151" s="133" t="n">
        <x:f>'Assumptions'!$B$10*'Assumptions'!$B$33</x:f>
        <x:v>1950000</x:v>
      </x:c>
      <x:c r="N151" s="133" t="n">
        <x:f>-PMT(K151/12,'Assumptions'!$B$35*12,M151)*12</x:f>
        <x:v>144273.92901102314</x:v>
      </x:c>
      <x:c r="O151" s="133" t="n">
        <x:f>(L151*(1+'Assumptions'!$B$29)^('Assumptions'!$B$14/12)/J151)*(1-'Assumptions'!$B$42)-'Debt Schedule'!$F$9</x:f>
        <x:v>3145766.3151198584</x:v>
      </x:c>
      <x:c r="P151" s="132" t="n">
        <x:f>((O151+(L151-N151-'Assumptions'!$B$27-'Assumptions'!$B$28)*('Assumptions'!$B$14/12))/ABS('Monthly Cash Flow'!$S$5))^(1/('Assumptions'!$B$14/12))-1</x:f>
        <x:v>0.19697938208564847</x:v>
      </x:c>
      <x:c r="Q151" s="133" t="n">
        <x:f>-ABS('Monthly Cash Flow'!$S$5)+((L151-N151-'Assumptions'!$B$27-'Assumptions'!$B$28)*(1-(1+'Assumptions'!$B$43)^-('Assumptions'!$B$14/12))/'Assumptions'!$B$43)+(O151/(1+'Assumptions'!$B$43)^('Assumptions'!$B$14/12))</x:f>
        <x:v>685329.1025471401</x:v>
      </x:c>
    </x:row>
    <x:row r="152">
      <x:c r="A152" s="131" t="n">
        <x:f>145</x:f>
        <x:v>145</x:v>
      </x:c>
      <x:c r="B152" s="131" t="n">
        <x:f>MOD(ABS(SIN((A152+1)*12.9898+78.233)*43758.5453),1)</x:f>
        <x:v>0.5305701235120068</x:v>
      </x:c>
      <x:c r="C152" s="131" t="n">
        <x:f>MOD(ABS(SIN((A152+2)*12.9898+78.233)*43758.5453),1)</x:f>
        <x:v>0.48605412081087707</x:v>
      </x:c>
      <x:c r="D152" s="131" t="n">
        <x:f>MOD(ABS(SIN((A152+3)*12.9898+78.233)*43758.5453),1)</x:f>
        <x:v>0.34110320490799495</x:v>
      </x:c>
      <x:c r="E152" s="131" t="n">
        <x:f>MOD(ABS(SIN((A152+4)*12.9898+78.233)*43758.5453),1)</x:f>
        <x:v>0.09565371054850402</x:v>
      </x:c>
      <x:c r="F152" s="131" t="n">
        <x:f>MOD(ABS(SIN((A152+5)*12.9898+78.233)*43758.5453),1)</x:f>
        <x:v>0.6160118692678225</x:v>
      </x:c>
      <x:c r="G152" s="132" t="n">
        <x:f>IF(B152&lt;(('Assumptions'!$C$47-'Assumptions'!$B$47)/('Assumptions'!$D$47-'Assumptions'!$B$47)),'Assumptions'!$B$47+SQRT(B152*('Assumptions'!$D$47-'Assumptions'!$B$47)*('Assumptions'!$C$47-'Assumptions'!$B$47)),'Assumptions'!$D$47-SQRT((1-B152)*('Assumptions'!$D$47-'Assumptions'!$B$47)*('Assumptions'!$D$47-'Assumptions'!$C$47)))</x:f>
        <x:v>0.012843621726210855</x:v>
      </x:c>
      <x:c r="H152" s="132" t="n">
        <x:f>IF(C152&lt;(('Assumptions'!$C$48-'Assumptions'!$B$48)/('Assumptions'!$D$48-'Assumptions'!$B$48)),'Assumptions'!$B$48+SQRT(C152*('Assumptions'!$D$48-'Assumptions'!$B$48)*('Assumptions'!$C$48-'Assumptions'!$B$48)),'Assumptions'!$D$48-SQRT((1-C152)*('Assumptions'!$D$48-'Assumptions'!$B$48)*('Assumptions'!$D$48-'Assumptions'!$C$48)))</x:f>
        <x:v>0.07274880122358947</x:v>
      </x:c>
      <x:c r="I152" s="132" t="n">
        <x:f>IF(D152&lt;(('Assumptions'!$C$49-'Assumptions'!$B$49)/('Assumptions'!$D$49-'Assumptions'!$B$49)),'Assumptions'!$B$49+SQRT(D152*('Assumptions'!$D$49-'Assumptions'!$B$49)*('Assumptions'!$C$49-'Assumptions'!$B$49)),'Assumptions'!$D$49-SQRT((1-D152)*('Assumptions'!$D$49-'Assumptions'!$B$49)*('Assumptions'!$D$49-'Assumptions'!$C$49)))</x:f>
        <x:v>0.030701337920380226</x:v>
      </x:c>
      <x:c r="J152" s="132" t="n">
        <x:f>IF(E152&lt;(('Assumptions'!$C$50-'Assumptions'!$B$50)/('Assumptions'!$D$50-'Assumptions'!$B$50)),'Assumptions'!$B$50+SQRT(E152*('Assumptions'!$D$50-'Assumptions'!$B$50)*('Assumptions'!$C$50-'Assumptions'!$B$50)),'Assumptions'!$D$50-SQRT((1-E152)*('Assumptions'!$D$50-'Assumptions'!$B$50)*('Assumptions'!$D$50-'Assumptions'!$C$50)))</x:f>
        <x:v>0.06213919010964343</x:v>
      </x:c>
      <x:c r="K152" s="132" t="n">
        <x:f>IF(F152&lt;(('Assumptions'!$C$51-'Assumptions'!$B$51)/('Assumptions'!$D$51-'Assumptions'!$B$51)),'Assumptions'!$B$51+SQRT(F152*('Assumptions'!$D$51-'Assumptions'!$B$51)*('Assumptions'!$C$51-'Assumptions'!$B$51)),'Assumptions'!$D$51-SQRT((1-F152)*('Assumptions'!$D$51-'Assumptions'!$B$51)*('Assumptions'!$D$51-'Assumptions'!$C$51)))</x:f>
        <x:v>0.07140609372127127</x:v>
      </x:c>
      <x:c r="L152" s="133" t="n">
        <x:f>(('Assumptions'!$B$17*(1+G152)+'Assumptions'!$B$18)*(1-H152-'Assumptions'!$B$20)-SUM('Assumptions'!$B$21:$B$25)*(1+I152))-(('Assumptions'!$B$17*(1+G152)+'Assumptions'!$B$18)*(1-H152-'Assumptions'!$B$20)*'Assumptions'!$B$26)</x:f>
        <x:v>207055.20039209508</x:v>
      </x:c>
      <x:c r="M152" s="133" t="n">
        <x:f>'Assumptions'!$B$10*'Assumptions'!$B$33</x:f>
        <x:v>1950000</x:v>
      </x:c>
      <x:c r="N152" s="133" t="n">
        <x:f>-PMT(K152/12,'Assumptions'!$B$35*12,M152)*12</x:f>
        <x:v>157896.7458271557</x:v>
      </x:c>
      <x:c r="O152" s="133" t="n">
        <x:f>(L152*(1+'Assumptions'!$B$29)^('Assumptions'!$B$14/12)/J152)*(1-'Assumptions'!$B$42)-'Debt Schedule'!$F$9</x:f>
        <x:v>3631069.2466318165</x:v>
      </x:c>
      <x:c r="P152" s="132" t="n">
        <x:f>((O152+(L152-N152-'Assumptions'!$B$27-'Assumptions'!$B$28)*('Assumptions'!$B$14/12))/ABS('Monthly Cash Flow'!$S$5))^(1/('Assumptions'!$B$14/12))-1</x:f>
        <x:v>0.23218252065826683</x:v>
      </x:c>
      <x:c r="Q152" s="133" t="n">
        <x:f>-ABS('Monthly Cash Flow'!$S$5)+((L152-N152-'Assumptions'!$B$27-'Assumptions'!$B$28)*(1-(1+'Assumptions'!$B$43)^-('Assumptions'!$B$14/12))/'Assumptions'!$B$43)+(O152/(1+'Assumptions'!$B$43)^('Assumptions'!$B$14/12))</x:f>
        <x:v>994826.0691310372</x:v>
      </x:c>
    </x:row>
    <x:row r="153">
      <x:c r="A153" s="131" t="n">
        <x:f>146</x:f>
        <x:v>146</x:v>
      </x:c>
      <x:c r="B153" s="131" t="n">
        <x:f>MOD(ABS(SIN((A153+1)*12.9898+78.233)*43758.5453),1)</x:f>
        <x:v>0.48605412081087707</x:v>
      </x:c>
      <x:c r="C153" s="131" t="n">
        <x:f>MOD(ABS(SIN((A153+2)*12.9898+78.233)*43758.5453),1)</x:f>
        <x:v>0.34110320490799495</x:v>
      </x:c>
      <x:c r="D153" s="131" t="n">
        <x:f>MOD(ABS(SIN((A153+3)*12.9898+78.233)*43758.5453),1)</x:f>
        <x:v>0.09565371054850402</x:v>
      </x:c>
      <x:c r="E153" s="131" t="n">
        <x:f>MOD(ABS(SIN((A153+4)*12.9898+78.233)*43758.5453),1)</x:f>
        <x:v>0.6160118692678225</x:v>
      </x:c>
      <x:c r="F153" s="131" t="n">
        <x:f>MOD(ABS(SIN((A153+5)*12.9898+78.233)*43758.5453),1)</x:f>
        <x:v>0.07757508653230616</x:v>
      </x:c>
      <x:c r="G153" s="132" t="n">
        <x:f>IF(B153&lt;(('Assumptions'!$C$47-'Assumptions'!$B$47)/('Assumptions'!$D$47-'Assumptions'!$B$47)),'Assumptions'!$B$47+SQRT(B153*('Assumptions'!$D$47-'Assumptions'!$B$47)*('Assumptions'!$C$47-'Assumptions'!$B$47)),'Assumptions'!$D$47-SQRT((1-B153)*('Assumptions'!$D$47-'Assumptions'!$B$47)*('Assumptions'!$D$47-'Assumptions'!$C$47)))</x:f>
        <x:v>0.008006013256026859</x:v>
      </x:c>
      <x:c r="H153" s="132" t="n">
        <x:f>IF(C153&lt;(('Assumptions'!$C$48-'Assumptions'!$B$48)/('Assumptions'!$D$48-'Assumptions'!$B$48)),'Assumptions'!$B$48+SQRT(C153*('Assumptions'!$D$48-'Assumptions'!$B$48)*('Assumptions'!$C$48-'Assumptions'!$B$48)),'Assumptions'!$D$48-SQRT((1-C153)*('Assumptions'!$D$48-'Assumptions'!$B$48)*('Assumptions'!$D$48-'Assumptions'!$C$48)))</x:f>
        <x:v>0.06385348467060595</x:v>
      </x:c>
      <x:c r="I153" s="132" t="n">
        <x:f>IF(D153&lt;(('Assumptions'!$C$49-'Assumptions'!$B$49)/('Assumptions'!$D$49-'Assumptions'!$B$49)),'Assumptions'!$B$49+SQRT(D153*('Assumptions'!$D$49-'Assumptions'!$B$49)*('Assumptions'!$C$49-'Assumptions'!$B$49)),'Assumptions'!$D$49-SQRT((1-D153)*('Assumptions'!$D$49-'Assumptions'!$B$49)*('Assumptions'!$D$49-'Assumptions'!$C$49)))</x:f>
        <x:v>0.0021412519034937905</x:v>
      </x:c>
      <x:c r="J153" s="132" t="n">
        <x:f>IF(E153&lt;(('Assumptions'!$C$50-'Assumptions'!$B$50)/('Assumptions'!$D$50-'Assumptions'!$B$50)),'Assumptions'!$B$50+SQRT(E153*('Assumptions'!$D$50-'Assumptions'!$B$50)*('Assumptions'!$C$50-'Assumptions'!$B$50)),'Assumptions'!$D$50-SQRT((1-E153)*('Assumptions'!$D$50-'Assumptions'!$B$50)*('Assumptions'!$D$50-'Assumptions'!$C$50)))</x:f>
        <x:v>0.0696078557665694</x:v>
      </x:c>
      <x:c r="K153" s="132" t="n">
        <x:f>IF(F153&lt;(('Assumptions'!$C$51-'Assumptions'!$B$51)/('Assumptions'!$D$51-'Assumptions'!$B$51)),'Assumptions'!$B$51+SQRT(F153*('Assumptions'!$D$51-'Assumptions'!$B$51)*('Assumptions'!$C$51-'Assumptions'!$B$51)),'Assumptions'!$D$51-SQRT((1-F153)*('Assumptions'!$D$51-'Assumptions'!$B$51)*('Assumptions'!$D$51-'Assumptions'!$C$51)))</x:f>
        <x:v>0.062118782176763074</x:v>
      </x:c>
      <x:c r="L153" s="133" t="n">
        <x:f>(('Assumptions'!$B$17*(1+G153)+'Assumptions'!$B$18)*(1-H153-'Assumptions'!$B$20)-SUM('Assumptions'!$B$21:$B$25)*(1+I153))-(('Assumptions'!$B$17*(1+G153)+'Assumptions'!$B$18)*(1-H153-'Assumptions'!$B$20)*'Assumptions'!$B$26)</x:f>
        <x:v>212372.78432882638</x:v>
      </x:c>
      <x:c r="M153" s="133" t="n">
        <x:f>'Assumptions'!$B$10*'Assumptions'!$B$33</x:f>
        <x:v>1950000</x:v>
      </x:c>
      <x:c r="N153" s="133" t="n">
        <x:f>-PMT(K153/12,'Assumptions'!$B$35*12,M153)*12</x:f>
        <x:v>143498.15303859024</x:v>
      </x:c>
      <x:c r="O153" s="133" t="n">
        <x:f>(L153*(1+'Assumptions'!$B$29)^('Assumptions'!$B$14/12)/J153)*(1-'Assumptions'!$B$42)-'Debt Schedule'!$F$9</x:f>
        <x:v>3324716.221080641</x:v>
      </x:c>
      <x:c r="P153" s="132" t="n">
        <x:f>((O153+(L153-N153-'Assumptions'!$B$27-'Assumptions'!$B$28)*('Assumptions'!$B$14/12))/ABS('Monthly Cash Flow'!$S$5))^(1/('Assumptions'!$B$14/12))-1</x:f>
        <x:v>0.21793100606564564</x:v>
      </x:c>
      <x:c r="Q153" s="133" t="n">
        <x:f>-ABS('Monthly Cash Flow'!$S$5)+((L153-N153-'Assumptions'!$B$27-'Assumptions'!$B$28)*(1-(1+'Assumptions'!$B$43)^-('Assumptions'!$B$14/12))/'Assumptions'!$B$43)+(O153/(1+'Assumptions'!$B$43)^('Assumptions'!$B$14/12))</x:f>
        <x:v>879344.7650561999</x:v>
      </x:c>
    </x:row>
    <x:row r="154">
      <x:c r="A154" s="131" t="n">
        <x:f>147</x:f>
        <x:v>147</x:v>
      </x:c>
      <x:c r="B154" s="131" t="n">
        <x:f>MOD(ABS(SIN((A154+1)*12.9898+78.233)*43758.5453),1)</x:f>
        <x:v>0.34110320490799495</x:v>
      </x:c>
      <x:c r="C154" s="131" t="n">
        <x:f>MOD(ABS(SIN((A154+2)*12.9898+78.233)*43758.5453),1)</x:f>
        <x:v>0.09565371054850402</x:v>
      </x:c>
      <x:c r="D154" s="131" t="n">
        <x:f>MOD(ABS(SIN((A154+3)*12.9898+78.233)*43758.5453),1)</x:f>
        <x:v>0.6160118692678225</x:v>
      </x:c>
      <x:c r="E154" s="131" t="n">
        <x:f>MOD(ABS(SIN((A154+4)*12.9898+78.233)*43758.5453),1)</x:f>
        <x:v>0.07757508653230616</x:v>
      </x:c>
      <x:c r="F154" s="131" t="n">
        <x:f>MOD(ABS(SIN((A154+5)*12.9898+78.233)*43758.5453),1)</x:f>
        <x:v>0.5384048509149579</x:v>
      </x:c>
      <x:c r="G154" s="132" t="n">
        <x:f>IF(B154&lt;(('Assumptions'!$C$47-'Assumptions'!$B$47)/('Assumptions'!$D$47-'Assumptions'!$B$47)),'Assumptions'!$B$47+SQRT(B154*('Assumptions'!$D$47-'Assumptions'!$B$47)*('Assumptions'!$C$47-'Assumptions'!$B$47)),'Assumptions'!$D$47-SQRT((1-B154)*('Assumptions'!$D$47-'Assumptions'!$B$47)*('Assumptions'!$D$47-'Assumptions'!$C$47)))</x:f>
        <x:v>-0.009520848159413647</x:v>
      </x:c>
      <x:c r="H154" s="132" t="n">
        <x:f>IF(C154&lt;(('Assumptions'!$C$48-'Assumptions'!$B$48)/('Assumptions'!$D$48-'Assumptions'!$B$48)),'Assumptions'!$B$48+SQRT(C154*('Assumptions'!$D$48-'Assumptions'!$B$48)*('Assumptions'!$C$48-'Assumptions'!$B$48)),'Assumptions'!$D$48-SQRT((1-C154)*('Assumptions'!$D$48-'Assumptions'!$B$48)*('Assumptions'!$D$48-'Assumptions'!$C$48)))</x:f>
        <x:v>0.04776674547603087</x:v>
      </x:c>
      <x:c r="I154" s="132" t="n">
        <x:f>IF(D154&lt;(('Assumptions'!$C$49-'Assumptions'!$B$49)/('Assumptions'!$D$49-'Assumptions'!$B$49)),'Assumptions'!$B$49+SQRT(D154*('Assumptions'!$D$49-'Assumptions'!$B$49)*('Assumptions'!$C$49-'Assumptions'!$B$49)),'Assumptions'!$D$49-SQRT((1-D154)*('Assumptions'!$D$49-'Assumptions'!$B$49)*('Assumptions'!$D$49-'Assumptions'!$C$49)))</x:f>
        <x:v>0.05892781092004522</x:v>
      </x:c>
      <x:c r="J154" s="132" t="n">
        <x:f>IF(E154&lt;(('Assumptions'!$C$50-'Assumptions'!$B$50)/('Assumptions'!$D$50-'Assumptions'!$B$50)),'Assumptions'!$B$50+SQRT(E154*('Assumptions'!$D$50-'Assumptions'!$B$50)*('Assumptions'!$C$50-'Assumptions'!$B$50)),'Assumptions'!$D$50-SQRT((1-E154)*('Assumptions'!$D$50-'Assumptions'!$B$50)*('Assumptions'!$D$50-'Assumptions'!$C$50)))</x:f>
        <x:v>0.06167784567328293</x:v>
      </x:c>
      <x:c r="K154" s="132" t="n">
        <x:f>IF(F154&lt;(('Assumptions'!$C$51-'Assumptions'!$B$51)/('Assumptions'!$D$51-'Assumptions'!$B$51)),'Assumptions'!$B$51+SQRT(F154*('Assumptions'!$D$51-'Assumptions'!$B$51)*('Assumptions'!$C$51-'Assumptions'!$B$51)),'Assumptions'!$D$51-SQRT((1-F154)*('Assumptions'!$D$51-'Assumptions'!$B$51)*('Assumptions'!$D$51-'Assumptions'!$C$51)))</x:f>
        <x:v>0.07009554880254974</x:v>
      </x:c>
      <x:c r="L154" s="133" t="n">
        <x:f>(('Assumptions'!$B$17*(1+G154)+'Assumptions'!$B$18)*(1-H154-'Assumptions'!$B$20)-SUM('Assumptions'!$B$21:$B$25)*(1+I154))-(('Assumptions'!$B$17*(1+G154)+'Assumptions'!$B$18)*(1-H154-'Assumptions'!$B$20)*'Assumptions'!$B$26)</x:f>
        <x:v>205392.37009714384</x:v>
      </x:c>
      <x:c r="M154" s="133" t="n">
        <x:f>'Assumptions'!$B$10*'Assumptions'!$B$33</x:f>
        <x:v>1950000</x:v>
      </x:c>
      <x:c r="N154" s="133" t="n">
        <x:f>-PMT(K154/12,'Assumptions'!$B$35*12,M154)*12</x:f>
        <x:v>155830.971202895</x:v>
      </x:c>
      <x:c r="O154" s="133" t="n">
        <x:f>(L154*(1+'Assumptions'!$B$29)^('Assumptions'!$B$14/12)/J154)*(1-'Assumptions'!$B$42)-'Debt Schedule'!$F$9</x:f>
        <x:v>3628850.5911101024</x:v>
      </x:c>
      <x:c r="P154" s="132" t="n">
        <x:f>((O154+(L154-N154-'Assumptions'!$B$27-'Assumptions'!$B$28)*('Assumptions'!$B$14/12))/ABS('Monthly Cash Flow'!$S$5))^(1/('Assumptions'!$B$14/12))-1</x:f>
        <x:v>0.2321688519720735</x:v>
      </x:c>
      <x:c r="Q154" s="133" t="n">
        <x:f>-ABS('Monthly Cash Flow'!$S$5)+((L154-N154-'Assumptions'!$B$27-'Assumptions'!$B$28)*(1-(1+'Assumptions'!$B$43)^-('Assumptions'!$B$14/12))/'Assumptions'!$B$43)+(O154/(1+'Assumptions'!$B$43)^('Assumptions'!$B$14/12))</x:f>
        <x:v>994975.9346414364</x:v>
      </x:c>
    </x:row>
    <x:row r="155">
      <x:c r="A155" s="131" t="n">
        <x:f>148</x:f>
        <x:v>148</x:v>
      </x:c>
      <x:c r="B155" s="131" t="n">
        <x:f>MOD(ABS(SIN((A155+1)*12.9898+78.233)*43758.5453),1)</x:f>
        <x:v>0.09565371054850402</x:v>
      </x:c>
      <x:c r="C155" s="131" t="n">
        <x:f>MOD(ABS(SIN((A155+2)*12.9898+78.233)*43758.5453),1)</x:f>
        <x:v>0.6160118692678225</x:v>
      </x:c>
      <x:c r="D155" s="131" t="n">
        <x:f>MOD(ABS(SIN((A155+3)*12.9898+78.233)*43758.5453),1)</x:f>
        <x:v>0.07757508653230616</x:v>
      </x:c>
      <x:c r="E155" s="131" t="n">
        <x:f>MOD(ABS(SIN((A155+4)*12.9898+78.233)*43758.5453),1)</x:f>
        <x:v>0.5384048509149579</x:v>
      </x:c>
      <x:c r="F155" s="131" t="n">
        <x:f>MOD(ABS(SIN((A155+5)*12.9898+78.233)*43758.5453),1)</x:f>
        <x:v>0.7759178179621813</x:v>
      </x:c>
      <x:c r="G155" s="132" t="n">
        <x:f>IF(B155&lt;(('Assumptions'!$C$47-'Assumptions'!$B$47)/('Assumptions'!$D$47-'Assumptions'!$B$47)),'Assumptions'!$B$47+SQRT(B155*('Assumptions'!$D$47-'Assumptions'!$B$47)*('Assumptions'!$C$47-'Assumptions'!$B$47)),'Assumptions'!$D$47-SQRT((1-B155)*('Assumptions'!$D$47-'Assumptions'!$B$47)*('Assumptions'!$D$47-'Assumptions'!$C$47)))</x:f>
        <x:v>-0.05208665057456224</x:v>
      </x:c>
      <x:c r="H155" s="132" t="n">
        <x:f>IF(C155&lt;(('Assumptions'!$C$48-'Assumptions'!$B$48)/('Assumptions'!$D$48-'Assumptions'!$B$48)),'Assumptions'!$B$48+SQRT(C155*('Assumptions'!$D$48-'Assumptions'!$B$48)*('Assumptions'!$C$48-'Assumptions'!$B$48)),'Assumptions'!$D$48-SQRT((1-C155)*('Assumptions'!$D$48-'Assumptions'!$B$48)*('Assumptions'!$D$48-'Assumptions'!$C$48)))</x:f>
        <x:v>0.08187001160809369</x:v>
      </x:c>
      <x:c r="I155" s="132" t="n">
        <x:f>IF(D155&lt;(('Assumptions'!$C$49-'Assumptions'!$B$49)/('Assumptions'!$D$49-'Assumptions'!$B$49)),'Assumptions'!$B$49+SQRT(D155*('Assumptions'!$D$49-'Assumptions'!$B$49)*('Assumptions'!$C$49-'Assumptions'!$B$49)),'Assumptions'!$D$49-SQRT((1-D155)*('Assumptions'!$D$49-'Assumptions'!$B$49)*('Assumptions'!$D$49-'Assumptions'!$C$49)))</x:f>
        <x:v>-0.0010550361107686534</x:v>
      </x:c>
      <x:c r="J155" s="132" t="n">
        <x:f>IF(E155&lt;(('Assumptions'!$C$50-'Assumptions'!$B$50)/('Assumptions'!$D$50-'Assumptions'!$B$50)),'Assumptions'!$B$50+SQRT(E155*('Assumptions'!$D$50-'Assumptions'!$B$50)*('Assumptions'!$C$50-'Assumptions'!$B$50)),'Assumptions'!$D$50-SQRT((1-E155)*('Assumptions'!$D$50-'Assumptions'!$B$50)*('Assumptions'!$D$50-'Assumptions'!$C$50)))</x:f>
        <x:v>0.06860598246095048</x:v>
      </x:c>
      <x:c r="K155" s="132" t="n">
        <x:f>IF(F155&lt;(('Assumptions'!$C$51-'Assumptions'!$B$51)/('Assumptions'!$D$51-'Assumptions'!$B$51)),'Assumptions'!$B$51+SQRT(F155*('Assumptions'!$D$51-'Assumptions'!$B$51)*('Assumptions'!$C$51-'Assumptions'!$B$51)),'Assumptions'!$D$51-SQRT((1-F155)*('Assumptions'!$D$51-'Assumptions'!$B$51)*('Assumptions'!$D$51-'Assumptions'!$C$51)))</x:f>
        <x:v>0.07461541767302603</x:v>
      </x:c>
      <x:c r="L155" s="133" t="n">
        <x:f>(('Assumptions'!$B$17*(1+G155)+'Assumptions'!$B$18)*(1-H155-'Assumptions'!$B$20)-SUM('Assumptions'!$B$21:$B$25)*(1+I155))-(('Assumptions'!$B$17*(1+G155)+'Assumptions'!$B$18)*(1-H155-'Assumptions'!$B$20)*'Assumptions'!$B$26)</x:f>
        <x:v>187327.76383131335</x:v>
      </x:c>
      <x:c r="M155" s="133" t="n">
        <x:f>'Assumptions'!$B$10*'Assumptions'!$B$33</x:f>
        <x:v>1950000</x:v>
      </x:c>
      <x:c r="N155" s="133" t="n">
        <x:f>-PMT(K155/12,'Assumptions'!$B$35*12,M155)*12</x:f>
        <x:v>163000.41335782313</x:v>
      </x:c>
      <x:c r="O155" s="133" t="n">
        <x:f>(L155*(1+'Assumptions'!$B$29)^('Assumptions'!$B$14/12)/J155)*(1-'Assumptions'!$B$42)-'Debt Schedule'!$F$9</x:f>
        <x:v>2975460.149150273</x:v>
      </x:c>
      <x:c r="P155" s="132" t="n">
        <x:f>((O155+(L155-N155-'Assumptions'!$B$27-'Assumptions'!$B$28)*('Assumptions'!$B$14/12))/ABS('Monthly Cash Flow'!$S$5))^(1/('Assumptions'!$B$14/12))-1</x:f>
        <x:v>0.17482233203843855</x:v>
      </x:c>
      <x:c r="Q155" s="133" t="n">
        <x:f>-ABS('Monthly Cash Flow'!$S$5)+((L155-N155-'Assumptions'!$B$27-'Assumptions'!$B$28)*(1-(1+'Assumptions'!$B$43)^-('Assumptions'!$B$14/12))/'Assumptions'!$B$43)+(O155/(1+'Assumptions'!$B$43)^('Assumptions'!$B$14/12))</x:f>
        <x:v>493614.9800535091</x:v>
      </x:c>
    </x:row>
    <x:row r="156">
      <x:c r="A156" s="131" t="n">
        <x:f>149</x:f>
        <x:v>149</x:v>
      </x:c>
      <x:c r="B156" s="131" t="n">
        <x:f>MOD(ABS(SIN((A156+1)*12.9898+78.233)*43758.5453),1)</x:f>
        <x:v>0.6160118692678225</x:v>
      </x:c>
      <x:c r="C156" s="131" t="n">
        <x:f>MOD(ABS(SIN((A156+2)*12.9898+78.233)*43758.5453),1)</x:f>
        <x:v>0.07757508653230616</x:v>
      </x:c>
      <x:c r="D156" s="131" t="n">
        <x:f>MOD(ABS(SIN((A156+3)*12.9898+78.233)*43758.5453),1)</x:f>
        <x:v>0.5384048509149579</x:v>
      </x:c>
      <x:c r="E156" s="131" t="n">
        <x:f>MOD(ABS(SIN((A156+4)*12.9898+78.233)*43758.5453),1)</x:f>
        <x:v>0.7759178179621813</x:v>
      </x:c>
      <x:c r="F156" s="131" t="n">
        <x:f>MOD(ABS(SIN((A156+5)*12.9898+78.233)*43758.5453),1)</x:f>
        <x:v>0.8209326949145179</x:v>
      </x:c>
      <x:c r="G156" s="132" t="n">
        <x:f>IF(B156&lt;(('Assumptions'!$C$47-'Assumptions'!$B$47)/('Assumptions'!$D$47-'Assumptions'!$B$47)),'Assumptions'!$B$47+SQRT(B156*('Assumptions'!$D$47-'Assumptions'!$B$47)*('Assumptions'!$C$47-'Assumptions'!$B$47)),'Assumptions'!$D$47-SQRT((1-B156)*('Assumptions'!$D$47-'Assumptions'!$B$47)*('Assumptions'!$D$47-'Assumptions'!$C$47)))</x:f>
        <x:v>0.021617539642373812</x:v>
      </x:c>
      <x:c r="H156" s="132" t="n">
        <x:f>IF(C156&lt;(('Assumptions'!$C$48-'Assumptions'!$B$48)/('Assumptions'!$D$48-'Assumptions'!$B$48)),'Assumptions'!$B$48+SQRT(C156*('Assumptions'!$D$48-'Assumptions'!$B$48)*('Assumptions'!$C$48-'Assumptions'!$B$48)),'Assumptions'!$D$48-SQRT((1-C156)*('Assumptions'!$D$48-'Assumptions'!$B$48)*('Assumptions'!$D$48-'Assumptions'!$C$48)))</x:f>
        <x:v>0.04599993079849442</x:v>
      </x:c>
      <x:c r="I156" s="132" t="n">
        <x:f>IF(D156&lt;(('Assumptions'!$C$49-'Assumptions'!$B$49)/('Assumptions'!$D$49-'Assumptions'!$B$49)),'Assumptions'!$B$49+SQRT(D156*('Assumptions'!$D$49-'Assumptions'!$B$49)*('Assumptions'!$C$49-'Assumptions'!$B$49)),'Assumptions'!$D$49-SQRT((1-D156)*('Assumptions'!$D$49-'Assumptions'!$B$49)*('Assumptions'!$D$49-'Assumptions'!$C$49)))</x:f>
        <x:v>0.05014783317204924</x:v>
      </x:c>
      <x:c r="J156" s="132" t="n">
        <x:f>IF(E156&lt;(('Assumptions'!$C$50-'Assumptions'!$B$50)/('Assumptions'!$D$50-'Assumptions'!$B$50)),'Assumptions'!$B$50+SQRT(E156*('Assumptions'!$D$50-'Assumptions'!$B$50)*('Assumptions'!$C$50-'Assumptions'!$B$50)),'Assumptions'!$D$50-SQRT((1-E156)*('Assumptions'!$D$50-'Assumptions'!$B$50)*('Assumptions'!$D$50-'Assumptions'!$C$50)))</x:f>
        <x:v>0.07206129017420737</x:v>
      </x:c>
      <x:c r="K156" s="132" t="n">
        <x:f>IF(F156&lt;(('Assumptions'!$C$51-'Assumptions'!$B$51)/('Assumptions'!$D$51-'Assumptions'!$B$51)),'Assumptions'!$B$51+SQRT(F156*('Assumptions'!$D$51-'Assumptions'!$B$51)*('Assumptions'!$C$51-'Assumptions'!$B$51)),'Assumptions'!$D$51-SQRT((1-F156)*('Assumptions'!$D$51-'Assumptions'!$B$51)*('Assumptions'!$D$51-'Assumptions'!$C$51)))</x:f>
        <x:v>0.07571688949907478</x:v>
      </x:c>
      <x:c r="L156" s="133" t="n">
        <x:f>(('Assumptions'!$B$17*(1+G156)+'Assumptions'!$B$18)*(1-H156-'Assumptions'!$B$20)-SUM('Assumptions'!$B$21:$B$25)*(1+I156))-(('Assumptions'!$B$17*(1+G156)+'Assumptions'!$B$18)*(1-H156-'Assumptions'!$B$20)*'Assumptions'!$B$26)</x:f>
        <x:v>217292.76313435184</x:v>
      </x:c>
      <x:c r="M156" s="133" t="n">
        <x:f>'Assumptions'!$B$10*'Assumptions'!$B$33</x:f>
        <x:v>1950000</x:v>
      </x:c>
      <x:c r="N156" s="133" t="n">
        <x:f>-PMT(K156/12,'Assumptions'!$B$35*12,M156)*12</x:f>
        <x:v>164766.411480773</x:v>
      </x:c>
      <x:c r="O156" s="133" t="n">
        <x:f>(L156*(1+'Assumptions'!$B$29)^('Assumptions'!$B$14/12)/J156)*(1-'Assumptions'!$B$42)-'Debt Schedule'!$F$9</x:f>
        <x:v>3285921.6682375968</x:v>
      </x:c>
      <x:c r="P156" s="132" t="n">
        <x:f>((O156+(L156-N156-'Assumptions'!$B$27-'Assumptions'!$B$28)*('Assumptions'!$B$14/12))/ABS('Monthly Cash Flow'!$S$5))^(1/('Assumptions'!$B$14/12))-1</x:f>
        <x:v>0.20934728947416392</x:v>
      </x:c>
      <x:c r="Q156" s="133" t="n">
        <x:f>-ABS('Monthly Cash Flow'!$S$5)+((L156-N156-'Assumptions'!$B$27-'Assumptions'!$B$28)*(1-(1+'Assumptions'!$B$43)^-('Assumptions'!$B$14/12))/'Assumptions'!$B$43)+(O156/(1+'Assumptions'!$B$43)^('Assumptions'!$B$14/12))</x:f>
        <x:v>793283.5578281786</x:v>
      </x:c>
    </x:row>
    <x:row r="157">
      <x:c r="A157" s="131" t="n">
        <x:f>150</x:f>
        <x:v>150</x:v>
      </x:c>
      <x:c r="B157" s="131" t="n">
        <x:f>MOD(ABS(SIN((A157+1)*12.9898+78.233)*43758.5453),1)</x:f>
        <x:v>0.07757508653230616</x:v>
      </x:c>
      <x:c r="C157" s="131" t="n">
        <x:f>MOD(ABS(SIN((A157+2)*12.9898+78.233)*43758.5453),1)</x:f>
        <x:v>0.5384048509149579</x:v>
      </x:c>
      <x:c r="D157" s="131" t="n">
        <x:f>MOD(ABS(SIN((A157+3)*12.9898+78.233)*43758.5453),1)</x:f>
        <x:v>0.7759178179621813</x:v>
      </x:c>
      <x:c r="E157" s="131" t="n">
        <x:f>MOD(ABS(SIN((A157+4)*12.9898+78.233)*43758.5453),1)</x:f>
        <x:v>0.8209326949145179</x:v>
      </x:c>
      <x:c r="F157" s="131" t="n">
        <x:f>MOD(ABS(SIN((A157+5)*12.9898+78.233)*43758.5453),1)</x:f>
        <x:v>0.02250469525824883</x:v>
      </x:c>
      <x:c r="G157" s="132" t="n">
        <x:f>IF(B157&lt;(('Assumptions'!$C$47-'Assumptions'!$B$47)/('Assumptions'!$D$47-'Assumptions'!$B$47)),'Assumptions'!$B$47+SQRT(B157*('Assumptions'!$D$47-'Assumptions'!$B$47)*('Assumptions'!$C$47-'Assumptions'!$B$47)),'Assumptions'!$D$47-SQRT((1-B157)*('Assumptions'!$D$47-'Assumptions'!$B$47)*('Assumptions'!$D$47-'Assumptions'!$C$47)))</x:f>
        <x:v>-0.056851395424934684</x:v>
      </x:c>
      <x:c r="H157" s="132" t="n">
        <x:f>IF(C157&lt;(('Assumptions'!$C$48-'Assumptions'!$B$48)/('Assumptions'!$D$48-'Assumptions'!$B$48)),'Assumptions'!$B$48+SQRT(C157*('Assumptions'!$D$48-'Assumptions'!$B$48)*('Assumptions'!$C$48-'Assumptions'!$B$48)),'Assumptions'!$D$48-SQRT((1-C157)*('Assumptions'!$D$48-'Assumptions'!$B$48)*('Assumptions'!$D$48-'Assumptions'!$C$48)))</x:f>
        <x:v>0.07626588580714116</x:v>
      </x:c>
      <x:c r="I157" s="132" t="n">
        <x:f>IF(D157&lt;(('Assumptions'!$C$49-'Assumptions'!$B$49)/('Assumptions'!$D$49-'Assumptions'!$B$49)),'Assumptions'!$B$49+SQRT(D157*('Assumptions'!$D$49-'Assumptions'!$B$49)*('Assumptions'!$C$49-'Assumptions'!$B$49)),'Assumptions'!$D$49-SQRT((1-D157)*('Assumptions'!$D$49-'Assumptions'!$B$49)*('Assumptions'!$D$49-'Assumptions'!$C$49)))</x:f>
        <x:v>0.08042863281480747</x:v>
      </x:c>
      <x:c r="J157" s="132" t="n">
        <x:f>IF(E157&lt;(('Assumptions'!$C$50-'Assumptions'!$B$50)/('Assumptions'!$D$50-'Assumptions'!$B$50)),'Assumptions'!$B$50+SQRT(E157*('Assumptions'!$D$50-'Assumptions'!$B$50)*('Assumptions'!$C$50-'Assumptions'!$B$50)),'Assumptions'!$D$50-SQRT((1-E157)*('Assumptions'!$D$50-'Assumptions'!$B$50)*('Assumptions'!$D$50-'Assumptions'!$C$50)))</x:f>
        <x:v>0.0729033332080975</x:v>
      </x:c>
      <x:c r="K157" s="132" t="n">
        <x:f>IF(F157&lt;(('Assumptions'!$C$51-'Assumptions'!$B$51)/('Assumptions'!$D$51-'Assumptions'!$B$51)),'Assumptions'!$B$51+SQRT(F157*('Assumptions'!$D$51-'Assumptions'!$B$51)*('Assumptions'!$C$51-'Assumptions'!$B$51)),'Assumptions'!$D$51-SQRT((1-F157)*('Assumptions'!$D$51-'Assumptions'!$B$51)*('Assumptions'!$D$51-'Assumptions'!$C$51)))</x:f>
        <x:v>0.059987728119392965</x:v>
      </x:c>
      <x:c r="L157" s="133" t="n">
        <x:f>(('Assumptions'!$B$17*(1+G157)+'Assumptions'!$B$18)*(1-H157-'Assumptions'!$B$20)-SUM('Assumptions'!$B$21:$B$25)*(1+I157))-(('Assumptions'!$B$17*(1+G157)+'Assumptions'!$B$18)*(1-H157-'Assumptions'!$B$20)*'Assumptions'!$B$26)</x:f>
        <x:v>177488.92388144077</x:v>
      </x:c>
      <x:c r="M157" s="133" t="n">
        <x:f>'Assumptions'!$B$10*'Assumptions'!$B$33</x:f>
        <x:v>1950000</x:v>
      </x:c>
      <x:c r="N157" s="133" t="n">
        <x:f>-PMT(K157/12,'Assumptions'!$B$35*12,M157)*12</x:f>
        <x:v>140276.36122430378</x:v>
      </x:c>
      <x:c r="O157" s="133" t="n">
        <x:f>(L157*(1+'Assumptions'!$B$29)^('Assumptions'!$B$14/12)/J157)*(1-'Assumptions'!$B$42)-'Debt Schedule'!$F$9</x:f>
        <x:v>2653003.6548974705</x:v>
      </x:c>
      <x:c r="P157" s="132" t="n">
        <x:f>((O157+(L157-N157-'Assumptions'!$B$27-'Assumptions'!$B$28)*('Assumptions'!$B$14/12))/ABS('Monthly Cash Flow'!$S$5))^(1/('Assumptions'!$B$14/12))-1</x:f>
        <x:v>0.15310712269820614</x:v>
      </x:c>
      <x:c r="Q157" s="133" t="n">
        <x:f>-ABS('Monthly Cash Flow'!$S$5)+((L157-N157-'Assumptions'!$B$27-'Assumptions'!$B$28)*(1-(1+'Assumptions'!$B$43)^-('Assumptions'!$B$14/12))/'Assumptions'!$B$43)+(O157/(1+'Assumptions'!$B$43)^('Assumptions'!$B$14/12))</x:f>
        <x:v>342239.958879831</x:v>
      </x:c>
    </x:row>
    <x:row r="158">
      <x:c r="A158" s="131" t="n">
        <x:f>151</x:f>
        <x:v>151</x:v>
      </x:c>
      <x:c r="B158" s="131" t="n">
        <x:f>MOD(ABS(SIN((A158+1)*12.9898+78.233)*43758.5453),1)</x:f>
        <x:v>0.5384048509149579</x:v>
      </x:c>
      <x:c r="C158" s="131" t="n">
        <x:f>MOD(ABS(SIN((A158+2)*12.9898+78.233)*43758.5453),1)</x:f>
        <x:v>0.7759178179621813</x:v>
      </x:c>
      <x:c r="D158" s="131" t="n">
        <x:f>MOD(ABS(SIN((A158+3)*12.9898+78.233)*43758.5453),1)</x:f>
        <x:v>0.8209326949145179</x:v>
      </x:c>
      <x:c r="E158" s="131" t="n">
        <x:f>MOD(ABS(SIN((A158+4)*12.9898+78.233)*43758.5453),1)</x:f>
        <x:v>0.02250469525824883</x:v>
      </x:c>
      <x:c r="F158" s="131" t="n">
        <x:f>MOD(ABS(SIN((A158+5)*12.9898+78.233)*43758.5453),1)</x:f>
        <x:v>0.663680546278556</x:v>
      </x:c>
      <x:c r="G158" s="132" t="n">
        <x:f>IF(B158&lt;(('Assumptions'!$C$47-'Assumptions'!$B$47)/('Assumptions'!$D$47-'Assumptions'!$B$47)),'Assumptions'!$B$47+SQRT(B158*('Assumptions'!$D$47-'Assumptions'!$B$47)*('Assumptions'!$C$47-'Assumptions'!$B$47)),'Assumptions'!$D$47-SQRT((1-B158)*('Assumptions'!$D$47-'Assumptions'!$B$47)*('Assumptions'!$D$47-'Assumptions'!$C$47)))</x:f>
        <x:v>0.013673727932002791</x:v>
      </x:c>
      <x:c r="H158" s="132" t="n">
        <x:f>IF(C158&lt;(('Assumptions'!$C$48-'Assumptions'!$B$48)/('Assumptions'!$D$48-'Assumptions'!$B$48)),'Assumptions'!$B$48+SQRT(C158*('Assumptions'!$D$48-'Assumptions'!$B$48)*('Assumptions'!$C$48-'Assumptions'!$B$48)),'Assumptions'!$D$48-SQRT((1-C158)*('Assumptions'!$D$48-'Assumptions'!$B$48)*('Assumptions'!$D$48-'Assumptions'!$C$48)))</x:f>
        <x:v>0.09559365808881795</x:v>
      </x:c>
      <x:c r="I158" s="132" t="n">
        <x:f>IF(D158&lt;(('Assumptions'!$C$49-'Assumptions'!$B$49)/('Assumptions'!$D$49-'Assumptions'!$B$49)),'Assumptions'!$B$49+SQRT(D158*('Assumptions'!$D$49-'Assumptions'!$B$49)*('Assumptions'!$C$49-'Assumptions'!$B$49)),'Assumptions'!$D$49-SQRT((1-D158)*('Assumptions'!$D$49-'Assumptions'!$B$49)*('Assumptions'!$D$49-'Assumptions'!$C$49)))</x:f>
        <x:v>0.08780792823963482</x:v>
      </x:c>
      <x:c r="J158" s="132" t="n">
        <x:f>IF(E158&lt;(('Assumptions'!$C$50-'Assumptions'!$B$50)/('Assumptions'!$D$50-'Assumptions'!$B$50)),'Assumptions'!$B$50+SQRT(E158*('Assumptions'!$D$50-'Assumptions'!$B$50)*('Assumptions'!$C$50-'Assumptions'!$B$50)),'Assumptions'!$D$50-SQRT((1-E158)*('Assumptions'!$D$50-'Assumptions'!$B$50)*('Assumptions'!$D$50-'Assumptions'!$C$50)))</x:f>
        <x:v>0.05975023475066625</x:v>
      </x:c>
      <x:c r="K158" s="132" t="n">
        <x:f>IF(F158&lt;(('Assumptions'!$C$51-'Assumptions'!$B$51)/('Assumptions'!$D$51-'Assumptions'!$B$51)),'Assumptions'!$B$51+SQRT(F158*('Assumptions'!$D$51-'Assumptions'!$B$51)*('Assumptions'!$C$51-'Assumptions'!$B$51)),'Assumptions'!$D$51-SQRT((1-F158)*('Assumptions'!$D$51-'Assumptions'!$B$51)*('Assumptions'!$D$51-'Assumptions'!$C$51)))</x:f>
        <x:v>0.07227782498534764</x:v>
      </x:c>
      <x:c r="L158" s="133" t="n">
        <x:f>(('Assumptions'!$B$17*(1+G158)+'Assumptions'!$B$18)*(1-H158-'Assumptions'!$B$20)-SUM('Assumptions'!$B$21:$B$25)*(1+I158))-(('Assumptions'!$B$17*(1+G158)+'Assumptions'!$B$18)*(1-H158-'Assumptions'!$B$20)*'Assumptions'!$B$26)</x:f>
        <x:v>191725.0171140069</x:v>
      </x:c>
      <x:c r="M158" s="133" t="n">
        <x:f>'Assumptions'!$B$10*'Assumptions'!$B$33</x:f>
        <x:v>1950000</x:v>
      </x:c>
      <x:c r="N158" s="133" t="n">
        <x:f>-PMT(K158/12,'Assumptions'!$B$35*12,M158)*12</x:f>
        <x:v>159276.7744802634</x:v>
      </x:c>
      <x:c r="O158" s="133" t="n">
        <x:f>(L158*(1+'Assumptions'!$B$29)^('Assumptions'!$B$14/12)/J158)*(1-'Assumptions'!$B$42)-'Debt Schedule'!$F$9</x:f>
        <x:v>3496657.9144454803</x:v>
      </x:c>
      <x:c r="P158" s="132" t="n">
        <x:f>((O158+(L158-N158-'Assumptions'!$B$27-'Assumptions'!$B$28)*('Assumptions'!$B$14/12))/ABS('Monthly Cash Flow'!$S$5))^(1/('Assumptions'!$B$14/12))-1</x:f>
        <x:v>0.2172146434470985</x:v>
      </x:c>
      <x:c r="Q158" s="133" t="n">
        <x:f>-ABS('Monthly Cash Flow'!$S$5)+((L158-N158-'Assumptions'!$B$27-'Assumptions'!$B$28)*(1-(1+'Assumptions'!$B$43)^-('Assumptions'!$B$14/12))/'Assumptions'!$B$43)+(O158/(1+'Assumptions'!$B$43)^('Assumptions'!$B$14/12))</x:f>
        <x:v>848022.3566129655</x:v>
      </x:c>
    </x:row>
    <x:row r="159">
      <x:c r="A159" s="131" t="n">
        <x:f>152</x:f>
        <x:v>152</x:v>
      </x:c>
      <x:c r="B159" s="131" t="n">
        <x:f>MOD(ABS(SIN((A159+1)*12.9898+78.233)*43758.5453),1)</x:f>
        <x:v>0.7759178179621813</x:v>
      </x:c>
      <x:c r="C159" s="131" t="n">
        <x:f>MOD(ABS(SIN((A159+2)*12.9898+78.233)*43758.5453),1)</x:f>
        <x:v>0.8209326949145179</x:v>
      </x:c>
      <x:c r="D159" s="131" t="n">
        <x:f>MOD(ABS(SIN((A159+3)*12.9898+78.233)*43758.5453),1)</x:f>
        <x:v>0.02250469525824883</x:v>
      </x:c>
      <x:c r="E159" s="131" t="n">
        <x:f>MOD(ABS(SIN((A159+4)*12.9898+78.233)*43758.5453),1)</x:f>
        <x:v>0.663680546278556</x:v>
      </x:c>
      <x:c r="F159" s="131" t="n">
        <x:f>MOD(ABS(SIN((A159+5)*12.9898+78.233)*43758.5453),1)</x:f>
        <x:v>0.18996349563531112</x:v>
      </x:c>
      <x:c r="G159" s="132" t="n">
        <x:f>IF(B159&lt;(('Assumptions'!$C$47-'Assumptions'!$B$47)/('Assumptions'!$D$47-'Assumptions'!$B$47)),'Assumptions'!$B$47+SQRT(B159*('Assumptions'!$D$47-'Assumptions'!$B$47)*('Assumptions'!$C$47-'Assumptions'!$B$47)),'Assumptions'!$D$47-SQRT((1-B159)*('Assumptions'!$D$47-'Assumptions'!$B$47)*('Assumptions'!$D$47-'Assumptions'!$C$47)))</x:f>
        <x:v>0.0401225007819707</x:v>
      </x:c>
      <x:c r="H159" s="132" t="n">
        <x:f>IF(C159&lt;(('Assumptions'!$C$48-'Assumptions'!$B$48)/('Assumptions'!$D$48-'Assumptions'!$B$48)),'Assumptions'!$B$48+SQRT(C159*('Assumptions'!$D$48-'Assumptions'!$B$48)*('Assumptions'!$C$48-'Assumptions'!$B$48)),'Assumptions'!$D$48-SQRT((1-C159)*('Assumptions'!$D$48-'Assumptions'!$B$48)*('Assumptions'!$D$48-'Assumptions'!$C$48)))</x:f>
        <x:v>0.10030374973939929</x:v>
      </x:c>
      <x:c r="I159" s="132" t="n">
        <x:f>IF(D159&lt;(('Assumptions'!$C$49-'Assumptions'!$B$49)/('Assumptions'!$D$49-'Assumptions'!$B$49)),'Assumptions'!$B$49+SQRT(D159*('Assumptions'!$D$49-'Assumptions'!$B$49)*('Assumptions'!$C$49-'Assumptions'!$B$49)),'Assumptions'!$D$49-SQRT((1-D159)*('Assumptions'!$D$49-'Assumptions'!$B$49)*('Assumptions'!$D$49-'Assumptions'!$C$49)))</x:f>
        <x:v>-0.0144099163315559</x:v>
      </x:c>
      <x:c r="J159" s="132" t="n">
        <x:f>IF(E159&lt;(('Assumptions'!$C$50-'Assumptions'!$B$50)/('Assumptions'!$D$50-'Assumptions'!$B$50)),'Assumptions'!$B$50+SQRT(E159*('Assumptions'!$D$50-'Assumptions'!$B$50)*('Assumptions'!$C$50-'Assumptions'!$B$50)),'Assumptions'!$D$50-SQRT((1-E159)*('Assumptions'!$D$50-'Assumptions'!$B$50)*('Assumptions'!$D$50-'Assumptions'!$C$50)))</x:f>
        <x:v>0.07027426885220674</x:v>
      </x:c>
      <x:c r="K159" s="132" t="n">
        <x:f>IF(F159&lt;(('Assumptions'!$C$51-'Assumptions'!$B$51)/('Assumptions'!$D$51-'Assumptions'!$B$51)),'Assumptions'!$B$51+SQRT(F159*('Assumptions'!$D$51-'Assumptions'!$B$51)*('Assumptions'!$C$51-'Assumptions'!$B$51)),'Assumptions'!$D$51-SQRT((1-F159)*('Assumptions'!$D$51-'Assumptions'!$B$51)*('Assumptions'!$D$51-'Assumptions'!$C$51)))</x:f>
        <x:v>0.06472772172262536</x:v>
      </x:c>
      <x:c r="L159" s="133" t="n">
        <x:f>(('Assumptions'!$B$17*(1+G159)+'Assumptions'!$B$18)*(1-H159-'Assumptions'!$B$20)-SUM('Assumptions'!$B$21:$B$25)*(1+I159))-(('Assumptions'!$B$17*(1+G159)+'Assumptions'!$B$18)*(1-H159-'Assumptions'!$B$20)*'Assumptions'!$B$26)</x:f>
        <x:v>211005.452136836</x:v>
      </x:c>
      <x:c r="M159" s="133" t="n">
        <x:f>'Assumptions'!$B$10*'Assumptions'!$B$33</x:f>
        <x:v>1950000</x:v>
      </x:c>
      <x:c r="N159" s="133" t="n">
        <x:f>-PMT(K159/12,'Assumptions'!$B$35*12,M159)*12</x:f>
        <x:v>147485.1567674998</x:v>
      </x:c>
      <x:c r="O159" s="133" t="n">
        <x:f>(L159*(1+'Assumptions'!$B$29)^('Assumptions'!$B$14/12)/J159)*(1-'Assumptions'!$B$42)-'Debt Schedule'!$F$9</x:f>
        <x:v>3271985.1083740178</x:v>
      </x:c>
      <x:c r="P159" s="132" t="n">
        <x:f>((O159+(L159-N159-'Assumptions'!$B$27-'Assumptions'!$B$28)*('Assumptions'!$B$14/12))/ABS('Monthly Cash Flow'!$S$5))^(1/('Assumptions'!$B$14/12))-1</x:f>
        <x:v>0.21229673494878964</x:v>
      </x:c>
      <x:c r="Q159" s="133" t="n">
        <x:f>-ABS('Monthly Cash Flow'!$S$5)+((L159-N159-'Assumptions'!$B$27-'Assumptions'!$B$28)*(1-(1+'Assumptions'!$B$43)^-('Assumptions'!$B$14/12))/'Assumptions'!$B$43)+(O159/(1+'Assumptions'!$B$43)^('Assumptions'!$B$14/12))</x:f>
        <x:v>826305.7470201061</x:v>
      </x:c>
    </x:row>
    <x:row r="160">
      <x:c r="A160" s="131" t="n">
        <x:f>153</x:f>
        <x:v>153</x:v>
      </x:c>
      <x:c r="B160" s="131" t="n">
        <x:f>MOD(ABS(SIN((A160+1)*12.9898+78.233)*43758.5453),1)</x:f>
        <x:v>0.8209326949145179</x:v>
      </x:c>
      <x:c r="C160" s="131" t="n">
        <x:f>MOD(ABS(SIN((A160+2)*12.9898+78.233)*43758.5453),1)</x:f>
        <x:v>0.02250469525824883</x:v>
      </x:c>
      <x:c r="D160" s="131" t="n">
        <x:f>MOD(ABS(SIN((A160+3)*12.9898+78.233)*43758.5453),1)</x:f>
        <x:v>0.663680546278556</x:v>
      </x:c>
      <x:c r="E160" s="131" t="n">
        <x:f>MOD(ABS(SIN((A160+4)*12.9898+78.233)*43758.5453),1)</x:f>
        <x:v>0.18996349563531112</x:v>
      </x:c>
      <x:c r="F160" s="131" t="n">
        <x:f>MOD(ABS(SIN((A160+5)*12.9898+78.233)*43758.5453),1)</x:f>
        <x:v>0.5227823119603272</x:v>
      </x:c>
      <x:c r="G160" s="132" t="n">
        <x:f>IF(B160&lt;(('Assumptions'!$C$47-'Assumptions'!$B$47)/('Assumptions'!$D$47-'Assumptions'!$B$47)),'Assumptions'!$B$47+SQRT(B160*('Assumptions'!$D$47-'Assumptions'!$B$47)*('Assumptions'!$C$47-'Assumptions'!$B$47)),'Assumptions'!$D$47-SQRT((1-B160)*('Assumptions'!$D$47-'Assumptions'!$B$47)*('Assumptions'!$D$47-'Assumptions'!$C$47)))</x:f>
        <x:v>0.04647358706799312</x:v>
      </x:c>
      <x:c r="H160" s="132" t="n">
        <x:f>IF(C160&lt;(('Assumptions'!$C$48-'Assumptions'!$B$48)/('Assumptions'!$D$48-'Assumptions'!$B$48)),'Assumptions'!$B$48+SQRT(C160*('Assumptions'!$D$48-'Assumptions'!$B$48)*('Assumptions'!$C$48-'Assumptions'!$B$48)),'Assumptions'!$D$48-SQRT((1-C160)*('Assumptions'!$D$48-'Assumptions'!$B$48)*('Assumptions'!$D$48-'Assumptions'!$C$48)))</x:f>
        <x:v>0.038617742996412754</x:v>
      </x:c>
      <x:c r="I160" s="132" t="n">
        <x:f>IF(D160&lt;(('Assumptions'!$C$49-'Assumptions'!$B$49)/('Assumptions'!$D$49-'Assumptions'!$B$49)),'Assumptions'!$B$49+SQRT(D160*('Assumptions'!$D$49-'Assumptions'!$B$49)*('Assumptions'!$C$49-'Assumptions'!$B$49)),'Assumptions'!$D$49-SQRT((1-D160)*('Assumptions'!$D$49-'Assumptions'!$B$49)*('Assumptions'!$D$49-'Assumptions'!$C$49)))</x:f>
        <x:v>0.06476796259396828</x:v>
      </x:c>
      <x:c r="J160" s="132" t="n">
        <x:f>IF(E160&lt;(('Assumptions'!$C$50-'Assumptions'!$B$50)/('Assumptions'!$D$50-'Assumptions'!$B$50)),'Assumptions'!$B$50+SQRT(E160*('Assumptions'!$D$50-'Assumptions'!$B$50)*('Assumptions'!$C$50-'Assumptions'!$B$50)),'Assumptions'!$D$50-SQRT((1-E160)*('Assumptions'!$D$50-'Assumptions'!$B$50)*('Assumptions'!$D$50-'Assumptions'!$C$50)))</x:f>
        <x:v>0.06403772028446805</x:v>
      </x:c>
      <x:c r="K160" s="132" t="n">
        <x:f>IF(F160&lt;(('Assumptions'!$C$51-'Assumptions'!$B$51)/('Assumptions'!$D$51-'Assumptions'!$B$51)),'Assumptions'!$B$51+SQRT(F160*('Assumptions'!$D$51-'Assumptions'!$B$51)*('Assumptions'!$C$51-'Assumptions'!$B$51)),'Assumptions'!$D$51-SQRT((1-F160)*('Assumptions'!$D$51-'Assumptions'!$B$51)*('Assumptions'!$D$51-'Assumptions'!$C$51)))</x:f>
        <x:v>0.06984542932415792</x:v>
      </x:c>
      <x:c r="L160" s="133" t="n">
        <x:f>(('Assumptions'!$B$17*(1+G160)+'Assumptions'!$B$18)*(1-H160-'Assumptions'!$B$20)-SUM('Assumptions'!$B$21:$B$25)*(1+I160))-(('Assumptions'!$B$17*(1+G160)+'Assumptions'!$B$18)*(1-H160-'Assumptions'!$B$20)*'Assumptions'!$B$26)</x:f>
        <x:v>226357.2390460662</x:v>
      </x:c>
      <x:c r="M160" s="133" t="n">
        <x:f>'Assumptions'!$B$10*'Assumptions'!$B$33</x:f>
        <x:v>1950000</x:v>
      </x:c>
      <x:c r="N160" s="133" t="n">
        <x:f>-PMT(K160/12,'Assumptions'!$B$35*12,M160)*12</x:f>
        <x:v>155437.9462800742</x:v>
      </x:c>
      <x:c r="O160" s="133" t="n">
        <x:f>(L160*(1+'Assumptions'!$B$29)^('Assumptions'!$B$14/12)/J160)*(1-'Assumptions'!$B$42)-'Debt Schedule'!$F$9</x:f>
        <x:v>3851877.8141245833</x:v>
      </x:c>
      <x:c r="P160" s="132" t="n">
        <x:f>((O160+(L160-N160-'Assumptions'!$B$27-'Assumptions'!$B$28)*('Assumptions'!$B$14/12))/ABS('Monthly Cash Flow'!$S$5))^(1/('Assumptions'!$B$14/12))-1</x:f>
        <x:v>0.2535222896458995</x:v>
      </x:c>
      <x:c r="Q160" s="133" t="n">
        <x:f>-ABS('Monthly Cash Flow'!$S$5)+((L160-N160-'Assumptions'!$B$27-'Assumptions'!$B$28)*(1-(1+'Assumptions'!$B$43)^-('Assumptions'!$B$14/12))/'Assumptions'!$B$43)+(O160/(1+'Assumptions'!$B$43)^('Assumptions'!$B$14/12))</x:f>
        <x:v>1214421.514545231</x:v>
      </x:c>
    </x:row>
    <x:row r="161">
      <x:c r="A161" s="131" t="n">
        <x:f>154</x:f>
        <x:v>154</x:v>
      </x:c>
      <x:c r="B161" s="131" t="n">
        <x:f>MOD(ABS(SIN((A161+1)*12.9898+78.233)*43758.5453),1)</x:f>
        <x:v>0.02250469525824883</x:v>
      </x:c>
      <x:c r="C161" s="131" t="n">
        <x:f>MOD(ABS(SIN((A161+2)*12.9898+78.233)*43758.5453),1)</x:f>
        <x:v>0.663680546278556</x:v>
      </x:c>
      <x:c r="D161" s="131" t="n">
        <x:f>MOD(ABS(SIN((A161+3)*12.9898+78.233)*43758.5453),1)</x:f>
        <x:v>0.18996349563531112</x:v>
      </x:c>
      <x:c r="E161" s="131" t="n">
        <x:f>MOD(ABS(SIN((A161+4)*12.9898+78.233)*43758.5453),1)</x:f>
        <x:v>0.5227823119603272</x:v>
      </x:c>
      <x:c r="F161" s="131" t="n">
        <x:f>MOD(ABS(SIN((A161+5)*12.9898+78.233)*43758.5453),1)</x:f>
        <x:v>0.06472739241144154</x:v>
      </x:c>
      <x:c r="G161" s="132" t="n">
        <x:f>IF(B161&lt;(('Assumptions'!$C$47-'Assumptions'!$B$47)/('Assumptions'!$D$47-'Assumptions'!$B$47)),'Assumptions'!$B$47+SQRT(B161*('Assumptions'!$D$47-'Assumptions'!$B$47)*('Assumptions'!$C$47-'Assumptions'!$B$47)),'Assumptions'!$D$47-SQRT((1-B161)*('Assumptions'!$D$47-'Assumptions'!$B$47)*('Assumptions'!$D$47-'Assumptions'!$C$47)))</x:f>
        <x:v>-0.07675967542829981</x:v>
      </x:c>
      <x:c r="H161" s="132" t="n">
        <x:f>IF(C161&lt;(('Assumptions'!$C$48-'Assumptions'!$B$48)/('Assumptions'!$D$48-'Assumptions'!$B$48)),'Assumptions'!$B$48+SQRT(C161*('Assumptions'!$D$48-'Assumptions'!$B$48)*('Assumptions'!$C$48-'Assumptions'!$B$48)),'Assumptions'!$D$48-SQRT((1-C161)*('Assumptions'!$D$48-'Assumptions'!$B$48)*('Assumptions'!$D$48-'Assumptions'!$C$48)))</x:f>
        <x:v>0.08559769129210869</x:v>
      </x:c>
      <x:c r="I161" s="132" t="n">
        <x:f>IF(D161&lt;(('Assumptions'!$C$49-'Assumptions'!$B$49)/('Assumptions'!$D$49-'Assumptions'!$B$49)),'Assumptions'!$B$49+SQRT(D161*('Assumptions'!$D$49-'Assumptions'!$B$49)*('Assumptions'!$C$49-'Assumptions'!$B$49)),'Assumptions'!$D$49-SQRT((1-D161)*('Assumptions'!$D$49-'Assumptions'!$B$49)*('Assumptions'!$D$49-'Assumptions'!$C$49)))</x:f>
        <x:v>0.015294654793489265</x:v>
      </x:c>
      <x:c r="J161" s="132" t="n">
        <x:f>IF(E161&lt;(('Assumptions'!$C$50-'Assumptions'!$B$50)/('Assumptions'!$D$50-'Assumptions'!$B$50)),'Assumptions'!$B$50+SQRT(E161*('Assumptions'!$D$50-'Assumptions'!$B$50)*('Assumptions'!$C$50-'Assumptions'!$B$50)),'Assumptions'!$D$50-SQRT((1-E161)*('Assumptions'!$D$50-'Assumptions'!$B$50)*('Assumptions'!$D$50-'Assumptions'!$C$50)))</x:f>
        <x:v>0.06841477342642113</x:v>
      </x:c>
      <x:c r="K161" s="132" t="n">
        <x:f>IF(F161&lt;(('Assumptions'!$C$51-'Assumptions'!$B$51)/('Assumptions'!$D$51-'Assumptions'!$B$51)),'Assumptions'!$B$51+SQRT(F161*('Assumptions'!$D$51-'Assumptions'!$B$51)*('Assumptions'!$C$51-'Assumptions'!$B$51)),'Assumptions'!$D$51-SQRT((1-F161)*('Assumptions'!$D$51-'Assumptions'!$B$51)*('Assumptions'!$D$51-'Assumptions'!$C$51)))</x:f>
        <x:v>0.06171900852252593</x:v>
      </x:c>
      <x:c r="L161" s="133" t="n">
        <x:f>(('Assumptions'!$B$17*(1+G161)+'Assumptions'!$B$18)*(1-H161-'Assumptions'!$B$20)-SUM('Assumptions'!$B$21:$B$25)*(1+I161))-(('Assumptions'!$B$17*(1+G161)+'Assumptions'!$B$18)*(1-H161-'Assumptions'!$B$20)*'Assumptions'!$B$26)</x:f>
        <x:v>176270.26875614328</x:v>
      </x:c>
      <x:c r="M161" s="133" t="n">
        <x:f>'Assumptions'!$B$10*'Assumptions'!$B$33</x:f>
        <x:v>1950000</x:v>
      </x:c>
      <x:c r="N161" s="133" t="n">
        <x:f>-PMT(K161/12,'Assumptions'!$B$35*12,M161)*12</x:f>
        <x:v>142891.34630386462</x:v>
      </x:c>
      <x:c r="O161" s="133" t="n">
        <x:f>(L161*(1+'Assumptions'!$B$29)^('Assumptions'!$B$14/12)/J161)*(1-'Assumptions'!$B$42)-'Debt Schedule'!$F$9</x:f>
        <x:v>2807651.1820526686</x:v>
      </x:c>
      <x:c r="P161" s="132" t="n">
        <x:f>((O161+(L161-N161-'Assumptions'!$B$27-'Assumptions'!$B$28)*('Assumptions'!$B$14/12))/ABS('Monthly Cash Flow'!$S$5))^(1/('Assumptions'!$B$14/12))-1</x:f>
        <x:v>0.16471044047239913</x:v>
      </x:c>
      <x:c r="Q161" s="133" t="n">
        <x:f>-ABS('Monthly Cash Flow'!$S$5)+((L161-N161-'Assumptions'!$B$27-'Assumptions'!$B$28)*(1-(1+'Assumptions'!$B$43)^-('Assumptions'!$B$14/12))/'Assumptions'!$B$43)+(O161/(1+'Assumptions'!$B$43)^('Assumptions'!$B$14/12))</x:f>
        <x:v>423731.39348161384</x:v>
      </x:c>
    </x:row>
    <x:row r="162">
      <x:c r="A162" s="131" t="n">
        <x:f>155</x:f>
        <x:v>155</x:v>
      </x:c>
      <x:c r="B162" s="131" t="n">
        <x:f>MOD(ABS(SIN((A162+1)*12.9898+78.233)*43758.5453),1)</x:f>
        <x:v>0.663680546278556</x:v>
      </x:c>
      <x:c r="C162" s="131" t="n">
        <x:f>MOD(ABS(SIN((A162+2)*12.9898+78.233)*43758.5453),1)</x:f>
        <x:v>0.18996349563531112</x:v>
      </x:c>
      <x:c r="D162" s="131" t="n">
        <x:f>MOD(ABS(SIN((A162+3)*12.9898+78.233)*43758.5453),1)</x:f>
        <x:v>0.5227823119603272</x:v>
      </x:c>
      <x:c r="E162" s="131" t="n">
        <x:f>MOD(ABS(SIN((A162+4)*12.9898+78.233)*43758.5453),1)</x:f>
        <x:v>0.06472739241144154</x:v>
      </x:c>
      <x:c r="F162" s="131" t="n">
        <x:f>MOD(ABS(SIN((A162+5)*12.9898+78.233)*43758.5453),1)</x:f>
        <x:v>0.5185885252358275</x:v>
      </x:c>
      <x:c r="G162" s="132" t="n">
        <x:f>IF(B162&lt;(('Assumptions'!$C$47-'Assumptions'!$B$47)/('Assumptions'!$D$47-'Assumptions'!$B$47)),'Assumptions'!$B$47+SQRT(B162*('Assumptions'!$D$47-'Assumptions'!$B$47)*('Assumptions'!$C$47-'Assumptions'!$B$47)),'Assumptions'!$D$47-SQRT((1-B162)*('Assumptions'!$D$47-'Assumptions'!$B$47)*('Assumptions'!$D$47-'Assumptions'!$C$47)))</x:f>
        <x:v>0.02664394190291368</x:v>
      </x:c>
      <x:c r="H162" s="132" t="n">
        <x:f>IF(C162&lt;(('Assumptions'!$C$48-'Assumptions'!$B$48)/('Assumptions'!$D$48-'Assumptions'!$B$48)),'Assumptions'!$B$48+SQRT(C162*('Assumptions'!$D$48-'Assumptions'!$B$48)*('Assumptions'!$C$48-'Assumptions'!$B$48)),'Assumptions'!$D$48-SQRT((1-C162)*('Assumptions'!$D$48-'Assumptions'!$B$48)*('Assumptions'!$D$48-'Assumptions'!$C$48)))</x:f>
        <x:v>0.05503756249311276</x:v>
      </x:c>
      <x:c r="I162" s="132" t="n">
        <x:f>IF(D162&lt;(('Assumptions'!$C$49-'Assumptions'!$B$49)/('Assumptions'!$D$49-'Assumptions'!$B$49)),'Assumptions'!$B$49+SQRT(D162*('Assumptions'!$D$49-'Assumptions'!$B$49)*('Assumptions'!$C$49-'Assumptions'!$B$49)),'Assumptions'!$D$49-SQRT((1-D162)*('Assumptions'!$D$49-'Assumptions'!$B$49)*('Assumptions'!$D$49-'Assumptions'!$C$49)))</x:f>
        <x:v>0.04847216114948111</x:v>
      </x:c>
      <x:c r="J162" s="132" t="n">
        <x:f>IF(E162&lt;(('Assumptions'!$C$50-'Assumptions'!$B$50)/('Assumptions'!$D$50-'Assumptions'!$B$50)),'Assumptions'!$B$50+SQRT(E162*('Assumptions'!$D$50-'Assumptions'!$B$50)*('Assumptions'!$C$50-'Assumptions'!$B$50)),'Assumptions'!$D$50-SQRT((1-E162)*('Assumptions'!$D$50-'Assumptions'!$B$50)*('Assumptions'!$D$50-'Assumptions'!$C$50)))</x:f>
        <x:v>0.06131623679723551</x:v>
      </x:c>
      <x:c r="K162" s="132" t="n">
        <x:f>IF(F162&lt;(('Assumptions'!$C$51-'Assumptions'!$B$51)/('Assumptions'!$D$51-'Assumptions'!$B$51)),'Assumptions'!$B$51+SQRT(F162*('Assumptions'!$D$51-'Assumptions'!$B$51)*('Assumptions'!$C$51-'Assumptions'!$B$51)),'Assumptions'!$D$51-SQRT((1-F162)*('Assumptions'!$D$51-'Assumptions'!$B$51)*('Assumptions'!$D$51-'Assumptions'!$C$51)))</x:f>
        <x:v>0.06977898583437168</x:v>
      </x:c>
      <x:c r="L162" s="133" t="n">
        <x:f>(('Assumptions'!$B$17*(1+G162)+'Assumptions'!$B$18)*(1-H162-'Assumptions'!$B$20)-SUM('Assumptions'!$B$21:$B$25)*(1+I162))-(('Assumptions'!$B$17*(1+G162)+'Assumptions'!$B$18)*(1-H162-'Assumptions'!$B$20)*'Assumptions'!$B$26)</x:f>
        <x:v>215780.94794747175</x:v>
      </x:c>
      <x:c r="M162" s="133" t="n">
        <x:f>'Assumptions'!$B$10*'Assumptions'!$B$33</x:f>
        <x:v>1950000</x:v>
      </x:c>
      <x:c r="N162" s="133" t="n">
        <x:f>-PMT(K162/12,'Assumptions'!$B$35*12,M162)*12</x:f>
        <x:v>155333.6071555831</x:v>
      </x:c>
      <x:c r="O162" s="133" t="n">
        <x:f>(L162*(1+'Assumptions'!$B$29)^('Assumptions'!$B$14/12)/J162)*(1-'Assumptions'!$B$42)-'Debt Schedule'!$F$9</x:f>
        <x:v>3834878.2548406553</x:v>
      </x:c>
      <x:c r="P162" s="132" t="n">
        <x:f>((O162+(L162-N162-'Assumptions'!$B$27-'Assumptions'!$B$28)*('Assumptions'!$B$14/12))/ABS('Monthly Cash Flow'!$S$5))^(1/('Assumptions'!$B$14/12))-1</x:f>
        <x:v>0.24915177151399326</x:v>
      </x:c>
      <x:c r="Q162" s="133" t="n">
        <x:f>-ABS('Monthly Cash Flow'!$S$5)+((L162-N162-'Assumptions'!$B$27-'Assumptions'!$B$28)*(1-(1+'Assumptions'!$B$43)^-('Assumptions'!$B$14/12))/'Assumptions'!$B$43)+(O162/(1+'Assumptions'!$B$43)^('Assumptions'!$B$14/12))</x:f>
        <x:v>1164169.1887099203</x:v>
      </x:c>
    </x:row>
    <x:row r="163">
      <x:c r="A163" s="131" t="n">
        <x:f>156</x:f>
        <x:v>156</x:v>
      </x:c>
      <x:c r="B163" s="131" t="n">
        <x:f>MOD(ABS(SIN((A163+1)*12.9898+78.233)*43758.5453),1)</x:f>
        <x:v>0.18996349563531112</x:v>
      </x:c>
      <x:c r="C163" s="131" t="n">
        <x:f>MOD(ABS(SIN((A163+2)*12.9898+78.233)*43758.5453),1)</x:f>
        <x:v>0.5227823119603272</x:v>
      </x:c>
      <x:c r="D163" s="131" t="n">
        <x:f>MOD(ABS(SIN((A163+3)*12.9898+78.233)*43758.5453),1)</x:f>
        <x:v>0.06472739241144154</x:v>
      </x:c>
      <x:c r="E163" s="131" t="n">
        <x:f>MOD(ABS(SIN((A163+4)*12.9898+78.233)*43758.5453),1)</x:f>
        <x:v>0.5185885252358275</x:v>
      </x:c>
      <x:c r="F163" s="131" t="n">
        <x:f>MOD(ABS(SIN((A163+5)*12.9898+78.233)*43758.5453),1)</x:f>
        <x:v>0.3715102880887571</x:v>
      </x:c>
      <x:c r="G163" s="132" t="n">
        <x:f>IF(B163&lt;(('Assumptions'!$C$47-'Assumptions'!$B$47)/('Assumptions'!$D$47-'Assumptions'!$B$47)),'Assumptions'!$B$47+SQRT(B163*('Assumptions'!$D$47-'Assumptions'!$B$47)*('Assumptions'!$C$47-'Assumptions'!$B$47)),'Assumptions'!$D$47-SQRT((1-B163)*('Assumptions'!$D$47-'Assumptions'!$B$47)*('Assumptions'!$D$47-'Assumptions'!$C$47)))</x:f>
        <x:v>-0.03247871524291421</x:v>
      </x:c>
      <x:c r="H163" s="132" t="n">
        <x:f>IF(C163&lt;(('Assumptions'!$C$48-'Assumptions'!$B$48)/('Assumptions'!$D$48-'Assumptions'!$B$48)),'Assumptions'!$B$48+SQRT(C163*('Assumptions'!$D$48-'Assumptions'!$B$48)*('Assumptions'!$C$48-'Assumptions'!$B$48)),'Assumptions'!$D$48-SQRT((1-C163)*('Assumptions'!$D$48-'Assumptions'!$B$48)*('Assumptions'!$D$48-'Assumptions'!$C$48)))</x:f>
        <x:v>0.07519632992839742</x:v>
      </x:c>
      <x:c r="I163" s="132" t="n">
        <x:f>IF(D163&lt;(('Assumptions'!$C$49-'Assumptions'!$B$49)/('Assumptions'!$D$49-'Assumptions'!$B$49)),'Assumptions'!$B$49+SQRT(D163*('Assumptions'!$D$49-'Assumptions'!$B$49)*('Assumptions'!$C$49-'Assumptions'!$B$49)),'Assumptions'!$D$49-SQRT((1-D163)*('Assumptions'!$D$49-'Assumptions'!$B$49)*('Assumptions'!$D$49-'Assumptions'!$C$49)))</x:f>
        <x:v>-0.0035603358938966732</x:v>
      </x:c>
      <x:c r="J163" s="132" t="n">
        <x:f>IF(E163&lt;(('Assumptions'!$C$50-'Assumptions'!$B$50)/('Assumptions'!$D$50-'Assumptions'!$B$50)),'Assumptions'!$B$50+SQRT(E163*('Assumptions'!$D$50-'Assumptions'!$B$50)*('Assumptions'!$C$50-'Assumptions'!$B$50)),'Assumptions'!$D$50-SQRT((1-E163)*('Assumptions'!$D$50-'Assumptions'!$B$50)*('Assumptions'!$D$50-'Assumptions'!$C$50)))</x:f>
        <x:v>0.06836397931948282</x:v>
      </x:c>
      <x:c r="K163" s="132" t="n">
        <x:f>IF(F163&lt;(('Assumptions'!$C$51-'Assumptions'!$B$51)/('Assumptions'!$D$51-'Assumptions'!$B$51)),'Assumptions'!$B$51+SQRT(F163*('Assumptions'!$D$51-'Assumptions'!$B$51)*('Assumptions'!$C$51-'Assumptions'!$B$51)),'Assumptions'!$D$51-SQRT((1-F163)*('Assumptions'!$D$51-'Assumptions'!$B$51)*('Assumptions'!$D$51-'Assumptions'!$C$51)))</x:f>
        <x:v>0.0676086034529344</x:v>
      </x:c>
      <x:c r="L163" s="133" t="n">
        <x:f>(('Assumptions'!$B$17*(1+G163)+'Assumptions'!$B$18)*(1-H163-'Assumptions'!$B$20)-SUM('Assumptions'!$B$21:$B$25)*(1+I163))-(('Assumptions'!$B$17*(1+G163)+'Assumptions'!$B$18)*(1-H163-'Assumptions'!$B$20)*'Assumptions'!$B$26)</x:f>
        <x:v>196144.21260278928</x:v>
      </x:c>
      <x:c r="M163" s="133" t="n">
        <x:f>'Assumptions'!$B$10*'Assumptions'!$B$33</x:f>
        <x:v>1950000</x:v>
      </x:c>
      <x:c r="N163" s="133" t="n">
        <x:f>-PMT(K163/12,'Assumptions'!$B$35*12,M163)*12</x:f>
        <x:v>151940.9203398602</x:v>
      </x:c>
      <x:c r="O163" s="133" t="n">
        <x:f>(L163*(1+'Assumptions'!$B$29)^('Assumptions'!$B$14/12)/J163)*(1-'Assumptions'!$B$42)-'Debt Schedule'!$F$9</x:f>
        <x:v>3126526.6971348366</x:v>
      </x:c>
      <x:c r="P163" s="132" t="n">
        <x:f>((O163+(L163-N163-'Assumptions'!$B$27-'Assumptions'!$B$28)*('Assumptions'!$B$14/12))/ABS('Monthly Cash Flow'!$S$5))^(1/('Assumptions'!$B$14/12))-1</x:f>
        <x:v>0.194466372835725</x:v>
      </x:c>
      <x:c r="Q163" s="133" t="n">
        <x:f>-ABS('Monthly Cash Flow'!$S$5)+((L163-N163-'Assumptions'!$B$27-'Assumptions'!$B$28)*(1-(1+'Assumptions'!$B$43)^-('Assumptions'!$B$14/12))/'Assumptions'!$B$43)+(O163/(1+'Assumptions'!$B$43)^('Assumptions'!$B$14/12))</x:f>
        <x:v>662760.878063001</x:v>
      </x:c>
    </x:row>
    <x:row r="164">
      <x:c r="A164" s="131" t="n">
        <x:f>157</x:f>
        <x:v>157</x:v>
      </x:c>
      <x:c r="B164" s="131" t="n">
        <x:f>MOD(ABS(SIN((A164+1)*12.9898+78.233)*43758.5453),1)</x:f>
        <x:v>0.5227823119603272</x:v>
      </x:c>
      <x:c r="C164" s="131" t="n">
        <x:f>MOD(ABS(SIN((A164+2)*12.9898+78.233)*43758.5453),1)</x:f>
        <x:v>0.06472739241144154</x:v>
      </x:c>
      <x:c r="D164" s="131" t="n">
        <x:f>MOD(ABS(SIN((A164+3)*12.9898+78.233)*43758.5453),1)</x:f>
        <x:v>0.5185885252358275</x:v>
      </x:c>
      <x:c r="E164" s="131" t="n">
        <x:f>MOD(ABS(SIN((A164+4)*12.9898+78.233)*43758.5453),1)</x:f>
        <x:v>0.3715102880887571</x:v>
      </x:c>
      <x:c r="F164" s="131" t="n">
        <x:f>MOD(ABS(SIN((A164+5)*12.9898+78.233)*43758.5453),1)</x:f>
        <x:v>0.14505441099754535</x:v>
      </x:c>
      <x:c r="G164" s="132" t="n">
        <x:f>IF(B164&lt;(('Assumptions'!$C$47-'Assumptions'!$B$47)/('Assumptions'!$D$47-'Assumptions'!$B$47)),'Assumptions'!$B$47+SQRT(B164*('Assumptions'!$D$47-'Assumptions'!$B$47)*('Assumptions'!$C$47-'Assumptions'!$B$47)),'Assumptions'!$D$47-SQRT((1-B164)*('Assumptions'!$D$47-'Assumptions'!$B$47)*('Assumptions'!$D$47-'Assumptions'!$C$47)))</x:f>
        <x:v>0.012012389881869104</x:v>
      </x:c>
      <x:c r="H164" s="132" t="n">
        <x:f>IF(C164&lt;(('Assumptions'!$C$48-'Assumptions'!$B$48)/('Assumptions'!$D$48-'Assumptions'!$B$48)),'Assumptions'!$B$48+SQRT(C164*('Assumptions'!$D$48-'Assumptions'!$B$48)*('Assumptions'!$C$48-'Assumptions'!$B$48)),'Assumptions'!$D$48-SQRT((1-C164)*('Assumptions'!$D$48-'Assumptions'!$B$48)*('Assumptions'!$D$48-'Assumptions'!$C$48)))</x:f>
        <x:v>0.044615074237162024</x:v>
      </x:c>
      <x:c r="I164" s="132" t="n">
        <x:f>IF(D164&lt;(('Assumptions'!$C$49-'Assumptions'!$B$49)/('Assumptions'!$D$49-'Assumptions'!$B$49)),'Assumptions'!$B$49+SQRT(D164*('Assumptions'!$D$49-'Assumptions'!$B$49)*('Assumptions'!$C$49-'Assumptions'!$B$49)),'Assumptions'!$D$49-SQRT((1-D164)*('Assumptions'!$D$49-'Assumptions'!$B$49)*('Assumptions'!$D$49-'Assumptions'!$C$49)))</x:f>
        <x:v>0.04802702389894602</x:v>
      </x:c>
      <x:c r="J164" s="132" t="n">
        <x:f>IF(E164&lt;(('Assumptions'!$C$50-'Assumptions'!$B$50)/('Assumptions'!$D$50-'Assumptions'!$B$50)),'Assumptions'!$B$50+SQRT(E164*('Assumptions'!$D$50-'Assumptions'!$B$50)*('Assumptions'!$C$50-'Assumptions'!$B$50)),'Assumptions'!$D$50-SQRT((1-E164)*('Assumptions'!$D$50-'Assumptions'!$B$50)*('Assumptions'!$D$50-'Assumptions'!$C$50)))</x:f>
        <x:v>0.06664274656872705</x:v>
      </x:c>
      <x:c r="K164" s="132" t="n">
        <x:f>IF(F164&lt;(('Assumptions'!$C$51-'Assumptions'!$B$51)/('Assumptions'!$D$51-'Assumptions'!$B$51)),'Assumptions'!$B$51+SQRT(F164*('Assumptions'!$D$51-'Assumptions'!$B$51)*('Assumptions'!$C$51-'Assumptions'!$B$51)),'Assumptions'!$D$51-SQRT((1-F164)*('Assumptions'!$D$51-'Assumptions'!$B$51)*('Assumptions'!$D$51-'Assumptions'!$C$51)))</x:f>
        <x:v>0.06381585014264311</x:v>
      </x:c>
      <x:c r="L164" s="133" t="n">
        <x:f>(('Assumptions'!$B$17*(1+G164)+'Assumptions'!$B$18)*(1-H164-'Assumptions'!$B$20)-SUM('Assumptions'!$B$21:$B$25)*(1+I164))-(('Assumptions'!$B$17*(1+G164)+'Assumptions'!$B$18)*(1-H164-'Assumptions'!$B$20)*'Assumptions'!$B$26)</x:f>
        <x:v>214934.62529820474</x:v>
      </x:c>
      <x:c r="M164" s="133" t="n">
        <x:f>'Assumptions'!$B$10*'Assumptions'!$B$33</x:f>
        <x:v>1950000</x:v>
      </x:c>
      <x:c r="N164" s="133" t="n">
        <x:f>-PMT(K164/12,'Assumptions'!$B$35*12,M164)*12</x:f>
        <x:v>146086.35182789725</x:v>
      </x:c>
      <x:c r="O164" s="133" t="n">
        <x:f>(L164*(1+'Assumptions'!$B$29)^('Assumptions'!$B$14/12)/J164)*(1-'Assumptions'!$B$42)-'Debt Schedule'!$F$9</x:f>
        <x:v>3514531.775928452</x:v>
      </x:c>
      <x:c r="P164" s="132" t="n">
        <x:f>((O164+(L164-N164-'Assumptions'!$B$27-'Assumptions'!$B$28)*('Assumptions'!$B$14/12))/ABS('Monthly Cash Flow'!$S$5))^(1/('Assumptions'!$B$14/12))-1</x:f>
        <x:v>0.23096777979529537</x:v>
      </x:c>
      <x:c r="Q164" s="133" t="n">
        <x:f>-ABS('Monthly Cash Flow'!$S$5)+((L164-N164-'Assumptions'!$B$27-'Assumptions'!$B$28)*(1-(1+'Assumptions'!$B$43)^-('Assumptions'!$B$14/12))/'Assumptions'!$B$43)+(O164/(1+'Assumptions'!$B$43)^('Assumptions'!$B$14/12))</x:f>
        <x:v>997105.3736344546</x:v>
      </x:c>
    </x:row>
    <x:row r="165">
      <x:c r="A165" s="131" t="n">
        <x:f>158</x:f>
        <x:v>158</x:v>
      </x:c>
      <x:c r="B165" s="131" t="n">
        <x:f>MOD(ABS(SIN((A165+1)*12.9898+78.233)*43758.5453),1)</x:f>
        <x:v>0.06472739241144154</x:v>
      </x:c>
      <x:c r="C165" s="131" t="n">
        <x:f>MOD(ABS(SIN((A165+2)*12.9898+78.233)*43758.5453),1)</x:f>
        <x:v>0.5185885252358275</x:v>
      </x:c>
      <x:c r="D165" s="131" t="n">
        <x:f>MOD(ABS(SIN((A165+3)*12.9898+78.233)*43758.5453),1)</x:f>
        <x:v>0.3715102880887571</x:v>
      </x:c>
      <x:c r="E165" s="131" t="n">
        <x:f>MOD(ABS(SIN((A165+4)*12.9898+78.233)*43758.5453),1)</x:f>
        <x:v>0.14505441099754535</x:v>
      </x:c>
      <x:c r="F165" s="131" t="n">
        <x:f>MOD(ABS(SIN((A165+5)*12.9898+78.233)*43758.5453),1)</x:f>
        <x:v>0.7762023354844132</x:v>
      </x:c>
      <x:c r="G165" s="132" t="n">
        <x:f>IF(B165&lt;(('Assumptions'!$C$47-'Assumptions'!$B$47)/('Assumptions'!$D$47-'Assumptions'!$B$47)),'Assumptions'!$B$47+SQRT(B165*('Assumptions'!$D$47-'Assumptions'!$B$47)*('Assumptions'!$C$47-'Assumptions'!$B$47)),'Assumptions'!$D$47-SQRT((1-B165)*('Assumptions'!$D$47-'Assumptions'!$B$47)*('Assumptions'!$D$47-'Assumptions'!$C$47)))</x:f>
        <x:v>-0.060586075837661166</x:v>
      </x:c>
      <x:c r="H165" s="132" t="n">
        <x:f>IF(C165&lt;(('Assumptions'!$C$48-'Assumptions'!$B$48)/('Assumptions'!$D$48-'Assumptions'!$B$48)),'Assumptions'!$B$48+SQRT(C165*('Assumptions'!$D$48-'Assumptions'!$B$48)*('Assumptions'!$C$48-'Assumptions'!$B$48)),'Assumptions'!$D$48-SQRT((1-C165)*('Assumptions'!$D$48-'Assumptions'!$B$48)*('Assumptions'!$D$48-'Assumptions'!$C$48)))</x:f>
        <x:v>0.07491220561484115</x:v>
      </x:c>
      <x:c r="I165" s="132" t="n">
        <x:f>IF(D165&lt;(('Assumptions'!$C$49-'Assumptions'!$B$49)/('Assumptions'!$D$49-'Assumptions'!$B$49)),'Assumptions'!$B$49+SQRT(D165*('Assumptions'!$D$49-'Assumptions'!$B$49)*('Assumptions'!$C$49-'Assumptions'!$B$49)),'Assumptions'!$D$49-SQRT((1-D165)*('Assumptions'!$D$49-'Assumptions'!$B$49)*('Assumptions'!$D$49-'Assumptions'!$C$49)))</x:f>
        <x:v>0.03348657683647413</x:v>
      </x:c>
      <x:c r="J165" s="132" t="n">
        <x:f>IF(E165&lt;(('Assumptions'!$C$50-'Assumptions'!$B$50)/('Assumptions'!$D$50-'Assumptions'!$B$50)),'Assumptions'!$B$50+SQRT(E165*('Assumptions'!$D$50-'Assumptions'!$B$50)*('Assumptions'!$C$50-'Assumptions'!$B$50)),'Assumptions'!$D$50-SQRT((1-E165)*('Assumptions'!$D$50-'Assumptions'!$B$50)*('Assumptions'!$D$50-'Assumptions'!$C$50)))</x:f>
        <x:v>0.06321290140597996</x:v>
      </x:c>
      <x:c r="K165" s="132" t="n">
        <x:f>IF(F165&lt;(('Assumptions'!$C$51-'Assumptions'!$B$51)/('Assumptions'!$D$51-'Assumptions'!$B$51)),'Assumptions'!$B$51+SQRT(F165*('Assumptions'!$D$51-'Assumptions'!$B$51)*('Assumptions'!$C$51-'Assumptions'!$B$51)),'Assumptions'!$D$51-SQRT((1-F165)*('Assumptions'!$D$51-'Assumptions'!$B$51)*('Assumptions'!$D$51-'Assumptions'!$C$51)))</x:f>
        <x:v>0.07462201242782947</x:v>
      </x:c>
      <x:c r="L165" s="133" t="n">
        <x:f>(('Assumptions'!$B$17*(1+G165)+'Assumptions'!$B$18)*(1-H165-'Assumptions'!$B$20)-SUM('Assumptions'!$B$21:$B$25)*(1+I165))-(('Assumptions'!$B$17*(1+G165)+'Assumptions'!$B$18)*(1-H165-'Assumptions'!$B$20)*'Assumptions'!$B$26)</x:f>
        <x:v>182687.14061247112</x:v>
      </x:c>
      <x:c r="M165" s="133" t="n">
        <x:f>'Assumptions'!$B$10*'Assumptions'!$B$33</x:f>
        <x:v>1950000</x:v>
      </x:c>
      <x:c r="N165" s="133" t="n">
        <x:f>-PMT(K165/12,'Assumptions'!$B$35*12,M165)*12</x:f>
        <x:v>163010.96521404394</x:v>
      </x:c>
      <x:c r="O165" s="133" t="n">
        <x:f>(L165*(1+'Assumptions'!$B$29)^('Assumptions'!$B$14/12)/J165)*(1-'Assumptions'!$B$42)-'Debt Schedule'!$F$9</x:f>
        <x:v>3149315.937774712</x:v>
      </x:c>
      <x:c r="P165" s="132" t="n">
        <x:f>((O165+(L165-N165-'Assumptions'!$B$27-'Assumptions'!$B$28)*('Assumptions'!$B$14/12))/ABS('Monthly Cash Flow'!$S$5))^(1/('Assumptions'!$B$14/12))-1</x:f>
        <x:v>0.18679017221491767</x:v>
      </x:c>
      <x:c r="Q165" s="133" t="n">
        <x:f>-ABS('Monthly Cash Flow'!$S$5)+((L165-N165-'Assumptions'!$B$27-'Assumptions'!$B$28)*(1-(1+'Assumptions'!$B$43)^-('Assumptions'!$B$14/12))/'Assumptions'!$B$43)+(O165/(1+'Assumptions'!$B$43)^('Assumptions'!$B$14/12))</x:f>
        <x:v>583934.1334109374</x:v>
      </x:c>
    </x:row>
    <x:row r="166">
      <x:c r="A166" s="131" t="n">
        <x:f>159</x:f>
        <x:v>159</x:v>
      </x:c>
      <x:c r="B166" s="131" t="n">
        <x:f>MOD(ABS(SIN((A166+1)*12.9898+78.233)*43758.5453),1)</x:f>
        <x:v>0.5185885252358275</x:v>
      </x:c>
      <x:c r="C166" s="131" t="n">
        <x:f>MOD(ABS(SIN((A166+2)*12.9898+78.233)*43758.5453),1)</x:f>
        <x:v>0.3715102880887571</x:v>
      </x:c>
      <x:c r="D166" s="131" t="n">
        <x:f>MOD(ABS(SIN((A166+3)*12.9898+78.233)*43758.5453),1)</x:f>
        <x:v>0.14505441099754535</x:v>
      </x:c>
      <x:c r="E166" s="131" t="n">
        <x:f>MOD(ABS(SIN((A166+4)*12.9898+78.233)*43758.5453),1)</x:f>
        <x:v>0.7762023354844132</x:v>
      </x:c>
      <x:c r="F166" s="131" t="n">
        <x:f>MOD(ABS(SIN((A166+5)*12.9898+78.233)*43758.5453),1)</x:f>
        <x:v>0.8103342615125939</x:v>
      </x:c>
      <x:c r="G166" s="132" t="n">
        <x:f>IF(B166&lt;(('Assumptions'!$C$47-'Assumptions'!$B$47)/('Assumptions'!$D$47-'Assumptions'!$B$47)),'Assumptions'!$B$47+SQRT(B166*('Assumptions'!$D$47-'Assumptions'!$B$47)*('Assumptions'!$C$47-'Assumptions'!$B$47)),'Assumptions'!$D$47-SQRT((1-B166)*('Assumptions'!$D$47-'Assumptions'!$B$47)*('Assumptions'!$D$47-'Assumptions'!$C$47)))</x:f>
        <x:v>0.011562200613199902</x:v>
      </x:c>
      <x:c r="H166" s="132" t="n">
        <x:f>IF(C166&lt;(('Assumptions'!$C$48-'Assumptions'!$B$48)/('Assumptions'!$D$48-'Assumptions'!$B$48)),'Assumptions'!$B$48+SQRT(C166*('Assumptions'!$D$48-'Assumptions'!$B$48)*('Assumptions'!$C$48-'Assumptions'!$B$48)),'Assumptions'!$D$48-SQRT((1-C166)*('Assumptions'!$D$48-'Assumptions'!$B$48)*('Assumptions'!$D$48-'Assumptions'!$C$48)))</x:f>
        <x:v>0.06563126016383673</x:v>
      </x:c>
      <x:c r="I166" s="132" t="n">
        <x:f>IF(D166&lt;(('Assumptions'!$C$49-'Assumptions'!$B$49)/('Assumptions'!$D$49-'Assumptions'!$B$49)),'Assumptions'!$B$49+SQRT(D166*('Assumptions'!$D$49-'Assumptions'!$B$49)*('Assumptions'!$C$49-'Assumptions'!$B$49)),'Assumptions'!$D$49-SQRT((1-D166)*('Assumptions'!$D$49-'Assumptions'!$B$49)*('Assumptions'!$D$49-'Assumptions'!$C$49)))</x:f>
        <x:v>0.009580141975155797</x:v>
      </x:c>
      <x:c r="J166" s="132" t="n">
        <x:f>IF(E166&lt;(('Assumptions'!$C$50-'Assumptions'!$B$50)/('Assumptions'!$D$50-'Assumptions'!$B$50)),'Assumptions'!$B$50+SQRT(E166*('Assumptions'!$D$50-'Assumptions'!$B$50)*('Assumptions'!$C$50-'Assumptions'!$B$50)),'Assumptions'!$D$50-SQRT((1-E166)*('Assumptions'!$D$50-'Assumptions'!$B$50)*('Assumptions'!$D$50-'Assumptions'!$C$50)))</x:f>
        <x:v>0.07206633167160306</x:v>
      </x:c>
      <x:c r="K166" s="132" t="n">
        <x:f>IF(F166&lt;(('Assumptions'!$C$51-'Assumptions'!$B$51)/('Assumptions'!$D$51-'Assumptions'!$B$51)),'Assumptions'!$B$51+SQRT(F166*('Assumptions'!$D$51-'Assumptions'!$B$51)*('Assumptions'!$C$51-'Assumptions'!$B$51)),'Assumptions'!$D$51-SQRT((1-F166)*('Assumptions'!$D$51-'Assumptions'!$B$51)*('Assumptions'!$D$51-'Assumptions'!$C$51)))</x:f>
        <x:v>0.07544611928863124</x:v>
      </x:c>
      <x:c r="L166" s="133" t="n">
        <x:f>(('Assumptions'!$B$17*(1+G166)+'Assumptions'!$B$18)*(1-H166-'Assumptions'!$B$20)-SUM('Assumptions'!$B$21:$B$25)*(1+I166))-(('Assumptions'!$B$17*(1+G166)+'Assumptions'!$B$18)*(1-H166-'Assumptions'!$B$20)*'Assumptions'!$B$26)</x:f>
        <x:v>211921.51226460564</x:v>
      </x:c>
      <x:c r="M166" s="133" t="n">
        <x:f>'Assumptions'!$B$10*'Assumptions'!$B$33</x:f>
        <x:v>1950000</x:v>
      </x:c>
      <x:c r="N166" s="133" t="n">
        <x:f>-PMT(K166/12,'Assumptions'!$B$35*12,M166)*12</x:f>
        <x:v>164331.61407206143</x:v>
      </x:c>
      <x:c r="O166" s="133" t="n">
        <x:f>(L166*(1+'Assumptions'!$B$29)^('Assumptions'!$B$14/12)/J166)*(1-'Assumptions'!$B$42)-'Debt Schedule'!$F$9</x:f>
        <x:v>3204472.9168380247</x:v>
      </x:c>
      <x:c r="P166" s="132" t="n">
        <x:f>((O166+(L166-N166-'Assumptions'!$B$27-'Assumptions'!$B$28)*('Assumptions'!$B$14/12))/ABS('Monthly Cash Flow'!$S$5))^(1/('Assumptions'!$B$14/12))-1</x:f>
        <x:v>0.20158225894643955</x:v>
      </x:c>
      <x:c r="Q166" s="133" t="n">
        <x:f>-ABS('Monthly Cash Flow'!$S$5)+((L166-N166-'Assumptions'!$B$27-'Assumptions'!$B$28)*(1-(1+'Assumptions'!$B$43)^-('Assumptions'!$B$14/12))/'Assumptions'!$B$43)+(O166/(1+'Assumptions'!$B$43)^('Assumptions'!$B$14/12))</x:f>
        <x:v>723997.2488797493</x:v>
      </x:c>
    </x:row>
    <x:row r="167">
      <x:c r="A167" s="131" t="n">
        <x:f>160</x:f>
        <x:v>160</x:v>
      </x:c>
      <x:c r="B167" s="131" t="n">
        <x:f>MOD(ABS(SIN((A167+1)*12.9898+78.233)*43758.5453),1)</x:f>
        <x:v>0.3715102880887571</x:v>
      </x:c>
      <x:c r="C167" s="131" t="n">
        <x:f>MOD(ABS(SIN((A167+2)*12.9898+78.233)*43758.5453),1)</x:f>
        <x:v>0.14505441099754535</x:v>
      </x:c>
      <x:c r="D167" s="131" t="n">
        <x:f>MOD(ABS(SIN((A167+3)*12.9898+78.233)*43758.5453),1)</x:f>
        <x:v>0.7762023354844132</x:v>
      </x:c>
      <x:c r="E167" s="131" t="n">
        <x:f>MOD(ABS(SIN((A167+4)*12.9898+78.233)*43758.5453),1)</x:f>
        <x:v>0.8103342615125939</x:v>
      </x:c>
      <x:c r="F167" s="131" t="n">
        <x:f>MOD(ABS(SIN((A167+5)*12.9898+78.233)*43758.5453),1)</x:f>
        <x:v>0.4637421132538293</x:v>
      </x:c>
      <x:c r="G167" s="132" t="n">
        <x:f>IF(B167&lt;(('Assumptions'!$C$47-'Assumptions'!$B$47)/('Assumptions'!$D$47-'Assumptions'!$B$47)),'Assumptions'!$B$47+SQRT(B167*('Assumptions'!$D$47-'Assumptions'!$B$47)*('Assumptions'!$C$47-'Assumptions'!$B$47)),'Assumptions'!$D$47-SQRT((1-B167)*('Assumptions'!$D$47-'Assumptions'!$B$47)*('Assumptions'!$D$47-'Assumptions'!$C$47)))</x:f>
        <x:v>-0.005574119468600286</x:v>
      </x:c>
      <x:c r="H167" s="132" t="n">
        <x:f>IF(C167&lt;(('Assumptions'!$C$48-'Assumptions'!$B$48)/('Assumptions'!$D$48-'Assumptions'!$B$48)),'Assumptions'!$B$48+SQRT(C167*('Assumptions'!$D$48-'Assumptions'!$B$48)*('Assumptions'!$C$48-'Assumptions'!$B$48)),'Assumptions'!$D$48-SQRT((1-C167)*('Assumptions'!$D$48-'Assumptions'!$B$48)*('Assumptions'!$D$48-'Assumptions'!$C$48)))</x:f>
        <x:v>0.05187874668009801</x:v>
      </x:c>
      <x:c r="I167" s="132" t="n">
        <x:f>IF(D167&lt;(('Assumptions'!$C$49-'Assumptions'!$B$49)/('Assumptions'!$D$49-'Assumptions'!$B$49)),'Assumptions'!$B$49+SQRT(D167*('Assumptions'!$D$49-'Assumptions'!$B$49)*('Assumptions'!$C$49-'Assumptions'!$B$49)),'Assumptions'!$D$49-SQRT((1-D167)*('Assumptions'!$D$49-'Assumptions'!$B$49)*('Assumptions'!$D$49-'Assumptions'!$C$49)))</x:f>
        <x:v>0.08047281428436301</x:v>
      </x:c>
      <x:c r="J167" s="132" t="n">
        <x:f>IF(E167&lt;(('Assumptions'!$C$50-'Assumptions'!$B$50)/('Assumptions'!$D$50-'Assumptions'!$B$50)),'Assumptions'!$B$50+SQRT(E167*('Assumptions'!$D$50-'Assumptions'!$B$50)*('Assumptions'!$C$50-'Assumptions'!$B$50)),'Assumptions'!$D$50-SQRT((1-E167)*('Assumptions'!$D$50-'Assumptions'!$B$50)*('Assumptions'!$D$50-'Assumptions'!$C$50)))</x:f>
        <x:v>0.07269633729218121</x:v>
      </x:c>
      <x:c r="K167" s="132" t="n">
        <x:f>IF(F167&lt;(('Assumptions'!$C$51-'Assumptions'!$B$51)/('Assumptions'!$D$51-'Assumptions'!$B$51)),'Assumptions'!$B$51+SQRT(F167*('Assumptions'!$D$51-'Assumptions'!$B$51)*('Assumptions'!$C$51-'Assumptions'!$B$51)),'Assumptions'!$D$51-SQRT((1-F167)*('Assumptions'!$D$51-'Assumptions'!$B$51)*('Assumptions'!$D$51-'Assumptions'!$C$51)))</x:f>
        <x:v>0.06893531488025381</x:v>
      </x:c>
      <x:c r="L167" s="133" t="n">
        <x:f>(('Assumptions'!$B$17*(1+G167)+'Assumptions'!$B$18)*(1-H167-'Assumptions'!$B$20)-SUM('Assumptions'!$B$21:$B$25)*(1+I167))-(('Assumptions'!$B$17*(1+G167)+'Assumptions'!$B$18)*(1-H167-'Assumptions'!$B$20)*'Assumptions'!$B$26)</x:f>
        <x:v>202478.65430492783</x:v>
      </x:c>
      <x:c r="M167" s="133" t="n">
        <x:f>'Assumptions'!$B$10*'Assumptions'!$B$33</x:f>
        <x:v>1950000</x:v>
      </x:c>
      <x:c r="N167" s="133" t="n">
        <x:f>-PMT(K167/12,'Assumptions'!$B$35*12,M167)*12</x:f>
        <x:v>154011.20206691165</x:v>
      </x:c>
      <x:c r="O167" s="133" t="n">
        <x:f>(L167*(1+'Assumptions'!$B$29)^('Assumptions'!$B$14/12)/J167)*(1-'Assumptions'!$B$42)-'Debt Schedule'!$F$9</x:f>
        <x:v>3035153.729629441</x:v>
      </x:c>
      <x:c r="P167" s="132" t="n">
        <x:f>((O167+(L167-N167-'Assumptions'!$B$27-'Assumptions'!$B$28)*('Assumptions'!$B$14/12))/ABS('Monthly Cash Flow'!$S$5))^(1/('Assumptions'!$B$14/12))-1</x:f>
        <x:v>0.18910155513477078</x:v>
      </x:c>
      <x:c r="Q167" s="133" t="n">
        <x:f>-ABS('Monthly Cash Flow'!$S$5)+((L167-N167-'Assumptions'!$B$27-'Assumptions'!$B$28)*(1-(1+'Assumptions'!$B$43)^-('Assumptions'!$B$14/12))/'Assumptions'!$B$43)+(O167/(1+'Assumptions'!$B$43)^('Assumptions'!$B$14/12))</x:f>
        <x:v>622189.975403911</x:v>
      </x:c>
    </x:row>
    <x:row r="168">
      <x:c r="A168" s="131" t="n">
        <x:f>161</x:f>
        <x:v>161</x:v>
      </x:c>
      <x:c r="B168" s="131" t="n">
        <x:f>MOD(ABS(SIN((A168+1)*12.9898+78.233)*43758.5453),1)</x:f>
        <x:v>0.14505441099754535</x:v>
      </x:c>
      <x:c r="C168" s="131" t="n">
        <x:f>MOD(ABS(SIN((A168+2)*12.9898+78.233)*43758.5453),1)</x:f>
        <x:v>0.7762023354844132</x:v>
      </x:c>
      <x:c r="D168" s="131" t="n">
        <x:f>MOD(ABS(SIN((A168+3)*12.9898+78.233)*43758.5453),1)</x:f>
        <x:v>0.8103342615125939</x:v>
      </x:c>
      <x:c r="E168" s="131" t="n">
        <x:f>MOD(ABS(SIN((A168+4)*12.9898+78.233)*43758.5453),1)</x:f>
        <x:v>0.4637421132538293</x:v>
      </x:c>
      <x:c r="F168" s="131" t="n">
        <x:f>MOD(ABS(SIN((A168+5)*12.9898+78.233)*43758.5453),1)</x:f>
        <x:v>0.10550109131145291</x:v>
      </x:c>
      <x:c r="G168" s="132" t="n">
        <x:f>IF(B168&lt;(('Assumptions'!$C$47-'Assumptions'!$B$47)/('Assumptions'!$D$47-'Assumptions'!$B$47)),'Assumptions'!$B$47+SQRT(B168*('Assumptions'!$D$47-'Assumptions'!$B$47)*('Assumptions'!$C$47-'Assumptions'!$B$47)),'Assumptions'!$D$47-SQRT((1-B168)*('Assumptions'!$D$47-'Assumptions'!$B$47)*('Assumptions'!$D$47-'Assumptions'!$C$47)))</x:f>
        <x:v>-0.04099740798963923</x:v>
      </x:c>
      <x:c r="H168" s="132" t="n">
        <x:f>IF(C168&lt;(('Assumptions'!$C$48-'Assumptions'!$B$48)/('Assumptions'!$D$48-'Assumptions'!$B$48)),'Assumptions'!$B$48+SQRT(C168*('Assumptions'!$D$48-'Assumptions'!$B$48)*('Assumptions'!$C$48-'Assumptions'!$B$48)),'Assumptions'!$D$48-SQRT((1-C168)*('Assumptions'!$D$48-'Assumptions'!$B$48)*('Assumptions'!$D$48-'Assumptions'!$C$48)))</x:f>
        <x:v>0.09562185844655995</x:v>
      </x:c>
      <x:c r="I168" s="132" t="n">
        <x:f>IF(D168&lt;(('Assumptions'!$C$49-'Assumptions'!$B$49)/('Assumptions'!$D$49-'Assumptions'!$B$49)),'Assumptions'!$B$49+SQRT(D168*('Assumptions'!$D$49-'Assumptions'!$B$49)*('Assumptions'!$C$49-'Assumptions'!$B$49)),'Assumptions'!$D$49-SQRT((1-D168)*('Assumptions'!$D$49-'Assumptions'!$B$49)*('Assumptions'!$D$49-'Assumptions'!$C$49)))</x:f>
        <x:v>0.08599390692029413</x:v>
      </x:c>
      <x:c r="J168" s="132" t="n">
        <x:f>IF(E168&lt;(('Assumptions'!$C$50-'Assumptions'!$B$50)/('Assumptions'!$D$50-'Assumptions'!$B$50)),'Assumptions'!$B$50+SQRT(E168*('Assumptions'!$D$50-'Assumptions'!$B$50)*('Assumptions'!$C$50-'Assumptions'!$B$50)),'Assumptions'!$D$50-SQRT((1-E168)*('Assumptions'!$D$50-'Assumptions'!$B$50)*('Assumptions'!$D$50-'Assumptions'!$C$50)))</x:f>
        <x:v>0.0677190175210873</x:v>
      </x:c>
      <x:c r="K168" s="132" t="n">
        <x:f>IF(F168&lt;(('Assumptions'!$C$51-'Assumptions'!$B$51)/('Assumptions'!$D$51-'Assumptions'!$B$51)),'Assumptions'!$B$51+SQRT(F168*('Assumptions'!$D$51-'Assumptions'!$B$51)*('Assumptions'!$C$51-'Assumptions'!$B$51)),'Assumptions'!$D$51-SQRT((1-F168)*('Assumptions'!$D$51-'Assumptions'!$B$51)*('Assumptions'!$D$51-'Assumptions'!$C$51)))</x:f>
        <x:v>0.06288635313645974</x:v>
      </x:c>
      <x:c r="L168" s="133" t="n">
        <x:f>(('Assumptions'!$B$17*(1+G168)+'Assumptions'!$B$18)*(1-H168-'Assumptions'!$B$20)-SUM('Assumptions'!$B$21:$B$25)*(1+I168))-(('Assumptions'!$B$17*(1+G168)+'Assumptions'!$B$18)*(1-H168-'Assumptions'!$B$20)*'Assumptions'!$B$26)</x:f>
        <x:v>175044.52840324832</x:v>
      </x:c>
      <x:c r="M168" s="133" t="n">
        <x:f>'Assumptions'!$B$10*'Assumptions'!$B$33</x:f>
        <x:v>1950000</x:v>
      </x:c>
      <x:c r="N168" s="133" t="n">
        <x:f>-PMT(K168/12,'Assumptions'!$B$35*12,M168)*12</x:f>
        <x:v>144666.32770294283</x:v>
      </x:c>
      <x:c r="O168" s="133" t="n">
        <x:f>(L168*(1+'Assumptions'!$B$29)^('Assumptions'!$B$14/12)/J168)*(1-'Assumptions'!$B$42)-'Debt Schedule'!$F$9</x:f>
        <x:v>2816773.125053095</x:v>
      </x:c>
      <x:c r="P168" s="132" t="n">
        <x:f>((O168+(L168-N168-'Assumptions'!$B$27-'Assumptions'!$B$28)*('Assumptions'!$B$14/12))/ABS('Monthly Cash Flow'!$S$5))^(1/('Assumptions'!$B$14/12))-1</x:f>
        <x:v>0.16421621516640172</x:v>
      </x:c>
      <x:c r="Q168" s="133" t="n">
        <x:f>-ABS('Monthly Cash Flow'!$S$5)+((L168-N168-'Assumptions'!$B$27-'Assumptions'!$B$28)*(1-(1+'Assumptions'!$B$43)^-('Assumptions'!$B$14/12))/'Assumptions'!$B$43)+(O168/(1+'Assumptions'!$B$43)^('Assumptions'!$B$14/12))</x:f>
        <x:v>418020.3060822529</x:v>
      </x:c>
    </x:row>
    <x:row r="169">
      <x:c r="A169" s="131" t="n">
        <x:f>162</x:f>
        <x:v>162</x:v>
      </x:c>
      <x:c r="B169" s="131" t="n">
        <x:f>MOD(ABS(SIN((A169+1)*12.9898+78.233)*43758.5453),1)</x:f>
        <x:v>0.7762023354844132</x:v>
      </x:c>
      <x:c r="C169" s="131" t="n">
        <x:f>MOD(ABS(SIN((A169+2)*12.9898+78.233)*43758.5453),1)</x:f>
        <x:v>0.8103342615125939</x:v>
      </x:c>
      <x:c r="D169" s="131" t="n">
        <x:f>MOD(ABS(SIN((A169+3)*12.9898+78.233)*43758.5453),1)</x:f>
        <x:v>0.4637421132538293</x:v>
      </x:c>
      <x:c r="E169" s="131" t="n">
        <x:f>MOD(ABS(SIN((A169+4)*12.9898+78.233)*43758.5453),1)</x:f>
        <x:v>0.10550109131145291</x:v>
      </x:c>
      <x:c r="F169" s="131" t="n">
        <x:f>MOD(ABS(SIN((A169+5)*12.9898+78.233)*43758.5453),1)</x:f>
        <x:v>0.06938110022019828</x:v>
      </x:c>
      <x:c r="G169" s="132" t="n">
        <x:f>IF(B169&lt;(('Assumptions'!$C$47-'Assumptions'!$B$47)/('Assumptions'!$D$47-'Assumptions'!$B$47)),'Assumptions'!$B$47+SQRT(B169*('Assumptions'!$D$47-'Assumptions'!$B$47)*('Assumptions'!$C$47-'Assumptions'!$B$47)),'Assumptions'!$D$47-SQRT((1-B169)*('Assumptions'!$D$47-'Assumptions'!$B$47)*('Assumptions'!$D$47-'Assumptions'!$C$47)))</x:f>
        <x:v>0.04016052613659284</x:v>
      </x:c>
      <x:c r="H169" s="132" t="n">
        <x:f>IF(C169&lt;(('Assumptions'!$C$48-'Assumptions'!$B$48)/('Assumptions'!$D$48-'Assumptions'!$B$48)),'Assumptions'!$B$48+SQRT(C169*('Assumptions'!$D$48-'Assumptions'!$B$48)*('Assumptions'!$C$48-'Assumptions'!$B$48)),'Assumptions'!$D$48-SQRT((1-C169)*('Assumptions'!$D$48-'Assumptions'!$B$48)*('Assumptions'!$D$48-'Assumptions'!$C$48)))</x:f>
        <x:v>0.09914588761594284</x:v>
      </x:c>
      <x:c r="I169" s="132" t="n">
        <x:f>IF(D169&lt;(('Assumptions'!$C$49-'Assumptions'!$B$49)/('Assumptions'!$D$49-'Assumptions'!$B$49)),'Assumptions'!$B$49+SQRT(D169*('Assumptions'!$D$49-'Assumptions'!$B$49)*('Assumptions'!$C$49-'Assumptions'!$B$49)),'Assumptions'!$D$49-SQRT((1-D169)*('Assumptions'!$D$49-'Assumptions'!$B$49)*('Assumptions'!$D$49-'Assumptions'!$C$49)))</x:f>
        <x:v>0.0423748618875809</x:v>
      </x:c>
      <x:c r="J169" s="132" t="n">
        <x:f>IF(E169&lt;(('Assumptions'!$C$50-'Assumptions'!$B$50)/('Assumptions'!$D$50-'Assumptions'!$B$50)),'Assumptions'!$B$50+SQRT(E169*('Assumptions'!$D$50-'Assumptions'!$B$50)*('Assumptions'!$C$50-'Assumptions'!$B$50)),'Assumptions'!$D$50-SQRT((1-E169)*('Assumptions'!$D$50-'Assumptions'!$B$50)*('Assumptions'!$D$50-'Assumptions'!$C$50)))</x:f>
        <x:v>0.06237213972963388</x:v>
      </x:c>
      <x:c r="K169" s="132" t="n">
        <x:f>IF(F169&lt;(('Assumptions'!$C$51-'Assumptions'!$B$51)/('Assumptions'!$D$51-'Assumptions'!$B$51)),'Assumptions'!$B$51+SQRT(F169*('Assumptions'!$D$51-'Assumptions'!$B$51)*('Assumptions'!$C$51-'Assumptions'!$B$51)),'Assumptions'!$D$51-SQRT((1-F169)*('Assumptions'!$D$51-'Assumptions'!$B$51)*('Assumptions'!$D$51-'Assumptions'!$C$51)))</x:f>
        <x:v>0.06186804333318187</x:v>
      </x:c>
      <x:c r="L169" s="133" t="n">
        <x:f>(('Assumptions'!$B$17*(1+G169)+'Assumptions'!$B$18)*(1-H169-'Assumptions'!$B$20)-SUM('Assumptions'!$B$21:$B$25)*(1+I169))-(('Assumptions'!$B$17*(1+G169)+'Assumptions'!$B$18)*(1-H169-'Assumptions'!$B$20)*'Assumptions'!$B$26)</x:f>
        <x:v>204298.49760919056</x:v>
      </x:c>
      <x:c r="M169" s="133" t="n">
        <x:f>'Assumptions'!$B$10*'Assumptions'!$B$33</x:f>
        <x:v>1950000</x:v>
      </x:c>
      <x:c r="N169" s="133" t="n">
        <x:f>-PMT(K169/12,'Assumptions'!$B$35*12,M169)*12</x:f>
        <x:v>143117.43299079797</x:v>
      </x:c>
      <x:c r="O169" s="133" t="n">
        <x:f>(L169*(1+'Assumptions'!$B$29)^('Assumptions'!$B$14/12)/J169)*(1-'Assumptions'!$B$42)-'Debt Schedule'!$F$9</x:f>
        <x:v>3569344.831843168</x:v>
      </x:c>
      <x:c r="P169" s="132" t="n">
        <x:f>((O169+(L169-N169-'Assumptions'!$B$27-'Assumptions'!$B$28)*('Assumptions'!$B$14/12))/ABS('Monthly Cash Flow'!$S$5))^(1/('Assumptions'!$B$14/12))-1</x:f>
        <x:v>0.23207450226640325</x:v>
      </x:c>
      <x:c r="Q169" s="133" t="n">
        <x:f>-ABS('Monthly Cash Flow'!$S$5)+((L169-N169-'Assumptions'!$B$27-'Assumptions'!$B$28)*(1-(1+'Assumptions'!$B$43)^-('Assumptions'!$B$14/12))/'Assumptions'!$B$43)+(O169/(1+'Assumptions'!$B$43)^('Assumptions'!$B$14/12))</x:f>
        <x:v>1002075.2149598049</x:v>
      </x:c>
    </x:row>
    <x:row r="170">
      <x:c r="A170" s="131" t="n">
        <x:f>163</x:f>
        <x:v>163</x:v>
      </x:c>
      <x:c r="B170" s="131" t="n">
        <x:f>MOD(ABS(SIN((A170+1)*12.9898+78.233)*43758.5453),1)</x:f>
        <x:v>0.8103342615125939</x:v>
      </x:c>
      <x:c r="C170" s="131" t="n">
        <x:f>MOD(ABS(SIN((A170+2)*12.9898+78.233)*43758.5453),1)</x:f>
        <x:v>0.4637421132538293</x:v>
      </x:c>
      <x:c r="D170" s="131" t="n">
        <x:f>MOD(ABS(SIN((A170+3)*12.9898+78.233)*43758.5453),1)</x:f>
        <x:v>0.10550109131145291</x:v>
      </x:c>
      <x:c r="E170" s="131" t="n">
        <x:f>MOD(ABS(SIN((A170+4)*12.9898+78.233)*43758.5453),1)</x:f>
        <x:v>0.06938110022019828</x:v>
      </x:c>
      <x:c r="F170" s="131" t="n">
        <x:f>MOD(ABS(SIN((A170+5)*12.9898+78.233)*43758.5453),1)</x:f>
        <x:v>0.8636779571315856</x:v>
      </x:c>
      <x:c r="G170" s="132" t="n">
        <x:f>IF(B170&lt;(('Assumptions'!$C$47-'Assumptions'!$B$47)/('Assumptions'!$D$47-'Assumptions'!$B$47)),'Assumptions'!$B$47+SQRT(B170*('Assumptions'!$D$47-'Assumptions'!$B$47)*('Assumptions'!$C$47-'Assumptions'!$B$47)),'Assumptions'!$D$47-SQRT((1-B170)*('Assumptions'!$D$47-'Assumptions'!$B$47)*('Assumptions'!$D$47-'Assumptions'!$C$47)))</x:f>
        <x:v>0.04491232609922164</x:v>
      </x:c>
      <x:c r="H170" s="132" t="n">
        <x:f>IF(C170&lt;(('Assumptions'!$C$48-'Assumptions'!$B$48)/('Assumptions'!$D$48-'Assumptions'!$B$48)),'Assumptions'!$B$48+SQRT(C170*('Assumptions'!$D$48-'Assumptions'!$B$48)*('Assumptions'!$C$48-'Assumptions'!$B$48)),'Assumptions'!$D$48-SQRT((1-C170)*('Assumptions'!$D$48-'Assumptions'!$B$48)*('Assumptions'!$D$48-'Assumptions'!$C$48)))</x:f>
        <x:v>0.07130451686343343</x:v>
      </x:c>
      <x:c r="I170" s="132" t="n">
        <x:f>IF(D170&lt;(('Assumptions'!$C$49-'Assumptions'!$B$49)/('Assumptions'!$D$49-'Assumptions'!$B$49)),'Assumptions'!$B$49+SQRT(D170*('Assumptions'!$D$49-'Assumptions'!$B$49)*('Assumptions'!$C$49-'Assumptions'!$B$49)),'Assumptions'!$D$49-SQRT((1-D170)*('Assumptions'!$D$49-'Assumptions'!$B$49)*('Assumptions'!$D$49-'Assumptions'!$C$49)))</x:f>
        <x:v>0.003755174213203101</x:v>
      </x:c>
      <x:c r="J170" s="132" t="n">
        <x:f>IF(E170&lt;(('Assumptions'!$C$50-'Assumptions'!$B$50)/('Assumptions'!$D$50-'Assumptions'!$B$50)),'Assumptions'!$B$50+SQRT(E170*('Assumptions'!$D$50-'Assumptions'!$B$50)*('Assumptions'!$C$50-'Assumptions'!$B$50)),'Assumptions'!$D$50-SQRT((1-E170)*('Assumptions'!$D$50-'Assumptions'!$B$50)*('Assumptions'!$D$50-'Assumptions'!$C$50)))</x:f>
        <x:v>0.061451043855684805</x:v>
      </x:c>
      <x:c r="K170" s="132" t="n">
        <x:f>IF(F170&lt;(('Assumptions'!$C$51-'Assumptions'!$B$51)/('Assumptions'!$D$51-'Assumptions'!$B$51)),'Assumptions'!$B$51+SQRT(F170*('Assumptions'!$D$51-'Assumptions'!$B$51)*('Assumptions'!$C$51-'Assumptions'!$B$51)),'Assumptions'!$D$51-SQRT((1-F170)*('Assumptions'!$D$51-'Assumptions'!$B$51)*('Assumptions'!$D$51-'Assumptions'!$C$51)))</x:f>
        <x:v>0.07690030968922734</x:v>
      </x:c>
      <x:c r="L170" s="133" t="n">
        <x:f>(('Assumptions'!$B$17*(1+G170)+'Assumptions'!$B$18)*(1-H170-'Assumptions'!$B$20)-SUM('Assumptions'!$B$21:$B$25)*(1+I170))-(('Assumptions'!$B$17*(1+G170)+'Assumptions'!$B$18)*(1-H170-'Assumptions'!$B$20)*'Assumptions'!$B$26)</x:f>
        <x:v>221162.78055836487</x:v>
      </x:c>
      <x:c r="M170" s="133" t="n">
        <x:f>'Assumptions'!$B$10*'Assumptions'!$B$33</x:f>
        <x:v>1950000</x:v>
      </x:c>
      <x:c r="N170" s="133" t="n">
        <x:f>-PMT(K170/12,'Assumptions'!$B$35*12,M170)*12</x:f>
        <x:v>166671.79785960788</x:v>
      </x:c>
      <x:c r="O170" s="133" t="n">
        <x:f>(L170*(1+'Assumptions'!$B$29)^('Assumptions'!$B$14/12)/J170)*(1-'Assumptions'!$B$42)-'Debt Schedule'!$F$9</x:f>
        <x:v>3921902.150357573</x:v>
      </x:c>
      <x:c r="P170" s="132" t="n">
        <x:f>((O170+(L170-N170-'Assumptions'!$B$27-'Assumptions'!$B$28)*('Assumptions'!$B$14/12))/ABS('Monthly Cash Flow'!$S$5))^(1/('Assumptions'!$B$14/12))-1</x:f>
        <x:v>0.2527631380496682</x:v>
      </x:c>
      <x:c r="Q170" s="133" t="n">
        <x:f>-ABS('Monthly Cash Flow'!$S$5)+((L170-N170-'Assumptions'!$B$27-'Assumptions'!$B$28)*(1-(1+'Assumptions'!$B$43)^-('Assumptions'!$B$14/12))/'Assumptions'!$B$43)+(O170/(1+'Assumptions'!$B$43)^('Assumptions'!$B$14/12))</x:f>
        <x:v>1195624.897598744</x:v>
      </x:c>
    </x:row>
    <x:row r="171">
      <x:c r="A171" s="131" t="n">
        <x:f>164</x:f>
        <x:v>164</x:v>
      </x:c>
      <x:c r="B171" s="131" t="n">
        <x:f>MOD(ABS(SIN((A171+1)*12.9898+78.233)*43758.5453),1)</x:f>
        <x:v>0.4637421132538293</x:v>
      </x:c>
      <x:c r="C171" s="131" t="n">
        <x:f>MOD(ABS(SIN((A171+2)*12.9898+78.233)*43758.5453),1)</x:f>
        <x:v>0.10550109131145291</x:v>
      </x:c>
      <x:c r="D171" s="131" t="n">
        <x:f>MOD(ABS(SIN((A171+3)*12.9898+78.233)*43758.5453),1)</x:f>
        <x:v>0.06938110022019828</x:v>
      </x:c>
      <x:c r="E171" s="131" t="n">
        <x:f>MOD(ABS(SIN((A171+4)*12.9898+78.233)*43758.5453),1)</x:f>
        <x:v>0.8636779571315856</x:v>
      </x:c>
      <x:c r="F171" s="131" t="n">
        <x:f>MOD(ABS(SIN((A171+5)*12.9898+78.233)*43758.5453),1)</x:f>
        <x:v>0.03122141002677381</x:v>
      </x:c>
      <x:c r="G171" s="132" t="n">
        <x:f>IF(B171&lt;(('Assumptions'!$C$47-'Assumptions'!$B$47)/('Assumptions'!$D$47-'Assumptions'!$B$47)),'Assumptions'!$B$47+SQRT(B171*('Assumptions'!$D$47-'Assumptions'!$B$47)*('Assumptions'!$C$47-'Assumptions'!$B$47)),'Assumptions'!$D$47-SQRT((1-B171)*('Assumptions'!$D$47-'Assumptions'!$B$47)*('Assumptions'!$D$47-'Assumptions'!$C$47)))</x:f>
        <x:v>0.005497918074680058</x:v>
      </x:c>
      <x:c r="H171" s="132" t="n">
        <x:f>IF(C171&lt;(('Assumptions'!$C$48-'Assumptions'!$B$48)/('Assumptions'!$D$48-'Assumptions'!$B$48)),'Assumptions'!$B$48+SQRT(C171*('Assumptions'!$D$48-'Assumptions'!$B$48)*('Assumptions'!$C$48-'Assumptions'!$B$48)),'Assumptions'!$D$48-SQRT((1-C171)*('Assumptions'!$D$48-'Assumptions'!$B$48)*('Assumptions'!$D$48-'Assumptions'!$C$48)))</x:f>
        <x:v>0.04865887459971245</x:v>
      </x:c>
      <x:c r="I171" s="132" t="n">
        <x:f>IF(D171&lt;(('Assumptions'!$C$49-'Assumptions'!$B$49)/('Assumptions'!$D$49-'Assumptions'!$B$49)),'Assumptions'!$B$49+SQRT(D171*('Assumptions'!$D$49-'Assumptions'!$B$49)*('Assumptions'!$C$49-'Assumptions'!$B$49)),'Assumptions'!$D$49-SQRT((1-D171)*('Assumptions'!$D$49-'Assumptions'!$B$49)*('Assumptions'!$D$49-'Assumptions'!$C$49)))</x:f>
        <x:v>-0.002626365196084366</x:v>
      </x:c>
      <x:c r="J171" s="132" t="n">
        <x:f>IF(E171&lt;(('Assumptions'!$C$50-'Assumptions'!$B$50)/('Assumptions'!$D$50-'Assumptions'!$B$50)),'Assumptions'!$B$50+SQRT(E171*('Assumptions'!$D$50-'Assumptions'!$B$50)*('Assumptions'!$C$50-'Assumptions'!$B$50)),'Assumptions'!$D$50-SQRT((1-E171)*('Assumptions'!$D$50-'Assumptions'!$B$50)*('Assumptions'!$D$50-'Assumptions'!$C$50)))</x:f>
        <x:v>0.07380802337240025</x:v>
      </x:c>
      <x:c r="K171" s="132" t="n">
        <x:f>IF(F171&lt;(('Assumptions'!$C$51-'Assumptions'!$B$51)/('Assumptions'!$D$51-'Assumptions'!$B$51)),'Assumptions'!$B$51+SQRT(F171*('Assumptions'!$D$51-'Assumptions'!$B$51)*('Assumptions'!$C$51-'Assumptions'!$B$51)),'Assumptions'!$D$51-SQRT((1-F171)*('Assumptions'!$D$51-'Assumptions'!$B$51)*('Assumptions'!$D$51-'Assumptions'!$C$51)))</x:f>
        <x:v>0.060430168554428704</x:v>
      </x:c>
      <x:c r="L171" s="133" t="n">
        <x:f>(('Assumptions'!$B$17*(1+G171)+'Assumptions'!$B$18)*(1-H171-'Assumptions'!$B$20)-SUM('Assumptions'!$B$21:$B$25)*(1+I171))-(('Assumptions'!$B$17*(1+G171)+'Assumptions'!$B$18)*(1-H171-'Assumptions'!$B$20)*'Assumptions'!$B$26)</x:f>
        <x:v>217713.4135035791</x:v>
      </x:c>
      <x:c r="M171" s="133" t="n">
        <x:f>'Assumptions'!$B$10*'Assumptions'!$B$33</x:f>
        <x:v>1950000</x:v>
      </x:c>
      <x:c r="N171" s="133" t="n">
        <x:f>-PMT(K171/12,'Assumptions'!$B$35*12,M171)*12</x:f>
        <x:v>140942.6354592936</x:v>
      </x:c>
      <x:c r="O171" s="133" t="n">
        <x:f>(L171*(1+'Assumptions'!$B$29)^('Assumptions'!$B$14/12)/J171)*(1-'Assumptions'!$B$42)-'Debt Schedule'!$F$9</x:f>
        <x:v>3214367.952260421</x:v>
      </x:c>
      <x:c r="P171" s="132" t="n">
        <x:f>((O171+(L171-N171-'Assumptions'!$B$27-'Assumptions'!$B$28)*('Assumptions'!$B$14/12))/ABS('Monthly Cash Flow'!$S$5))^(1/('Assumptions'!$B$14/12))-1</x:f>
        <x:v>0.2129137920706059</x:v>
      </x:c>
      <x:c r="Q171" s="133" t="n">
        <x:f>-ABS('Monthly Cash Flow'!$S$5)+((L171-N171-'Assumptions'!$B$27-'Assumptions'!$B$28)*(1-(1+'Assumptions'!$B$43)^-('Assumptions'!$B$14/12))/'Assumptions'!$B$43)+(O171/(1+'Assumptions'!$B$43)^('Assumptions'!$B$14/12))</x:f>
        <x:v>840759.7806276197</x:v>
      </x:c>
    </x:row>
    <x:row r="172">
      <x:c r="A172" s="131" t="n">
        <x:f>165</x:f>
        <x:v>165</x:v>
      </x:c>
      <x:c r="B172" s="131" t="n">
        <x:f>MOD(ABS(SIN((A172+1)*12.9898+78.233)*43758.5453),1)</x:f>
        <x:v>0.10550109131145291</x:v>
      </x:c>
      <x:c r="C172" s="131" t="n">
        <x:f>MOD(ABS(SIN((A172+2)*12.9898+78.233)*43758.5453),1)</x:f>
        <x:v>0.06938110022019828</x:v>
      </x:c>
      <x:c r="D172" s="131" t="n">
        <x:f>MOD(ABS(SIN((A172+3)*12.9898+78.233)*43758.5453),1)</x:f>
        <x:v>0.8636779571315856</x:v>
      </x:c>
      <x:c r="E172" s="131" t="n">
        <x:f>MOD(ABS(SIN((A172+4)*12.9898+78.233)*43758.5453),1)</x:f>
        <x:v>0.03122141002677381</x:v>
      </x:c>
      <x:c r="F172" s="131" t="n">
        <x:f>MOD(ABS(SIN((A172+5)*12.9898+78.233)*43758.5453),1)</x:f>
        <x:v>0.26526395842665806</x:v>
      </x:c>
      <x:c r="G172" s="132" t="n">
        <x:f>IF(B172&lt;(('Assumptions'!$C$47-'Assumptions'!$B$47)/('Assumptions'!$D$47-'Assumptions'!$B$47)),'Assumptions'!$B$47+SQRT(B172*('Assumptions'!$D$47-'Assumptions'!$B$47)*('Assumptions'!$C$47-'Assumptions'!$B$47)),'Assumptions'!$D$47-SQRT((1-B172)*('Assumptions'!$D$47-'Assumptions'!$B$47)*('Assumptions'!$D$47-'Assumptions'!$C$47)))</x:f>
        <x:v>-0.049680757244619934</x:v>
      </x:c>
      <x:c r="H172" s="132" t="n">
        <x:f>IF(C172&lt;(('Assumptions'!$C$48-'Assumptions'!$B$48)/('Assumptions'!$D$48-'Assumptions'!$B$48)),'Assumptions'!$B$48+SQRT(C172*('Assumptions'!$D$48-'Assumptions'!$B$48)*('Assumptions'!$C$48-'Assumptions'!$B$48)),'Assumptions'!$D$48-SQRT((1-C172)*('Assumptions'!$D$48-'Assumptions'!$B$48)*('Assumptions'!$D$48-'Assumptions'!$C$48)))</x:f>
        <x:v>0.045131345965466994</x:v>
      </x:c>
      <x:c r="I172" s="132" t="n">
        <x:f>IF(D172&lt;(('Assumptions'!$C$49-'Assumptions'!$B$49)/('Assumptions'!$D$49-'Assumptions'!$B$49)),'Assumptions'!$B$49+SQRT(D172*('Assumptions'!$D$49-'Assumptions'!$B$49)*('Assumptions'!$C$49-'Assumptions'!$B$49)),'Assumptions'!$D$49-SQRT((1-D172)*('Assumptions'!$D$49-'Assumptions'!$B$49)*('Assumptions'!$D$49-'Assumptions'!$C$49)))</x:f>
        <x:v>0.09573623560830163</x:v>
      </x:c>
      <x:c r="J172" s="132" t="n">
        <x:f>IF(E172&lt;(('Assumptions'!$C$50-'Assumptions'!$B$50)/('Assumptions'!$D$50-'Assumptions'!$B$50)),'Assumptions'!$B$50+SQRT(E172*('Assumptions'!$D$50-'Assumptions'!$B$50)*('Assumptions'!$C$50-'Assumptions'!$B$50)),'Assumptions'!$D$50-SQRT((1-E172)*('Assumptions'!$D$50-'Assumptions'!$B$50)*('Assumptions'!$D$50-'Assumptions'!$C$50)))</x:f>
        <x:v>0.060150437182055844</x:v>
      </x:c>
      <x:c r="K172" s="132" t="n">
        <x:f>IF(F172&lt;(('Assumptions'!$C$51-'Assumptions'!$B$51)/('Assumptions'!$D$51-'Assumptions'!$B$51)),'Assumptions'!$B$51+SQRT(F172*('Assumptions'!$D$51-'Assumptions'!$B$51)*('Assumptions'!$C$51-'Assumptions'!$B$51)),'Assumptions'!$D$51-SQRT((1-F172)*('Assumptions'!$D$51-'Assumptions'!$B$51)*('Assumptions'!$D$51-'Assumptions'!$C$51)))</x:f>
        <x:v>0.06604093604749099</x:v>
      </x:c>
      <x:c r="L172" s="133" t="n">
        <x:f>(('Assumptions'!$B$17*(1+G172)+'Assumptions'!$B$18)*(1-H172-'Assumptions'!$B$20)-SUM('Assumptions'!$B$21:$B$25)*(1+I172))-(('Assumptions'!$B$17*(1+G172)+'Assumptions'!$B$18)*(1-H172-'Assumptions'!$B$20)*'Assumptions'!$B$26)</x:f>
        <x:v>188588.08878621442</x:v>
      </x:c>
      <x:c r="M172" s="133" t="n">
        <x:f>'Assumptions'!$B$10*'Assumptions'!$B$33</x:f>
        <x:v>1950000</x:v>
      </x:c>
      <x:c r="N172" s="133" t="n">
        <x:f>-PMT(K172/12,'Assumptions'!$B$35*12,M172)*12</x:f>
        <x:v>149509.43879069653</x:v>
      </x:c>
      <x:c r="O172" s="133" t="n">
        <x:f>(L172*(1+'Assumptions'!$B$29)^('Assumptions'!$B$14/12)/J172)*(1-'Assumptions'!$B$42)-'Debt Schedule'!$F$9</x:f>
        <x:v>3416563.116682609</x:v>
      </x:c>
      <x:c r="P172" s="132" t="n">
        <x:f>((O172+(L172-N172-'Assumptions'!$B$27-'Assumptions'!$B$28)*('Assumptions'!$B$14/12))/ABS('Monthly Cash Flow'!$S$5))^(1/('Assumptions'!$B$14/12))-1</x:f>
        <x:v>0.21389265265691426</x:v>
      </x:c>
      <x:c r="Q172" s="133" t="n">
        <x:f>-ABS('Monthly Cash Flow'!$S$5)+((L172-N172-'Assumptions'!$B$27-'Assumptions'!$B$28)*(1-(1+'Assumptions'!$B$43)^-('Assumptions'!$B$14/12))/'Assumptions'!$B$43)+(O172/(1+'Assumptions'!$B$43)^('Assumptions'!$B$14/12))</x:f>
        <x:v>823424.2493186903</x:v>
      </x:c>
    </x:row>
    <x:row r="173">
      <x:c r="A173" s="131" t="n">
        <x:f>166</x:f>
        <x:v>166</x:v>
      </x:c>
      <x:c r="B173" s="131" t="n">
        <x:f>MOD(ABS(SIN((A173+1)*12.9898+78.233)*43758.5453),1)</x:f>
        <x:v>0.06938110022019828</x:v>
      </x:c>
      <x:c r="C173" s="131" t="n">
        <x:f>MOD(ABS(SIN((A173+2)*12.9898+78.233)*43758.5453),1)</x:f>
        <x:v>0.8636779571315856</x:v>
      </x:c>
      <x:c r="D173" s="131" t="n">
        <x:f>MOD(ABS(SIN((A173+3)*12.9898+78.233)*43758.5453),1)</x:f>
        <x:v>0.03122141002677381</x:v>
      </x:c>
      <x:c r="E173" s="131" t="n">
        <x:f>MOD(ABS(SIN((A173+4)*12.9898+78.233)*43758.5453),1)</x:f>
        <x:v>0.26526395842665806</x:v>
      </x:c>
      <x:c r="F173" s="131" t="n">
        <x:f>MOD(ABS(SIN((A173+5)*12.9898+78.233)*43758.5453),1)</x:f>
        <x:v>0.8722269216268614</x:v>
      </x:c>
      <x:c r="G173" s="132" t="n">
        <x:f>IF(B173&lt;(('Assumptions'!$C$47-'Assumptions'!$B$47)/('Assumptions'!$D$47-'Assumptions'!$B$47)),'Assumptions'!$B$47+SQRT(B173*('Assumptions'!$D$47-'Assumptions'!$B$47)*('Assumptions'!$C$47-'Assumptions'!$B$47)),'Assumptions'!$D$47-SQRT((1-B173)*('Assumptions'!$D$47-'Assumptions'!$B$47)*('Assumptions'!$D$47-'Assumptions'!$C$47)))</x:f>
        <x:v>-0.05919379452479368</x:v>
      </x:c>
      <x:c r="H173" s="132" t="n">
        <x:f>IF(C173&lt;(('Assumptions'!$C$48-'Assumptions'!$B$48)/('Assumptions'!$D$48-'Assumptions'!$B$48)),'Assumptions'!$B$48+SQRT(C173*('Assumptions'!$D$48-'Assumptions'!$B$48)*('Assumptions'!$C$48-'Assumptions'!$B$48)),'Assumptions'!$D$48-SQRT((1-C173)*('Assumptions'!$D$48-'Assumptions'!$B$48)*('Assumptions'!$D$48-'Assumptions'!$C$48)))</x:f>
        <x:v>0.10536426733498991</x:v>
      </x:c>
      <x:c r="I173" s="132" t="n">
        <x:f>IF(D173&lt;(('Assumptions'!$C$49-'Assumptions'!$B$49)/('Assumptions'!$D$49-'Assumptions'!$B$49)),'Assumptions'!$B$49+SQRT(D173*('Assumptions'!$D$49-'Assumptions'!$B$49)*('Assumptions'!$C$49-'Assumptions'!$B$49)),'Assumptions'!$D$49-SQRT((1-D173)*('Assumptions'!$D$49-'Assumptions'!$B$49)*('Assumptions'!$D$49-'Assumptions'!$C$49)))</x:f>
        <x:v>-0.011637232553638403</x:v>
      </x:c>
      <x:c r="J173" s="132" t="n">
        <x:f>IF(E173&lt;(('Assumptions'!$C$50-'Assumptions'!$B$50)/('Assumptions'!$D$50-'Assumptions'!$B$50)),'Assumptions'!$B$50+SQRT(E173*('Assumptions'!$D$50-'Assumptions'!$B$50)*('Assumptions'!$C$50-'Assumptions'!$B$50)),'Assumptions'!$D$50-SQRT((1-E173)*('Assumptions'!$D$50-'Assumptions'!$B$50)*('Assumptions'!$D$50-'Assumptions'!$C$50)))</x:f>
        <x:v>0.0652255673348951</x:v>
      </x:c>
      <x:c r="K173" s="132" t="n">
        <x:f>IF(F173&lt;(('Assumptions'!$C$51-'Assumptions'!$B$51)/('Assumptions'!$D$51-'Assumptions'!$B$51)),'Assumptions'!$B$51+SQRT(F173*('Assumptions'!$D$51-'Assumptions'!$B$51)*('Assumptions'!$C$51-'Assumptions'!$B$51)),'Assumptions'!$D$51-SQRT((1-F173)*('Assumptions'!$D$51-'Assumptions'!$B$51)*('Assumptions'!$D$51-'Assumptions'!$C$51)))</x:f>
        <x:v>0.07715839340650955</x:v>
      </x:c>
      <x:c r="L173" s="133" t="n">
        <x:f>(('Assumptions'!$B$17*(1+G173)+'Assumptions'!$B$18)*(1-H173-'Assumptions'!$B$20)-SUM('Assumptions'!$B$21:$B$25)*(1+I173))-(('Assumptions'!$B$17*(1+G173)+'Assumptions'!$B$18)*(1-H173-'Assumptions'!$B$20)*'Assumptions'!$B$26)</x:f>
        <x:v>178385.58070667536</x:v>
      </x:c>
      <x:c r="M173" s="133" t="n">
        <x:f>'Assumptions'!$B$10*'Assumptions'!$B$33</x:f>
        <x:v>1950000</x:v>
      </x:c>
      <x:c r="N173" s="133" t="n">
        <x:f>-PMT(K173/12,'Assumptions'!$B$35*12,M173)*12</x:f>
        <x:v>167088.41910360116</x:v>
      </x:c>
      <x:c r="O173" s="133" t="n">
        <x:f>(L173*(1+'Assumptions'!$B$29)^('Assumptions'!$B$14/12)/J173)*(1-'Assumptions'!$B$42)-'Debt Schedule'!$F$9</x:f>
        <x:v>2980271.6963363267</x:v>
      </x:c>
      <x:c r="P173" s="132" t="n">
        <x:f>((O173+(L173-N173-'Assumptions'!$B$27-'Assumptions'!$B$28)*('Assumptions'!$B$14/12))/ABS('Monthly Cash Flow'!$S$5))^(1/('Assumptions'!$B$14/12))-1</x:f>
        <x:v>0.16988731379569222</x:v>
      </x:c>
      <x:c r="Q173" s="133" t="n">
        <x:f>-ABS('Monthly Cash Flow'!$S$5)+((L173-N173-'Assumptions'!$B$27-'Assumptions'!$B$28)*(1-(1+'Assumptions'!$B$43)^-('Assumptions'!$B$14/12))/'Assumptions'!$B$43)+(O173/(1+'Assumptions'!$B$43)^('Assumptions'!$B$14/12))</x:f>
        <x:v>447207.90472536883</x:v>
      </x:c>
    </x:row>
    <x:row r="174">
      <x:c r="A174" s="131" t="n">
        <x:f>167</x:f>
        <x:v>167</x:v>
      </x:c>
      <x:c r="B174" s="131" t="n">
        <x:f>MOD(ABS(SIN((A174+1)*12.9898+78.233)*43758.5453),1)</x:f>
        <x:v>0.8636779571315856</x:v>
      </x:c>
      <x:c r="C174" s="131" t="n">
        <x:f>MOD(ABS(SIN((A174+2)*12.9898+78.233)*43758.5453),1)</x:f>
        <x:v>0.03122141002677381</x:v>
      </x:c>
      <x:c r="D174" s="131" t="n">
        <x:f>MOD(ABS(SIN((A174+3)*12.9898+78.233)*43758.5453),1)</x:f>
        <x:v>0.26526395842665806</x:v>
      </x:c>
      <x:c r="E174" s="131" t="n">
        <x:f>MOD(ABS(SIN((A174+4)*12.9898+78.233)*43758.5453),1)</x:f>
        <x:v>0.8722269216268614</x:v>
      </x:c>
      <x:c r="F174" s="131" t="n">
        <x:f>MOD(ABS(SIN((A174+5)*12.9898+78.233)*43758.5453),1)</x:f>
        <x:v>0.17451313498713716</x:v>
      </x:c>
      <x:c r="G174" s="132" t="n">
        <x:f>IF(B174&lt;(('Assumptions'!$C$47-'Assumptions'!$B$47)/('Assumptions'!$D$47-'Assumptions'!$B$47)),'Assumptions'!$B$47+SQRT(B174*('Assumptions'!$D$47-'Assumptions'!$B$47)*('Assumptions'!$C$47-'Assumptions'!$B$47)),'Assumptions'!$D$47-SQRT((1-B174)*('Assumptions'!$D$47-'Assumptions'!$B$47)*('Assumptions'!$D$47-'Assumptions'!$C$47)))</x:f>
        <x:v>0.05329718760187316</x:v>
      </x:c>
      <x:c r="H174" s="132" t="n">
        <x:f>IF(C174&lt;(('Assumptions'!$C$48-'Assumptions'!$B$48)/('Assumptions'!$D$48-'Assumptions'!$B$48)),'Assumptions'!$B$48+SQRT(C174*('Assumptions'!$D$48-'Assumptions'!$B$48)*('Assumptions'!$C$48-'Assumptions'!$B$48)),'Assumptions'!$D$48-SQRT((1-C174)*('Assumptions'!$D$48-'Assumptions'!$B$48)*('Assumptions'!$D$48-'Assumptions'!$C$48)))</x:f>
        <x:v>0.04015040162202233</x:v>
      </x:c>
      <x:c r="I174" s="132" t="n">
        <x:f>IF(D174&lt;(('Assumptions'!$C$49-'Assumptions'!$B$49)/('Assumptions'!$D$49-'Assumptions'!$B$49)),'Assumptions'!$B$49+SQRT(D174*('Assumptions'!$D$49-'Assumptions'!$B$49)*('Assumptions'!$C$49-'Assumptions'!$B$49)),'Assumptions'!$D$49-SQRT((1-D174)*('Assumptions'!$D$49-'Assumptions'!$B$49)*('Assumptions'!$D$49-'Assumptions'!$C$49)))</x:f>
        <x:v>0.023524300565331134</x:v>
      </x:c>
      <x:c r="J174" s="132" t="n">
        <x:f>IF(E174&lt;(('Assumptions'!$C$50-'Assumptions'!$B$50)/('Assumptions'!$D$50-'Assumptions'!$B$50)),'Assumptions'!$B$50+SQRT(E174*('Assumptions'!$D$50-'Assumptions'!$B$50)*('Assumptions'!$C$50-'Assumptions'!$B$50)),'Assumptions'!$D$50-SQRT((1-E174)*('Assumptions'!$D$50-'Assumptions'!$B$50)*('Assumptions'!$D$50-'Assumptions'!$C$50)))</x:f>
        <x:v>0.07400532083490324</x:v>
      </x:c>
      <x:c r="K174" s="132" t="n">
        <x:f>IF(F174&lt;(('Assumptions'!$C$51-'Assumptions'!$B$51)/('Assumptions'!$D$51-'Assumptions'!$B$51)),'Assumptions'!$B$51+SQRT(F174*('Assumptions'!$D$51-'Assumptions'!$B$51)*('Assumptions'!$C$51-'Assumptions'!$B$51)),'Assumptions'!$D$51-SQRT((1-F174)*('Assumptions'!$D$51-'Assumptions'!$B$51)*('Assumptions'!$D$51-'Assumptions'!$C$51)))</x:f>
        <x:v>0.06442756177319717</x:v>
      </x:c>
      <x:c r="L174" s="133" t="n">
        <x:f>(('Assumptions'!$B$17*(1+G174)+'Assumptions'!$B$18)*(1-H174-'Assumptions'!$B$20)-SUM('Assumptions'!$B$21:$B$25)*(1+I174))-(('Assumptions'!$B$17*(1+G174)+'Assumptions'!$B$18)*(1-H174-'Assumptions'!$B$20)*'Assumptions'!$B$26)</x:f>
        <x:v>233213.12269773046</x:v>
      </x:c>
      <x:c r="M174" s="133" t="n">
        <x:f>'Assumptions'!$B$10*'Assumptions'!$B$33</x:f>
        <x:v>1950000</x:v>
      </x:c>
      <x:c r="N174" s="133" t="n">
        <x:f>-PMT(K174/12,'Assumptions'!$B$35*12,M174)*12</x:f>
        <x:v>147024.09270920302</x:v>
      </x:c>
      <x:c r="O174" s="133" t="n">
        <x:f>(L174*(1+'Assumptions'!$B$29)^('Assumptions'!$B$14/12)/J174)*(1-'Assumptions'!$B$42)-'Debt Schedule'!$F$9</x:f>
        <x:v>3434029.451492677</x:v>
      </x:c>
      <x:c r="P174" s="132" t="n">
        <x:f>((O174+(L174-N174-'Assumptions'!$B$27-'Assumptions'!$B$28)*('Assumptions'!$B$14/12))/ABS('Monthly Cash Flow'!$S$5))^(1/('Assumptions'!$B$14/12))-1</x:f>
        <x:v>0.23138478432428577</x:v>
      </x:c>
      <x:c r="Q174" s="133" t="n">
        <x:f>-ABS('Monthly Cash Flow'!$S$5)+((L174-N174-'Assumptions'!$B$27-'Assumptions'!$B$28)*(1-(1+'Assumptions'!$B$43)^-('Assumptions'!$B$14/12))/'Assumptions'!$B$43)+(O174/(1+'Assumptions'!$B$43)^('Assumptions'!$B$14/12))</x:f>
        <x:v>1012854.8742172574</x:v>
      </x:c>
    </x:row>
    <x:row r="175">
      <x:c r="A175" s="131" t="n">
        <x:f>168</x:f>
        <x:v>168</x:v>
      </x:c>
      <x:c r="B175" s="131" t="n">
        <x:f>MOD(ABS(SIN((A175+1)*12.9898+78.233)*43758.5453),1)</x:f>
        <x:v>0.03122141002677381</x:v>
      </x:c>
      <x:c r="C175" s="131" t="n">
        <x:f>MOD(ABS(SIN((A175+2)*12.9898+78.233)*43758.5453),1)</x:f>
        <x:v>0.26526395842665806</x:v>
      </x:c>
      <x:c r="D175" s="131" t="n">
        <x:f>MOD(ABS(SIN((A175+3)*12.9898+78.233)*43758.5453),1)</x:f>
        <x:v>0.8722269216268614</x:v>
      </x:c>
      <x:c r="E175" s="131" t="n">
        <x:f>MOD(ABS(SIN((A175+4)*12.9898+78.233)*43758.5453),1)</x:f>
        <x:v>0.17451313498713716</x:v>
      </x:c>
      <x:c r="F175" s="131" t="n">
        <x:f>MOD(ABS(SIN((A175+5)*12.9898+78.233)*43758.5453),1)</x:f>
        <x:v>0.4175738435878884</x:v>
      </x:c>
      <x:c r="G175" s="132" t="n">
        <x:f>IF(B175&lt;(('Assumptions'!$C$47-'Assumptions'!$B$47)/('Assumptions'!$D$47-'Assumptions'!$B$47)),'Assumptions'!$B$47+SQRT(B175*('Assumptions'!$D$47-'Assumptions'!$B$47)*('Assumptions'!$C$47-'Assumptions'!$B$47)),'Assumptions'!$D$47-SQRT((1-B175)*('Assumptions'!$D$47-'Assumptions'!$B$47)*('Assumptions'!$D$47-'Assumptions'!$C$47)))</x:f>
        <x:v>-0.07262640248994351</x:v>
      </x:c>
      <x:c r="H175" s="132" t="n">
        <x:f>IF(C175&lt;(('Assumptions'!$C$48-'Assumptions'!$B$48)/('Assumptions'!$D$48-'Assumptions'!$B$48)),'Assumptions'!$B$48+SQRT(C175*('Assumptions'!$D$48-'Assumptions'!$B$48)*('Assumptions'!$C$48-'Assumptions'!$B$48)),'Assumptions'!$D$48-SQRT((1-C175)*('Assumptions'!$D$48-'Assumptions'!$B$48)*('Assumptions'!$D$48-'Assumptions'!$C$48)))</x:f>
        <x:v>0.0595866703569018</x:v>
      </x:c>
      <x:c r="I175" s="132" t="n">
        <x:f>IF(D175&lt;(('Assumptions'!$C$49-'Assumptions'!$B$49)/('Assumptions'!$D$49-'Assumptions'!$B$49)),'Assumptions'!$B$49+SQRT(D175*('Assumptions'!$D$49-'Assumptions'!$B$49)*('Assumptions'!$C$49-'Assumptions'!$B$49)),'Assumptions'!$D$49-SQRT((1-D175)*('Assumptions'!$D$49-'Assumptions'!$B$49)*('Assumptions'!$D$49-'Assumptions'!$C$49)))</x:f>
        <x:v>0.09746526394032427</x:v>
      </x:c>
      <x:c r="J175" s="132" t="n">
        <x:f>IF(E175&lt;(('Assumptions'!$C$50-'Assumptions'!$B$50)/('Assumptions'!$D$50-'Assumptions'!$B$50)),'Assumptions'!$B$50+SQRT(E175*('Assumptions'!$D$50-'Assumptions'!$B$50)*('Assumptions'!$C$50-'Assumptions'!$B$50)),'Assumptions'!$D$50-SQRT((1-E175)*('Assumptions'!$D$50-'Assumptions'!$B$50)*('Assumptions'!$D$50-'Assumptions'!$C$50)))</x:f>
        <x:v>0.0637662153946466</x:v>
      </x:c>
      <x:c r="K175" s="132" t="n">
        <x:f>IF(F175&lt;(('Assumptions'!$C$51-'Assumptions'!$B$51)/('Assumptions'!$D$51-'Assumptions'!$B$51)),'Assumptions'!$B$51+SQRT(F175*('Assumptions'!$D$51-'Assumptions'!$B$51)*('Assumptions'!$C$51-'Assumptions'!$B$51)),'Assumptions'!$D$51-SQRT((1-F175)*('Assumptions'!$D$51-'Assumptions'!$B$51)*('Assumptions'!$D$51-'Assumptions'!$C$51)))</x:f>
        <x:v>0.06825805902013364</x:v>
      </x:c>
      <x:c r="L175" s="133" t="n">
        <x:f>(('Assumptions'!$B$17*(1+G175)+'Assumptions'!$B$18)*(1-H175-'Assumptions'!$B$20)-SUM('Assumptions'!$B$21:$B$25)*(1+I175))-(('Assumptions'!$B$17*(1+G175)+'Assumptions'!$B$18)*(1-H175-'Assumptions'!$B$20)*'Assumptions'!$B$26)</x:f>
        <x:v>175994.6845891997</x:v>
      </x:c>
      <x:c r="M175" s="133" t="n">
        <x:f>'Assumptions'!$B$10*'Assumptions'!$B$33</x:f>
        <x:v>1950000</x:v>
      </x:c>
      <x:c r="N175" s="133" t="n">
        <x:f>-PMT(K175/12,'Assumptions'!$B$35*12,M175)*12</x:f>
        <x:v>152952.94764384808</x:v>
      </x:c>
      <x:c r="O175" s="133" t="n">
        <x:f>(L175*(1+'Assumptions'!$B$29)^('Assumptions'!$B$14/12)/J175)*(1-'Assumptions'!$B$42)-'Debt Schedule'!$F$9</x:f>
        <x:v>3007619.463824006</x:v>
      </x:c>
      <x:c r="P175" s="132" t="n">
        <x:f>((O175+(L175-N175-'Assumptions'!$B$27-'Assumptions'!$B$28)*('Assumptions'!$B$14/12))/ABS('Monthly Cash Flow'!$S$5))^(1/('Assumptions'!$B$14/12))-1</x:f>
        <x:v>0.17690184934714615</x:v>
      </x:c>
      <x:c r="Q175" s="133" t="n">
        <x:f>-ABS('Monthly Cash Flow'!$S$5)+((L175-N175-'Assumptions'!$B$27-'Assumptions'!$B$28)*(1-(1+'Assumptions'!$B$43)^-('Assumptions'!$B$14/12))/'Assumptions'!$B$43)+(O175/(1+'Assumptions'!$B$43)^('Assumptions'!$B$14/12))</x:f>
        <x:v>508709.89751635864</x:v>
      </x:c>
    </x:row>
    <x:row r="176">
      <x:c r="A176" s="131" t="n">
        <x:f>169</x:f>
        <x:v>169</x:v>
      </x:c>
      <x:c r="B176" s="131" t="n">
        <x:f>MOD(ABS(SIN((A176+1)*12.9898+78.233)*43758.5453),1)</x:f>
        <x:v>0.26526395842665806</x:v>
      </x:c>
      <x:c r="C176" s="131" t="n">
        <x:f>MOD(ABS(SIN((A176+2)*12.9898+78.233)*43758.5453),1)</x:f>
        <x:v>0.8722269216268614</x:v>
      </x:c>
      <x:c r="D176" s="131" t="n">
        <x:f>MOD(ABS(SIN((A176+3)*12.9898+78.233)*43758.5453),1)</x:f>
        <x:v>0.17451313498713716</x:v>
      </x:c>
      <x:c r="E176" s="131" t="n">
        <x:f>MOD(ABS(SIN((A176+4)*12.9898+78.233)*43758.5453),1)</x:f>
        <x:v>0.4175738435878884</x:v>
      </x:c>
      <x:c r="F176" s="131" t="n">
        <x:f>MOD(ABS(SIN((A176+5)*12.9898+78.233)*43758.5453),1)</x:f>
        <x:v>0.806108692442649</x:v>
      </x:c>
      <x:c r="G176" s="132" t="n">
        <x:f>IF(B176&lt;(('Assumptions'!$C$47-'Assumptions'!$B$47)/('Assumptions'!$D$47-'Assumptions'!$B$47)),'Assumptions'!$B$47+SQRT(B176*('Assumptions'!$D$47-'Assumptions'!$B$47)*('Assumptions'!$C$47-'Assumptions'!$B$47)),'Assumptions'!$D$47-SQRT((1-B176)*('Assumptions'!$D$47-'Assumptions'!$B$47)*('Assumptions'!$D$47-'Assumptions'!$C$47)))</x:f>
        <x:v>-0.020210683658526102</x:v>
      </x:c>
      <x:c r="H176" s="132" t="n">
        <x:f>IF(C176&lt;(('Assumptions'!$C$48-'Assumptions'!$B$48)/('Assumptions'!$D$48-'Assumptions'!$B$48)),'Assumptions'!$B$48+SQRT(C176*('Assumptions'!$D$48-'Assumptions'!$B$48)*('Assumptions'!$C$48-'Assumptions'!$B$48)),'Assumptions'!$D$48-SQRT((1-C176)*('Assumptions'!$D$48-'Assumptions'!$B$48)*('Assumptions'!$D$48-'Assumptions'!$C$48)))</x:f>
        <x:v>0.10646787973176139</x:v>
      </x:c>
      <x:c r="I176" s="132" t="n">
        <x:f>IF(D176&lt;(('Assumptions'!$C$49-'Assumptions'!$B$49)/('Assumptions'!$D$49-'Assumptions'!$B$49)),'Assumptions'!$B$49+SQRT(D176*('Assumptions'!$D$49-'Assumptions'!$B$49)*('Assumptions'!$C$49-'Assumptions'!$B$49)),'Assumptions'!$D$49-SQRT((1-D176)*('Assumptions'!$D$49-'Assumptions'!$B$49)*('Assumptions'!$D$49-'Assumptions'!$C$49)))</x:f>
        <x:v>0.013413613738792594</x:v>
      </x:c>
      <x:c r="J176" s="132" t="n">
        <x:f>IF(E176&lt;(('Assumptions'!$C$50-'Assumptions'!$B$50)/('Assumptions'!$D$50-'Assumptions'!$B$50)),'Assumptions'!$B$50+SQRT(E176*('Assumptions'!$D$50-'Assumptions'!$B$50)*('Assumptions'!$C$50-'Assumptions'!$B$50)),'Assumptions'!$D$50-SQRT((1-E176)*('Assumptions'!$D$50-'Assumptions'!$B$50)*('Assumptions'!$D$50-'Assumptions'!$C$50)))</x:f>
        <x:v>0.06719299307785138</x:v>
      </x:c>
      <x:c r="K176" s="132" t="n">
        <x:f>IF(F176&lt;(('Assumptions'!$C$51-'Assumptions'!$B$51)/('Assumptions'!$D$51-'Assumptions'!$B$51)),'Assumptions'!$B$51+SQRT(F176*('Assumptions'!$D$51-'Assumptions'!$B$51)*('Assumptions'!$C$51-'Assumptions'!$B$51)),'Assumptions'!$D$51-SQRT((1-F176)*('Assumptions'!$D$51-'Assumptions'!$B$51)*('Assumptions'!$D$51-'Assumptions'!$C$51)))</x:f>
        <x:v>0.07534027993356045</x:v>
      </x:c>
      <x:c r="L176" s="133" t="n">
        <x:f>(('Assumptions'!$B$17*(1+G176)+'Assumptions'!$B$18)*(1-H176-'Assumptions'!$B$20)-SUM('Assumptions'!$B$21:$B$25)*(1+I176))-(('Assumptions'!$B$17*(1+G176)+'Assumptions'!$B$18)*(1-H176-'Assumptions'!$B$20)*'Assumptions'!$B$26)</x:f>
        <x:v>186754.71447515325</x:v>
      </x:c>
      <x:c r="M176" s="133" t="n">
        <x:f>'Assumptions'!$B$10*'Assumptions'!$B$33</x:f>
        <x:v>1950000</x:v>
      </x:c>
      <x:c r="N176" s="133" t="n">
        <x:f>-PMT(K176/12,'Assumptions'!$B$35*12,M176)*12</x:f>
        <x:v>164161.77762887554</x:v>
      </x:c>
      <x:c r="O176" s="133" t="n">
        <x:f>(L176*(1+'Assumptions'!$B$29)^('Assumptions'!$B$14/12)/J176)*(1-'Assumptions'!$B$42)-'Debt Schedule'!$F$9</x:f>
        <x:v>3028737.008096842</x:v>
      </x:c>
      <x:c r="P176" s="132" t="n">
        <x:f>((O176+(L176-N176-'Assumptions'!$B$27-'Assumptions'!$B$28)*('Assumptions'!$B$14/12))/ABS('Monthly Cash Flow'!$S$5))^(1/('Assumptions'!$B$14/12))-1</x:f>
        <x:v>0.17841785755704898</x:v>
      </x:c>
      <x:c r="Q176" s="133" t="n">
        <x:f>-ABS('Monthly Cash Flow'!$S$5)+((L176-N176-'Assumptions'!$B$27-'Assumptions'!$B$28)*(1-(1+'Assumptions'!$B$43)^-('Assumptions'!$B$14/12))/'Assumptions'!$B$43)+(O176/(1+'Assumptions'!$B$43)^('Assumptions'!$B$14/12))</x:f>
        <x:v>520120.92556832987</x:v>
      </x:c>
    </x:row>
    <x:row r="177">
      <x:c r="A177" s="131" t="n">
        <x:f>170</x:f>
        <x:v>170</x:v>
      </x:c>
      <x:c r="B177" s="131" t="n">
        <x:f>MOD(ABS(SIN((A177+1)*12.9898+78.233)*43758.5453),1)</x:f>
        <x:v>0.8722269216268614</x:v>
      </x:c>
      <x:c r="C177" s="131" t="n">
        <x:f>MOD(ABS(SIN((A177+2)*12.9898+78.233)*43758.5453),1)</x:f>
        <x:v>0.17451313498713716</x:v>
      </x:c>
      <x:c r="D177" s="131" t="n">
        <x:f>MOD(ABS(SIN((A177+3)*12.9898+78.233)*43758.5453),1)</x:f>
        <x:v>0.4175738435878884</x:v>
      </x:c>
      <x:c r="E177" s="131" t="n">
        <x:f>MOD(ABS(SIN((A177+4)*12.9898+78.233)*43758.5453),1)</x:f>
        <x:v>0.806108692442649</x:v>
      </x:c>
      <x:c r="F177" s="131" t="n">
        <x:f>MOD(ABS(SIN((A177+5)*12.9898+78.233)*43758.5453),1)</x:f>
        <x:v>0.10452004322723951</x:v>
      </x:c>
      <x:c r="G177" s="132" t="n">
        <x:f>IF(B177&lt;(('Assumptions'!$C$47-'Assumptions'!$B$47)/('Assumptions'!$D$47-'Assumptions'!$B$47)),'Assumptions'!$B$47+SQRT(B177*('Assumptions'!$D$47-'Assumptions'!$B$47)*('Assumptions'!$C$47-'Assumptions'!$B$47)),'Assumptions'!$D$47-SQRT((1-B177)*('Assumptions'!$D$47-'Assumptions'!$B$47)*('Assumptions'!$D$47-'Assumptions'!$C$47)))</x:f>
        <x:v>0.05478529825410526</x:v>
      </x:c>
      <x:c r="H177" s="132" t="n">
        <x:f>IF(C177&lt;(('Assumptions'!$C$48-'Assumptions'!$B$48)/('Assumptions'!$D$48-'Assumptions'!$B$48)),'Assumptions'!$B$48+SQRT(C177*('Assumptions'!$D$48-'Assumptions'!$B$48)*('Assumptions'!$C$48-'Assumptions'!$B$48)),'Assumptions'!$D$48-SQRT((1-C177)*('Assumptions'!$D$48-'Assumptions'!$B$48)*('Assumptions'!$D$48-'Assumptions'!$C$48)))</x:f>
        <x:v>0.05399777792749888</x:v>
      </x:c>
      <x:c r="I177" s="132" t="n">
        <x:f>IF(D177&lt;(('Assumptions'!$C$49-'Assumptions'!$B$49)/('Assumptions'!$D$49-'Assumptions'!$B$49)),'Assumptions'!$B$49+SQRT(D177*('Assumptions'!$D$49-'Assumptions'!$B$49)*('Assumptions'!$C$49-'Assumptions'!$B$49)),'Assumptions'!$D$49-SQRT((1-D177)*('Assumptions'!$D$49-'Assumptions'!$B$49)*('Assumptions'!$D$49-'Assumptions'!$C$49)))</x:f>
        <x:v>0.03783759552104096</x:v>
      </x:c>
      <x:c r="J177" s="132" t="n">
        <x:f>IF(E177&lt;(('Assumptions'!$C$50-'Assumptions'!$B$50)/('Assumptions'!$D$50-'Assumptions'!$B$50)),'Assumptions'!$B$50+SQRT(E177*('Assumptions'!$D$50-'Assumptions'!$B$50)*('Assumptions'!$C$50-'Assumptions'!$B$50)),'Assumptions'!$D$50-SQRT((1-E177)*('Assumptions'!$D$50-'Assumptions'!$B$50)*('Assumptions'!$D$50-'Assumptions'!$C$50)))</x:f>
        <x:v>0.07261542619709811</x:v>
      </x:c>
      <x:c r="K177" s="132" t="n">
        <x:f>IF(F177&lt;(('Assumptions'!$C$51-'Assumptions'!$B$51)/('Assumptions'!$D$51-'Assumptions'!$B$51)),'Assumptions'!$B$51+SQRT(F177*('Assumptions'!$D$51-'Assumptions'!$B$51)*('Assumptions'!$C$51-'Assumptions'!$B$51)),'Assumptions'!$D$51-SQRT((1-F177)*('Assumptions'!$D$51-'Assumptions'!$B$51)*('Assumptions'!$D$51-'Assumptions'!$C$51)))</x:f>
        <x:v>0.06286125096292748</x:v>
      </x:c>
      <x:c r="L177" s="133" t="n">
        <x:f>(('Assumptions'!$B$17*(1+G177)+'Assumptions'!$B$18)*(1-H177-'Assumptions'!$B$20)-SUM('Assumptions'!$B$21:$B$25)*(1+I177))-(('Assumptions'!$B$17*(1+G177)+'Assumptions'!$B$18)*(1-H177-'Assumptions'!$B$20)*'Assumptions'!$B$26)</x:f>
        <x:v>226611.02731800752</x:v>
      </x:c>
      <x:c r="M177" s="133" t="n">
        <x:f>'Assumptions'!$B$10*'Assumptions'!$B$33</x:f>
        <x:v>1950000</x:v>
      </x:c>
      <x:c r="N177" s="133" t="n">
        <x:f>-PMT(K177/12,'Assumptions'!$B$35*12,M177)*12</x:f>
        <x:v>144628.06026343527</x:v>
      </x:c>
      <x:c r="O177" s="133" t="n">
        <x:f>(L177*(1+'Assumptions'!$B$29)^('Assumptions'!$B$14/12)/J177)*(1-'Assumptions'!$B$42)-'Debt Schedule'!$F$9</x:f>
        <x:v>3400682.8096659756</x:v>
      </x:c>
      <x:c r="P177" s="132" t="n">
        <x:f>((O177+(L177-N177-'Assumptions'!$B$27-'Assumptions'!$B$28)*('Assumptions'!$B$14/12))/ABS('Monthly Cash Flow'!$S$5))^(1/('Assumptions'!$B$14/12))-1</x:f>
        <x:v>0.22770891068491883</x:v>
      </x:c>
      <x:c r="Q177" s="133" t="n">
        <x:f>-ABS('Monthly Cash Flow'!$S$5)+((L177-N177-'Assumptions'!$B$27-'Assumptions'!$B$28)*(1-(1+'Assumptions'!$B$43)^-('Assumptions'!$B$14/12))/'Assumptions'!$B$43)+(O177/(1+'Assumptions'!$B$43)^('Assumptions'!$B$14/12))</x:f>
        <x:v>976204.9455333056</x:v>
      </x:c>
    </x:row>
    <x:row r="178">
      <x:c r="A178" s="131" t="n">
        <x:f>171</x:f>
        <x:v>171</x:v>
      </x:c>
      <x:c r="B178" s="131" t="n">
        <x:f>MOD(ABS(SIN((A178+1)*12.9898+78.233)*43758.5453),1)</x:f>
        <x:v>0.17451313498713716</x:v>
      </x:c>
      <x:c r="C178" s="131" t="n">
        <x:f>MOD(ABS(SIN((A178+2)*12.9898+78.233)*43758.5453),1)</x:f>
        <x:v>0.4175738435878884</x:v>
      </x:c>
      <x:c r="D178" s="131" t="n">
        <x:f>MOD(ABS(SIN((A178+3)*12.9898+78.233)*43758.5453),1)</x:f>
        <x:v>0.806108692442649</x:v>
      </x:c>
      <x:c r="E178" s="131" t="n">
        <x:f>MOD(ABS(SIN((A178+4)*12.9898+78.233)*43758.5453),1)</x:f>
        <x:v>0.10452004322723951</x:v>
      </x:c>
      <x:c r="F178" s="131" t="n">
        <x:f>MOD(ABS(SIN((A178+5)*12.9898+78.233)*43758.5453),1)</x:f>
        <x:v>0.8426927992186393</x:v>
      </x:c>
      <x:c r="G178" s="132" t="n">
        <x:f>IF(B178&lt;(('Assumptions'!$C$47-'Assumptions'!$B$47)/('Assumptions'!$D$47-'Assumptions'!$B$47)),'Assumptions'!$B$47+SQRT(B178*('Assumptions'!$D$47-'Assumptions'!$B$47)*('Assumptions'!$C$47-'Assumptions'!$B$47)),'Assumptions'!$D$47-SQRT((1-B178)*('Assumptions'!$D$47-'Assumptions'!$B$47)*('Assumptions'!$D$47-'Assumptions'!$C$47)))</x:f>
        <x:v>-0.03528280568742731</x:v>
      </x:c>
      <x:c r="H178" s="132" t="n">
        <x:f>IF(C178&lt;(('Assumptions'!$C$48-'Assumptions'!$B$48)/('Assumptions'!$D$48-'Assumptions'!$B$48)),'Assumptions'!$B$48+SQRT(C178*('Assumptions'!$D$48-'Assumptions'!$B$48)*('Assumptions'!$C$48-'Assumptions'!$B$48)),'Assumptions'!$D$48-SQRT((1-C178)*('Assumptions'!$D$48-'Assumptions'!$B$48)*('Assumptions'!$D$48-'Assumptions'!$C$48)))</x:f>
        <x:v>0.06840844898714246</x:v>
      </x:c>
      <x:c r="I178" s="132" t="n">
        <x:f>IF(D178&lt;(('Assumptions'!$C$49-'Assumptions'!$B$49)/('Assumptions'!$D$49-'Assumptions'!$B$49)),'Assumptions'!$B$49+SQRT(D178*('Assumptions'!$D$49-'Assumptions'!$B$49)*('Assumptions'!$C$49-'Assumptions'!$B$49)),'Assumptions'!$D$49-SQRT((1-D178)*('Assumptions'!$D$49-'Assumptions'!$B$49)*('Assumptions'!$D$49-'Assumptions'!$C$49)))</x:f>
        <x:v>0.08528483760942278</x:v>
      </x:c>
      <x:c r="J178" s="132" t="n">
        <x:f>IF(E178&lt;(('Assumptions'!$C$50-'Assumptions'!$B$50)/('Assumptions'!$D$50-'Assumptions'!$B$50)),'Assumptions'!$B$50+SQRT(E178*('Assumptions'!$D$50-'Assumptions'!$B$50)*('Assumptions'!$C$50-'Assumptions'!$B$50)),'Assumptions'!$D$50-SQRT((1-E178)*('Assumptions'!$D$50-'Assumptions'!$B$50)*('Assumptions'!$D$50-'Assumptions'!$C$50)))</x:f>
        <x:v>0.06234943395935329</x:v>
      </x:c>
      <x:c r="K178" s="132" t="n">
        <x:f>IF(F178&lt;(('Assumptions'!$C$51-'Assumptions'!$B$51)/('Assumptions'!$D$51-'Assumptions'!$B$51)),'Assumptions'!$B$51+SQRT(F178*('Assumptions'!$D$51-'Assumptions'!$B$51)*('Assumptions'!$C$51-'Assumptions'!$B$51)),'Assumptions'!$D$51-SQRT((1-F178)*('Assumptions'!$D$51-'Assumptions'!$B$51)*('Assumptions'!$D$51-'Assumptions'!$C$51)))</x:f>
        <x:v>0.07629919024595816</x:v>
      </x:c>
      <x:c r="L178" s="133" t="n">
        <x:f>(('Assumptions'!$B$17*(1+G178)+'Assumptions'!$B$18)*(1-H178-'Assumptions'!$B$20)-SUM('Assumptions'!$B$21:$B$25)*(1+I178))-(('Assumptions'!$B$17*(1+G178)+'Assumptions'!$B$18)*(1-H178-'Assumptions'!$B$20)*'Assumptions'!$B$26)</x:f>
        <x:v>186443.60690332926</x:v>
      </x:c>
      <x:c r="M178" s="133" t="n">
        <x:f>'Assumptions'!$B$10*'Assumptions'!$B$33</x:f>
        <x:v>1950000</x:v>
      </x:c>
      <x:c r="N178" s="133" t="n">
        <x:f>-PMT(K178/12,'Assumptions'!$B$35*12,M178)*12</x:f>
        <x:v>165702.92664412255</x:v>
      </x:c>
      <x:c r="O178" s="133" t="n">
        <x:f>(L178*(1+'Assumptions'!$B$29)^('Assumptions'!$B$14/12)/J178)*(1-'Assumptions'!$B$42)-'Debt Schedule'!$F$9</x:f>
        <x:v>3258584.2807545015</x:v>
      </x:c>
      <x:c r="P178" s="132" t="n">
        <x:f>((O178+(L178-N178-'Assumptions'!$B$27-'Assumptions'!$B$28)*('Assumptions'!$B$14/12))/ABS('Monthly Cash Flow'!$S$5))^(1/('Assumptions'!$B$14/12))-1</x:f>
        <x:v>0.19558336653197816</x:v>
      </x:c>
      <x:c r="Q178" s="133" t="n">
        <x:f>-ABS('Monthly Cash Flow'!$S$5)+((L178-N178-'Assumptions'!$B$27-'Assumptions'!$B$28)*(1-(1+'Assumptions'!$B$43)^-('Assumptions'!$B$14/12))/'Assumptions'!$B$43)+(O178/(1+'Assumptions'!$B$43)^('Assumptions'!$B$14/12))</x:f>
        <x:v>655816.4884446438</x:v>
      </x:c>
    </x:row>
    <x:row r="179">
      <x:c r="A179" s="131" t="n">
        <x:f>172</x:f>
        <x:v>172</x:v>
      </x:c>
      <x:c r="B179" s="131" t="n">
        <x:f>MOD(ABS(SIN((A179+1)*12.9898+78.233)*43758.5453),1)</x:f>
        <x:v>0.4175738435878884</x:v>
      </x:c>
      <x:c r="C179" s="131" t="n">
        <x:f>MOD(ABS(SIN((A179+2)*12.9898+78.233)*43758.5453),1)</x:f>
        <x:v>0.806108692442649</x:v>
      </x:c>
      <x:c r="D179" s="131" t="n">
        <x:f>MOD(ABS(SIN((A179+3)*12.9898+78.233)*43758.5453),1)</x:f>
        <x:v>0.10452004322723951</x:v>
      </x:c>
      <x:c r="E179" s="131" t="n">
        <x:f>MOD(ABS(SIN((A179+4)*12.9898+78.233)*43758.5453),1)</x:f>
        <x:v>0.8426927992186393</x:v>
      </x:c>
      <x:c r="F179" s="131" t="n">
        <x:f>MOD(ABS(SIN((A179+5)*12.9898+78.233)*43758.5453),1)</x:f>
        <x:v>0.9364051869160903</x:v>
      </x:c>
      <x:c r="G179" s="132" t="n">
        <x:f>IF(B179&lt;(('Assumptions'!$C$47-'Assumptions'!$B$47)/('Assumptions'!$D$47-'Assumptions'!$B$47)),'Assumptions'!$B$47+SQRT(B179*('Assumptions'!$D$47-'Assumptions'!$B$47)*('Assumptions'!$C$47-'Assumptions'!$B$47)),'Assumptions'!$D$47-SQRT((1-B179)*('Assumptions'!$D$47-'Assumptions'!$B$47)*('Assumptions'!$D$47-'Assumptions'!$C$47)))</x:f>
        <x:v>0.00010880204112584391</x:v>
      </x:c>
      <x:c r="H179" s="132" t="n">
        <x:f>IF(C179&lt;(('Assumptions'!$C$48-'Assumptions'!$B$48)/('Assumptions'!$D$48-'Assumptions'!$B$48)),'Assumptions'!$B$48+SQRT(C179*('Assumptions'!$D$48-'Assumptions'!$B$48)*('Assumptions'!$C$48-'Assumptions'!$B$48)),'Assumptions'!$D$48-SQRT((1-C179)*('Assumptions'!$D$48-'Assumptions'!$B$48)*('Assumptions'!$D$48-'Assumptions'!$C$48)))</x:f>
        <x:v>0.09869329949627194</x:v>
      </x:c>
      <x:c r="I179" s="132" t="n">
        <x:f>IF(D179&lt;(('Assumptions'!$C$49-'Assumptions'!$B$49)/('Assumptions'!$D$49-'Assumptions'!$B$49)),'Assumptions'!$B$49+SQRT(D179*('Assumptions'!$D$49-'Assumptions'!$B$49)*('Assumptions'!$C$49-'Assumptions'!$B$49)),'Assumptions'!$D$49-SQRT((1-D179)*('Assumptions'!$D$49-'Assumptions'!$B$49)*('Assumptions'!$D$49-'Assumptions'!$C$49)))</x:f>
        <x:v>0.003597864022199193</x:v>
      </x:c>
      <x:c r="J179" s="132" t="n">
        <x:f>IF(E179&lt;(('Assumptions'!$C$50-'Assumptions'!$B$50)/('Assumptions'!$D$50-'Assumptions'!$B$50)),'Assumptions'!$B$50+SQRT(E179*('Assumptions'!$D$50-'Assumptions'!$B$50)*('Assumptions'!$C$50-'Assumptions'!$B$50)),'Assumptions'!$D$50-SQRT((1-E179)*('Assumptions'!$D$50-'Assumptions'!$B$50)*('Assumptions'!$D$50-'Assumptions'!$C$50)))</x:f>
        <x:v>0.07334848511842922</x:v>
      </x:c>
      <x:c r="K179" s="132" t="n">
        <x:f>IF(F179&lt;(('Assumptions'!$C$51-'Assumptions'!$B$51)/('Assumptions'!$D$51-'Assumptions'!$B$51)),'Assumptions'!$B$51+SQRT(F179*('Assumptions'!$D$51-'Assumptions'!$B$51)*('Assumptions'!$C$51-'Assumptions'!$B$51)),'Assumptions'!$D$51-SQRT((1-F179)*('Assumptions'!$D$51-'Assumptions'!$B$51)*('Assumptions'!$D$51-'Assumptions'!$C$51)))</x:f>
        <x:v>0.0794678210624898</x:v>
      </x:c>
      <x:c r="L179" s="133" t="n">
        <x:f>(('Assumptions'!$B$17*(1+G179)+'Assumptions'!$B$18)*(1-H179-'Assumptions'!$B$20)-SUM('Assumptions'!$B$21:$B$25)*(1+I179))-(('Assumptions'!$B$17*(1+G179)+'Assumptions'!$B$18)*(1-H179-'Assumptions'!$B$20)*'Assumptions'!$B$26)</x:f>
        <x:v>197017.55951354673</x:v>
      </x:c>
      <x:c r="M179" s="133" t="n">
        <x:f>'Assumptions'!$B$10*'Assumptions'!$B$33</x:f>
        <x:v>1950000</x:v>
      </x:c>
      <x:c r="N179" s="133" t="n">
        <x:f>-PMT(K179/12,'Assumptions'!$B$35*12,M179)*12</x:f>
        <x:v>170833.58358116893</x:v>
      </x:c>
      <x:c r="O179" s="133" t="n">
        <x:f>(L179*(1+'Assumptions'!$B$29)^('Assumptions'!$B$14/12)/J179)*(1-'Assumptions'!$B$42)-'Debt Schedule'!$F$9</x:f>
        <x:v>2927033.9754626285</x:v>
      </x:c>
      <x:c r="P179" s="132" t="n">
        <x:f>((O179+(L179-N179-'Assumptions'!$B$27-'Assumptions'!$B$28)*('Assumptions'!$B$14/12))/ABS('Monthly Cash Flow'!$S$5))^(1/('Assumptions'!$B$14/12))-1</x:f>
        <x:v>0.1716303995359192</x:v>
      </x:c>
      <x:c r="Q179" s="133" t="n">
        <x:f>-ABS('Monthly Cash Flow'!$S$5)+((L179-N179-'Assumptions'!$B$27-'Assumptions'!$B$28)*(1-(1+'Assumptions'!$B$43)^-('Assumptions'!$B$14/12))/'Assumptions'!$B$43)+(O179/(1+'Assumptions'!$B$43)^('Assumptions'!$B$14/12))</x:f>
        <x:v>470584.2074419826</x:v>
      </x:c>
    </x:row>
    <x:row r="180">
      <x:c r="A180" s="131" t="n">
        <x:f>173</x:f>
        <x:v>173</x:v>
      </x:c>
      <x:c r="B180" s="131" t="n">
        <x:f>MOD(ABS(SIN((A180+1)*12.9898+78.233)*43758.5453),1)</x:f>
        <x:v>0.806108692442649</x:v>
      </x:c>
      <x:c r="C180" s="131" t="n">
        <x:f>MOD(ABS(SIN((A180+2)*12.9898+78.233)*43758.5453),1)</x:f>
        <x:v>0.10452004322723951</x:v>
      </x:c>
      <x:c r="D180" s="131" t="n">
        <x:f>MOD(ABS(SIN((A180+3)*12.9898+78.233)*43758.5453),1)</x:f>
        <x:v>0.8426927992186393</x:v>
      </x:c>
      <x:c r="E180" s="131" t="n">
        <x:f>MOD(ABS(SIN((A180+4)*12.9898+78.233)*43758.5453),1)</x:f>
        <x:v>0.9364051869160903</x:v>
      </x:c>
      <x:c r="F180" s="131" t="n">
        <x:f>MOD(ABS(SIN((A180+5)*12.9898+78.233)*43758.5453),1)</x:f>
        <x:v>0.31682129840737616</x:v>
      </x:c>
      <x:c r="G180" s="132" t="n">
        <x:f>IF(B180&lt;(('Assumptions'!$C$47-'Assumptions'!$B$47)/('Assumptions'!$D$47-'Assumptions'!$B$47)),'Assumptions'!$B$47+SQRT(B180*('Assumptions'!$D$47-'Assumptions'!$B$47)*('Assumptions'!$C$47-'Assumptions'!$B$47)),'Assumptions'!$D$47-SQRT((1-B180)*('Assumptions'!$D$47-'Assumptions'!$B$47)*('Assumptions'!$D$47-'Assumptions'!$C$47)))</x:f>
        <x:v>0.044302056403152414</x:v>
      </x:c>
      <x:c r="H180" s="132" t="n">
        <x:f>IF(C180&lt;(('Assumptions'!$C$48-'Assumptions'!$B$48)/('Assumptions'!$D$48-'Assumptions'!$B$48)),'Assumptions'!$B$48+SQRT(C180*('Assumptions'!$D$48-'Assumptions'!$B$48)*('Assumptions'!$C$48-'Assumptions'!$B$48)),'Assumptions'!$D$48-SQRT((1-C180)*('Assumptions'!$D$48-'Assumptions'!$B$48)*('Assumptions'!$D$48-'Assumptions'!$C$48)))</x:f>
        <x:v>0.04857191811983594</x:v>
      </x:c>
      <x:c r="I180" s="132" t="n">
        <x:f>IF(D180&lt;(('Assumptions'!$C$49-'Assumptions'!$B$49)/('Assumptions'!$D$49-'Assumptions'!$B$49)),'Assumptions'!$B$49+SQRT(D180*('Assumptions'!$D$49-'Assumptions'!$B$49)*('Assumptions'!$C$49-'Assumptions'!$B$49)),'Assumptions'!$D$49-SQRT((1-D180)*('Assumptions'!$D$49-'Assumptions'!$B$49)*('Assumptions'!$D$49-'Assumptions'!$C$49)))</x:f>
        <x:v>0.09170904412451797</x:v>
      </x:c>
      <x:c r="J180" s="132" t="n">
        <x:f>IF(E180&lt;(('Assumptions'!$C$50-'Assumptions'!$B$50)/('Assumptions'!$D$50-'Assumptions'!$B$50)),'Assumptions'!$B$50+SQRT(E180*('Assumptions'!$D$50-'Assumptions'!$B$50)*('Assumptions'!$C$50-'Assumptions'!$B$50)),'Assumptions'!$D$50-SQRT((1-E180)*('Assumptions'!$D$50-'Assumptions'!$B$50)*('Assumptions'!$D$50-'Assumptions'!$C$50)))</x:f>
        <x:v>0.07577081081295131</x:v>
      </x:c>
      <x:c r="K180" s="132" t="n">
        <x:f>IF(F180&lt;(('Assumptions'!$C$51-'Assumptions'!$B$51)/('Assumptions'!$D$51-'Assumptions'!$B$51)),'Assumptions'!$B$51+SQRT(F180*('Assumptions'!$D$51-'Assumptions'!$B$51)*('Assumptions'!$C$51-'Assumptions'!$B$51)),'Assumptions'!$D$51-SQRT((1-F180)*('Assumptions'!$D$51-'Assumptions'!$B$51)*('Assumptions'!$D$51-'Assumptions'!$C$51)))</x:f>
        <x:v>0.06683412326156177</x:v>
      </x:c>
      <x:c r="L180" s="133" t="n">
        <x:f>(('Assumptions'!$B$17*(1+G180)+'Assumptions'!$B$18)*(1-H180-'Assumptions'!$B$20)-SUM('Assumptions'!$B$21:$B$25)*(1+I180))-(('Assumptions'!$B$17*(1+G180)+'Assumptions'!$B$18)*(1-H180-'Assumptions'!$B$20)*'Assumptions'!$B$26)</x:f>
        <x:v>218484.0911070979</x:v>
      </x:c>
      <x:c r="M180" s="133" t="n">
        <x:f>'Assumptions'!$B$10*'Assumptions'!$B$33</x:f>
        <x:v>1950000</x:v>
      </x:c>
      <x:c r="N180" s="133" t="n">
        <x:f>-PMT(K180/12,'Assumptions'!$B$35*12,M180)*12</x:f>
        <x:v>150737.66705810418</x:v>
      </x:c>
      <x:c r="O180" s="133" t="n">
        <x:f>(L180*(1+'Assumptions'!$B$29)^('Assumptions'!$B$14/12)/J180)*(1-'Assumptions'!$B$42)-'Debt Schedule'!$F$9</x:f>
        <x:v>3142185.8016954847</x:v>
      </x:c>
      <x:c r="P180" s="132" t="n">
        <x:f>((O180+(L180-N180-'Assumptions'!$B$27-'Assumptions'!$B$28)*('Assumptions'!$B$14/12))/ABS('Monthly Cash Flow'!$S$5))^(1/('Assumptions'!$B$14/12))-1</x:f>
        <x:v>0.20442195139153063</x:v>
      </x:c>
      <x:c r="Q180" s="133" t="n">
        <x:f>-ABS('Monthly Cash Flow'!$S$5)+((L180-N180-'Assumptions'!$B$27-'Assumptions'!$B$28)*(1-(1+'Assumptions'!$B$43)^-('Assumptions'!$B$14/12))/'Assumptions'!$B$43)+(O180/(1+'Assumptions'!$B$43)^('Assumptions'!$B$14/12))</x:f>
        <x:v>761730.9424697736</x:v>
      </x:c>
    </x:row>
    <x:row r="181">
      <x:c r="A181" s="131" t="n">
        <x:f>174</x:f>
        <x:v>174</x:v>
      </x:c>
      <x:c r="B181" s="131" t="n">
        <x:f>MOD(ABS(SIN((A181+1)*12.9898+78.233)*43758.5453),1)</x:f>
        <x:v>0.10452004322723951</x:v>
      </x:c>
      <x:c r="C181" s="131" t="n">
        <x:f>MOD(ABS(SIN((A181+2)*12.9898+78.233)*43758.5453),1)</x:f>
        <x:v>0.8426927992186393</x:v>
      </x:c>
      <x:c r="D181" s="131" t="n">
        <x:f>MOD(ABS(SIN((A181+3)*12.9898+78.233)*43758.5453),1)</x:f>
        <x:v>0.9364051869160903</x:v>
      </x:c>
      <x:c r="E181" s="131" t="n">
        <x:f>MOD(ABS(SIN((A181+4)*12.9898+78.233)*43758.5453),1)</x:f>
        <x:v>0.31682129840737616</x:v>
      </x:c>
      <x:c r="F181" s="131" t="n">
        <x:f>MOD(ABS(SIN((A181+5)*12.9898+78.233)*43758.5453),1)</x:f>
        <x:v>0.5259038934477758</x:v>
      </x:c>
      <x:c r="G181" s="132" t="n">
        <x:f>IF(B181&lt;(('Assumptions'!$C$47-'Assumptions'!$B$47)/('Assumptions'!$D$47-'Assumptions'!$B$47)),'Assumptions'!$B$47+SQRT(B181*('Assumptions'!$D$47-'Assumptions'!$B$47)*('Assumptions'!$C$47-'Assumptions'!$B$47)),'Assumptions'!$D$47-SQRT((1-B181)*('Assumptions'!$D$47-'Assumptions'!$B$47)*('Assumptions'!$D$47-'Assumptions'!$C$47)))</x:f>
        <x:v>-0.04991526143171207</x:v>
      </x:c>
      <x:c r="H181" s="132" t="n">
        <x:f>IF(C181&lt;(('Assumptions'!$C$48-'Assumptions'!$B$48)/('Assumptions'!$D$48-'Assumptions'!$B$48)),'Assumptions'!$B$48+SQRT(C181*('Assumptions'!$D$48-'Assumptions'!$B$48)*('Assumptions'!$C$48-'Assumptions'!$B$48)),'Assumptions'!$D$48-SQRT((1-C181)*('Assumptions'!$D$48-'Assumptions'!$B$48)*('Assumptions'!$D$48-'Assumptions'!$C$48)))</x:f>
        <x:v>0.10279377247185663</x:v>
      </x:c>
      <x:c r="I181" s="132" t="n">
        <x:f>IF(D181&lt;(('Assumptions'!$C$49-'Assumptions'!$B$49)/('Assumptions'!$D$49-'Assumptions'!$B$49)),'Assumptions'!$B$49+SQRT(D181*('Assumptions'!$D$49-'Assumptions'!$B$49)*('Assumptions'!$C$49-'Assumptions'!$B$49)),'Assumptions'!$D$49-SQRT((1-D181)*('Assumptions'!$D$49-'Assumptions'!$B$49)*('Assumptions'!$D$49-'Assumptions'!$C$49)))</x:f>
        <x:v>0.11293724291674391</x:v>
      </x:c>
      <x:c r="J181" s="132" t="n">
        <x:f>IF(E181&lt;(('Assumptions'!$C$50-'Assumptions'!$B$50)/('Assumptions'!$D$50-'Assumptions'!$B$50)),'Assumptions'!$B$50+SQRT(E181*('Assumptions'!$D$50-'Assumptions'!$B$50)*('Assumptions'!$C$50-'Assumptions'!$B$50)),'Assumptions'!$D$50-SQRT((1-E181)*('Assumptions'!$D$50-'Assumptions'!$B$50)*('Assumptions'!$D$50-'Assumptions'!$C$50)))</x:f>
        <x:v>0.0659430321651442</x:v>
      </x:c>
      <x:c r="K181" s="132" t="n">
        <x:f>IF(F181&lt;(('Assumptions'!$C$51-'Assumptions'!$B$51)/('Assumptions'!$D$51-'Assumptions'!$B$51)),'Assumptions'!$B$51+SQRT(F181*('Assumptions'!$D$51-'Assumptions'!$B$51)*('Assumptions'!$C$51-'Assumptions'!$B$51)),'Assumptions'!$D$51-SQRT((1-F181)*('Assumptions'!$D$51-'Assumptions'!$B$51)*('Assumptions'!$D$51-'Assumptions'!$C$51)))</x:f>
        <x:v>0.0698950752640651</x:v>
      </x:c>
      <x:c r="L181" s="133" t="n">
        <x:f>(('Assumptions'!$B$17*(1+G181)+'Assumptions'!$B$18)*(1-H181-'Assumptions'!$B$20)-SUM('Assumptions'!$B$21:$B$25)*(1+I181))-(('Assumptions'!$B$17*(1+G181)+'Assumptions'!$B$18)*(1-H181-'Assumptions'!$B$20)*'Assumptions'!$B$26)</x:f>
        <x:v>166414.36203656433</x:v>
      </x:c>
      <x:c r="M181" s="133" t="n">
        <x:f>'Assumptions'!$B$10*'Assumptions'!$B$33</x:f>
        <x:v>1950000</x:v>
      </x:c>
      <x:c r="N181" s="133" t="n">
        <x:f>-PMT(K181/12,'Assumptions'!$B$35*12,M181)*12</x:f>
        <x:v>155515.92578501825</x:v>
      </x:c>
      <x:c r="O181" s="133" t="n">
        <x:f>(L181*(1+'Assumptions'!$B$29)^('Assumptions'!$B$14/12)/J181)*(1-'Assumptions'!$B$42)-'Debt Schedule'!$F$9</x:f>
        <x:v>2750020.1039588763</x:v>
      </x:c>
      <x:c r="P181" s="132" t="n">
        <x:f>((O181+(L181-N181-'Assumptions'!$B$27-'Assumptions'!$B$28)*('Assumptions'!$B$14/12))/ABS('Monthly Cash Flow'!$S$5))^(1/('Assumptions'!$B$14/12))-1</x:f>
        <x:v>0.1500715789235485</x:v>
      </x:c>
      <x:c r="Q181" s="133" t="n">
        <x:f>-ABS('Monthly Cash Flow'!$S$5)+((L181-N181-'Assumptions'!$B$27-'Assumptions'!$B$28)*(1-(1+'Assumptions'!$B$43)^-('Assumptions'!$B$14/12))/'Assumptions'!$B$43)+(O181/(1+'Assumptions'!$B$43)^('Assumptions'!$B$14/12))</x:f>
        <x:v>302728.2985626848</x:v>
      </x:c>
    </x:row>
    <x:row r="182">
      <x:c r="A182" s="131" t="n">
        <x:f>175</x:f>
        <x:v>175</x:v>
      </x:c>
      <x:c r="B182" s="131" t="n">
        <x:f>MOD(ABS(SIN((A182+1)*12.9898+78.233)*43758.5453),1)</x:f>
        <x:v>0.8426927992186393</x:v>
      </x:c>
      <x:c r="C182" s="131" t="n">
        <x:f>MOD(ABS(SIN((A182+2)*12.9898+78.233)*43758.5453),1)</x:f>
        <x:v>0.9364051869160903</x:v>
      </x:c>
      <x:c r="D182" s="131" t="n">
        <x:f>MOD(ABS(SIN((A182+3)*12.9898+78.233)*43758.5453),1)</x:f>
        <x:v>0.31682129840737616</x:v>
      </x:c>
      <x:c r="E182" s="131" t="n">
        <x:f>MOD(ABS(SIN((A182+4)*12.9898+78.233)*43758.5453),1)</x:f>
        <x:v>0.5259038934477758</x:v>
      </x:c>
      <x:c r="F182" s="131" t="n">
        <x:f>MOD(ABS(SIN((A182+5)*12.9898+78.233)*43758.5453),1)</x:f>
        <x:v>0.776307419891964</x:v>
      </x:c>
      <x:c r="G182" s="132" t="n">
        <x:f>IF(B182&lt;(('Assumptions'!$C$47-'Assumptions'!$B$47)/('Assumptions'!$D$47-'Assumptions'!$B$47)),'Assumptions'!$B$47+SQRT(B182*('Assumptions'!$D$47-'Assumptions'!$B$47)*('Assumptions'!$C$47-'Assumptions'!$B$47)),'Assumptions'!$D$47-SQRT((1-B182)*('Assumptions'!$D$47-'Assumptions'!$B$47)*('Assumptions'!$D$47-'Assumptions'!$C$47)))</x:f>
        <x:v>0.049831133035499284</x:v>
      </x:c>
      <x:c r="H182" s="132" t="n">
        <x:f>IF(C182&lt;(('Assumptions'!$C$48-'Assumptions'!$B$48)/('Assumptions'!$D$48-'Assumptions'!$B$48)),'Assumptions'!$B$48+SQRT(C182*('Assumptions'!$D$48-'Assumptions'!$B$48)*('Assumptions'!$C$48-'Assumptions'!$B$48)),'Assumptions'!$D$48-SQRT((1-C182)*('Assumptions'!$D$48-'Assumptions'!$B$48)*('Assumptions'!$D$48-'Assumptions'!$C$48)))</x:f>
        <x:v>0.11634340778686827</x:v>
      </x:c>
      <x:c r="I182" s="132" t="n">
        <x:f>IF(D182&lt;(('Assumptions'!$C$49-'Assumptions'!$B$49)/('Assumptions'!$D$49-'Assumptions'!$B$49)),'Assumptions'!$B$49+SQRT(D182*('Assumptions'!$D$49-'Assumptions'!$B$49)*('Assumptions'!$C$49-'Assumptions'!$B$49)),'Assumptions'!$D$49-SQRT((1-D182)*('Assumptions'!$D$49-'Assumptions'!$B$49)*('Assumptions'!$D$49-'Assumptions'!$C$49)))</x:f>
        <x:v>0.028495042719872105</x:v>
      </x:c>
      <x:c r="J182" s="132" t="n">
        <x:f>IF(E182&lt;(('Assumptions'!$C$50-'Assumptions'!$B$50)/('Assumptions'!$D$50-'Assumptions'!$B$50)),'Assumptions'!$B$50+SQRT(E182*('Assumptions'!$D$50-'Assumptions'!$B$50)*('Assumptions'!$C$50-'Assumptions'!$B$50)),'Assumptions'!$D$50-SQRT((1-E182)*('Assumptions'!$D$50-'Assumptions'!$B$50)*('Assumptions'!$D$50-'Assumptions'!$C$50)))</x:f>
        <x:v>0.06845272629718109</x:v>
      </x:c>
      <x:c r="K182" s="132" t="n">
        <x:f>IF(F182&lt;(('Assumptions'!$C$51-'Assumptions'!$B$51)/('Assumptions'!$D$51-'Assumptions'!$B$51)),'Assumptions'!$B$51+SQRT(F182*('Assumptions'!$D$51-'Assumptions'!$B$51)*('Assumptions'!$C$51-'Assumptions'!$B$51)),'Assumptions'!$D$51-SQRT((1-F182)*('Assumptions'!$D$51-'Assumptions'!$B$51)*('Assumptions'!$D$51-'Assumptions'!$C$51)))</x:f>
        <x:v>0.0746244492109097</x:v>
      </x:c>
      <x:c r="L182" s="133" t="n">
        <x:f>(('Assumptions'!$B$17*(1+G182)+'Assumptions'!$B$18)*(1-H182-'Assumptions'!$B$20)-SUM('Assumptions'!$B$21:$B$25)*(1+I182))-(('Assumptions'!$B$17*(1+G182)+'Assumptions'!$B$18)*(1-H182-'Assumptions'!$B$20)*'Assumptions'!$B$26)</x:f>
        <x:v>202487.92774482188</x:v>
      </x:c>
      <x:c r="M182" s="133" t="n">
        <x:f>'Assumptions'!$B$10*'Assumptions'!$B$33</x:f>
        <x:v>1950000</x:v>
      </x:c>
      <x:c r="N182" s="133" t="n">
        <x:f>-PMT(K182/12,'Assumptions'!$B$35*12,M182)*12</x:f>
        <x:v>163014.86422483012</x:v>
      </x:c>
      <x:c r="O182" s="133" t="n">
        <x:f>(L182*(1+'Assumptions'!$B$29)^('Assumptions'!$B$14/12)/J182)*(1-'Assumptions'!$B$42)-'Debt Schedule'!$F$9</x:f>
        <x:v>3223460.578264683</x:v>
      </x:c>
      <x:c r="P182" s="132" t="n">
        <x:f>((O182+(L182-N182-'Assumptions'!$B$27-'Assumptions'!$B$28)*('Assumptions'!$B$14/12))/ABS('Monthly Cash Flow'!$S$5))^(1/('Assumptions'!$B$14/12))-1</x:f>
        <x:v>0.19997732306745397</x:v>
      </x:c>
      <x:c r="Q182" s="133" t="n">
        <x:f>-ABS('Monthly Cash Flow'!$S$5)+((L182-N182-'Assumptions'!$B$27-'Assumptions'!$B$28)*(1-(1+'Assumptions'!$B$43)^-('Assumptions'!$B$14/12))/'Assumptions'!$B$43)+(O182/(1+'Assumptions'!$B$43)^('Assumptions'!$B$14/12))</x:f>
        <x:v>705017.9032484018</x:v>
      </x:c>
    </x:row>
    <x:row r="183">
      <x:c r="A183" s="131" t="n">
        <x:f>176</x:f>
        <x:v>176</x:v>
      </x:c>
      <x:c r="B183" s="131" t="n">
        <x:f>MOD(ABS(SIN((A183+1)*12.9898+78.233)*43758.5453),1)</x:f>
        <x:v>0.9364051869160903</x:v>
      </x:c>
      <x:c r="C183" s="131" t="n">
        <x:f>MOD(ABS(SIN((A183+2)*12.9898+78.233)*43758.5453),1)</x:f>
        <x:v>0.31682129840737616</x:v>
      </x:c>
      <x:c r="D183" s="131" t="n">
        <x:f>MOD(ABS(SIN((A183+3)*12.9898+78.233)*43758.5453),1)</x:f>
        <x:v>0.5259038934477758</x:v>
      </x:c>
      <x:c r="E183" s="131" t="n">
        <x:f>MOD(ABS(SIN((A183+4)*12.9898+78.233)*43758.5453),1)</x:f>
        <x:v>0.776307419891964</x:v>
      </x:c>
      <x:c r="F183" s="131" t="n">
        <x:f>MOD(ABS(SIN((A183+5)*12.9898+78.233)*43758.5453),1)</x:f>
        <x:v>0.7148156518233009</x:v>
      </x:c>
      <x:c r="G183" s="132" t="n">
        <x:f>IF(B183&lt;(('Assumptions'!$C$47-'Assumptions'!$B$47)/('Assumptions'!$D$47-'Assumptions'!$B$47)),'Assumptions'!$B$47+SQRT(B183*('Assumptions'!$D$47-'Assumptions'!$B$47)*('Assumptions'!$C$47-'Assumptions'!$B$47)),'Assumptions'!$D$47-SQRT((1-B183)*('Assumptions'!$D$47-'Assumptions'!$B$47)*('Assumptions'!$D$47-'Assumptions'!$C$47)))</x:f>
        <x:v>0.06810145756711516</x:v>
      </x:c>
      <x:c r="H183" s="132" t="n">
        <x:f>IF(C183&lt;(('Assumptions'!$C$48-'Assumptions'!$B$48)/('Assumptions'!$D$48-'Assumptions'!$B$48)),'Assumptions'!$B$48+SQRT(C183*('Assumptions'!$D$48-'Assumptions'!$B$48)*('Assumptions'!$C$48-'Assumptions'!$B$48)),'Assumptions'!$D$48-SQRT((1-C183)*('Assumptions'!$D$48-'Assumptions'!$B$48)*('Assumptions'!$D$48-'Assumptions'!$C$48)))</x:f>
        <x:v>0.062463088957483676</x:v>
      </x:c>
      <x:c r="I183" s="132" t="n">
        <x:f>IF(D183&lt;(('Assumptions'!$C$49-'Assumptions'!$B$49)/('Assumptions'!$D$49-'Assumptions'!$B$49)),'Assumptions'!$B$49+SQRT(D183*('Assumptions'!$D$49-'Assumptions'!$B$49)*('Assumptions'!$C$49-'Assumptions'!$B$49)),'Assumptions'!$D$49-SQRT((1-D183)*('Assumptions'!$D$49-'Assumptions'!$B$49)*('Assumptions'!$D$49-'Assumptions'!$C$49)))</x:f>
        <x:v>0.04880476344447805</x:v>
      </x:c>
      <x:c r="J183" s="132" t="n">
        <x:f>IF(E183&lt;(('Assumptions'!$C$50-'Assumptions'!$B$50)/('Assumptions'!$D$50-'Assumptions'!$B$50)),'Assumptions'!$B$50+SQRT(E183*('Assumptions'!$D$50-'Assumptions'!$B$50)*('Assumptions'!$C$50-'Assumptions'!$B$50)),'Assumptions'!$D$50-SQRT((1-E183)*('Assumptions'!$D$50-'Assumptions'!$B$50)*('Assumptions'!$D$50-'Assumptions'!$C$50)))</x:f>
        <x:v>0.07206819452108254</x:v>
      </x:c>
      <x:c r="K183" s="132" t="n">
        <x:f>IF(F183&lt;(('Assumptions'!$C$51-'Assumptions'!$B$51)/('Assumptions'!$D$51-'Assumptions'!$B$51)),'Assumptions'!$B$51+SQRT(F183*('Assumptions'!$D$51-'Assumptions'!$B$51)*('Assumptions'!$C$51-'Assumptions'!$B$51)),'Assumptions'!$D$51-SQRT((1-F183)*('Assumptions'!$D$51-'Assumptions'!$B$51)*('Assumptions'!$D$51-'Assumptions'!$C$51)))</x:f>
        <x:v>0.07328484026741264</x:v>
      </x:c>
      <x:c r="L183" s="133" t="n">
        <x:f>(('Assumptions'!$B$17*(1+G183)+'Assumptions'!$B$18)*(1-H183-'Assumptions'!$B$20)-SUM('Assumptions'!$B$21:$B$25)*(1+I183))-(('Assumptions'!$B$17*(1+G183)+'Assumptions'!$B$18)*(1-H183-'Assumptions'!$B$20)*'Assumptions'!$B$26)</x:f>
        <x:v>226265.5764327645</x:v>
      </x:c>
      <x:c r="M183" s="133" t="n">
        <x:f>'Assumptions'!$B$10*'Assumptions'!$B$33</x:f>
        <x:v>1950000</x:v>
      </x:c>
      <x:c r="N183" s="133" t="n">
        <x:f>-PMT(K183/12,'Assumptions'!$B$35*12,M183)*12</x:f>
        <x:v>160876.8063032667</x:v>
      </x:c>
      <x:c r="O183" s="133" t="n">
        <x:f>(L183*(1+'Assumptions'!$B$29)^('Assumptions'!$B$14/12)/J183)*(1-'Assumptions'!$B$42)-'Debt Schedule'!$F$9</x:f>
        <x:v>3421281.597293474</x:v>
      </x:c>
      <x:c r="P183" s="132" t="n">
        <x:f>((O183+(L183-N183-'Assumptions'!$B$27-'Assumptions'!$B$28)*('Assumptions'!$B$14/12))/ABS('Monthly Cash Flow'!$S$5))^(1/('Assumptions'!$B$14/12))-1</x:f>
        <x:v>0.22343761899017323</x:v>
      </x:c>
      <x:c r="Q183" s="133" t="n">
        <x:f>-ABS('Monthly Cash Flow'!$S$5)+((L183-N183-'Assumptions'!$B$27-'Assumptions'!$B$28)*(1-(1+'Assumptions'!$B$43)^-('Assumptions'!$B$14/12))/'Assumptions'!$B$43)+(O183/(1+'Assumptions'!$B$43)^('Assumptions'!$B$14/12))</x:f>
        <x:v>926090.1098478553</x:v>
      </x:c>
    </x:row>
    <x:row r="184">
      <x:c r="A184" s="131" t="n">
        <x:f>177</x:f>
        <x:v>177</x:v>
      </x:c>
      <x:c r="B184" s="131" t="n">
        <x:f>MOD(ABS(SIN((A184+1)*12.9898+78.233)*43758.5453),1)</x:f>
        <x:v>0.31682129840737616</x:v>
      </x:c>
      <x:c r="C184" s="131" t="n">
        <x:f>MOD(ABS(SIN((A184+2)*12.9898+78.233)*43758.5453),1)</x:f>
        <x:v>0.5259038934477758</x:v>
      </x:c>
      <x:c r="D184" s="131" t="n">
        <x:f>MOD(ABS(SIN((A184+3)*12.9898+78.233)*43758.5453),1)</x:f>
        <x:v>0.776307419891964</x:v>
      </x:c>
      <x:c r="E184" s="131" t="n">
        <x:f>MOD(ABS(SIN((A184+4)*12.9898+78.233)*43758.5453),1)</x:f>
        <x:v>0.7148156518233009</x:v>
      </x:c>
      <x:c r="F184" s="131" t="n">
        <x:f>MOD(ABS(SIN((A184+5)*12.9898+78.233)*43758.5453),1)</x:f>
        <x:v>0.7498247582043405</x:v>
      </x:c>
      <x:c r="G184" s="132" t="n">
        <x:f>IF(B184&lt;(('Assumptions'!$C$47-'Assumptions'!$B$47)/('Assumptions'!$D$47-'Assumptions'!$B$47)),'Assumptions'!$B$47+SQRT(B184*('Assumptions'!$D$47-'Assumptions'!$B$47)*('Assumptions'!$C$47-'Assumptions'!$B$47)),'Assumptions'!$D$47-SQRT((1-B184)*('Assumptions'!$D$47-'Assumptions'!$B$47)*('Assumptions'!$D$47-'Assumptions'!$C$47)))</x:f>
        <x:v>-0.012800738754407862</x:v>
      </x:c>
      <x:c r="H184" s="132" t="n">
        <x:f>IF(C184&lt;(('Assumptions'!$C$48-'Assumptions'!$B$48)/('Assumptions'!$D$48-'Assumptions'!$B$48)),'Assumptions'!$B$48+SQRT(C184*('Assumptions'!$D$48-'Assumptions'!$B$48)*('Assumptions'!$C$48-'Assumptions'!$B$48)),'Assumptions'!$D$48-SQRT((1-C184)*('Assumptions'!$D$48-'Assumptions'!$B$48)*('Assumptions'!$D$48-'Assumptions'!$C$48)))</x:f>
        <x:v>0.07540862489728546</x:v>
      </x:c>
      <x:c r="I184" s="132" t="n">
        <x:f>IF(D184&lt;(('Assumptions'!$C$49-'Assumptions'!$B$49)/('Assumptions'!$D$49-'Assumptions'!$B$49)),'Assumptions'!$B$49+SQRT(D184*('Assumptions'!$D$49-'Assumptions'!$B$49)*('Assumptions'!$C$49-'Assumptions'!$B$49)),'Assumptions'!$D$49-SQRT((1-D184)*('Assumptions'!$D$49-'Assumptions'!$B$49)*('Assumptions'!$D$49-'Assumptions'!$C$49)))</x:f>
        <x:v>0.08048913947926137</x:v>
      </x:c>
      <x:c r="J184" s="132" t="n">
        <x:f>IF(E184&lt;(('Assumptions'!$C$50-'Assumptions'!$B$50)/('Assumptions'!$D$50-'Assumptions'!$B$50)),'Assumptions'!$B$50+SQRT(E184*('Assumptions'!$D$50-'Assumptions'!$B$50)*('Assumptions'!$C$50-'Assumptions'!$B$50)),'Assumptions'!$D$50-SQRT((1-E184)*('Assumptions'!$D$50-'Assumptions'!$B$50)*('Assumptions'!$D$50-'Assumptions'!$C$50)))</x:f>
        <x:v>0.07104410261756552</x:v>
      </x:c>
      <x:c r="K184" s="132" t="n">
        <x:f>IF(F184&lt;(('Assumptions'!$C$51-'Assumptions'!$B$51)/('Assumptions'!$D$51-'Assumptions'!$B$51)),'Assumptions'!$B$51+SQRT(F184*('Assumptions'!$D$51-'Assumptions'!$B$51)*('Assumptions'!$C$51-'Assumptions'!$B$51)),'Assumptions'!$D$51-SQRT((1-F184)*('Assumptions'!$D$51-'Assumptions'!$B$51)*('Assumptions'!$D$51-'Assumptions'!$C$51)))</x:f>
        <x:v>0.07402745083792463</x:v>
      </x:c>
      <x:c r="L184" s="133" t="n">
        <x:f>(('Assumptions'!$B$17*(1+G184)+'Assumptions'!$B$18)*(1-H184-'Assumptions'!$B$20)-SUM('Assumptions'!$B$21:$B$25)*(1+I184))-(('Assumptions'!$B$17*(1+G184)+'Assumptions'!$B$18)*(1-H184-'Assumptions'!$B$20)*'Assumptions'!$B$26)</x:f>
        <x:v>191699.1935411253</x:v>
      </x:c>
      <x:c r="M184" s="133" t="n">
        <x:f>'Assumptions'!$B$10*'Assumptions'!$B$33</x:f>
        <x:v>1950000</x:v>
      </x:c>
      <x:c r="N184" s="133" t="n">
        <x:f>-PMT(K184/12,'Assumptions'!$B$35*12,M184)*12</x:f>
        <x:v>162060.6955714933</x:v>
      </x:c>
      <x:c r="O184" s="133" t="n">
        <x:f>(L184*(1+'Assumptions'!$B$29)^('Assumptions'!$B$14/12)/J184)*(1-'Assumptions'!$B$42)-'Debt Schedule'!$F$9</x:f>
        <x:v>2940398.75417623</x:v>
      </x:c>
      <x:c r="P184" s="132" t="n">
        <x:f>((O184+(L184-N184-'Assumptions'!$B$27-'Assumptions'!$B$28)*('Assumptions'!$B$14/12))/ABS('Monthly Cash Flow'!$S$5))^(1/('Assumptions'!$B$14/12))-1</x:f>
        <x:v>0.17413168257268552</x:v>
      </x:c>
      <x:c r="Q184" s="133" t="n">
        <x:f>-ABS('Monthly Cash Flow'!$S$5)+((L184-N184-'Assumptions'!$B$27-'Assumptions'!$B$28)*(1-(1+'Assumptions'!$B$43)^-('Assumptions'!$B$14/12))/'Assumptions'!$B$43)+(O184/(1+'Assumptions'!$B$43)^('Assumptions'!$B$14/12))</x:f>
        <x:v>491978.03995667794</x:v>
      </x:c>
    </x:row>
    <x:row r="185">
      <x:c r="A185" s="131" t="n">
        <x:f>178</x:f>
        <x:v>178</x:v>
      </x:c>
      <x:c r="B185" s="131" t="n">
        <x:f>MOD(ABS(SIN((A185+1)*12.9898+78.233)*43758.5453),1)</x:f>
        <x:v>0.5259038934477758</x:v>
      </x:c>
      <x:c r="C185" s="131" t="n">
        <x:f>MOD(ABS(SIN((A185+2)*12.9898+78.233)*43758.5453),1)</x:f>
        <x:v>0.776307419891964</x:v>
      </x:c>
      <x:c r="D185" s="131" t="n">
        <x:f>MOD(ABS(SIN((A185+3)*12.9898+78.233)*43758.5453),1)</x:f>
        <x:v>0.7148156518233009</x:v>
      </x:c>
      <x:c r="E185" s="131" t="n">
        <x:f>MOD(ABS(SIN((A185+4)*12.9898+78.233)*43758.5453),1)</x:f>
        <x:v>0.7498247582043405</x:v>
      </x:c>
      <x:c r="F185" s="131" t="n">
        <x:f>MOD(ABS(SIN((A185+5)*12.9898+78.233)*43758.5453),1)</x:f>
        <x:v>0.26198324244614923</x:v>
      </x:c>
      <x:c r="G185" s="132" t="n">
        <x:f>IF(B185&lt;(('Assumptions'!$C$47-'Assumptions'!$B$47)/('Assumptions'!$D$47-'Assumptions'!$B$47)),'Assumptions'!$B$47+SQRT(B185*('Assumptions'!$D$47-'Assumptions'!$B$47)*('Assumptions'!$C$47-'Assumptions'!$B$47)),'Assumptions'!$D$47-SQRT((1-B185)*('Assumptions'!$D$47-'Assumptions'!$B$47)*('Assumptions'!$D$47-'Assumptions'!$C$47)))</x:f>
        <x:v>0.012346310321018641</x:v>
      </x:c>
      <x:c r="H185" s="132" t="n">
        <x:f>IF(C185&lt;(('Assumptions'!$C$48-'Assumptions'!$B$48)/('Assumptions'!$D$48-'Assumptions'!$B$48)),'Assumptions'!$B$48+SQRT(C185*('Assumptions'!$D$48-'Assumptions'!$B$48)*('Assumptions'!$C$48-'Assumptions'!$B$48)),'Assumptions'!$D$48-SQRT((1-C185)*('Assumptions'!$D$48-'Assumptions'!$B$48)*('Assumptions'!$D$48-'Assumptions'!$C$48)))</x:f>
        <x:v>0.09563227856931666</x:v>
      </x:c>
      <x:c r="I185" s="132" t="n">
        <x:f>IF(D185&lt;(('Assumptions'!$C$49-'Assumptions'!$B$49)/('Assumptions'!$D$49-'Assumptions'!$B$49)),'Assumptions'!$B$49+SQRT(D185*('Assumptions'!$D$49-'Assumptions'!$B$49)*('Assumptions'!$C$49-'Assumptions'!$B$49)),'Assumptions'!$D$49-SQRT((1-D185)*('Assumptions'!$D$49-'Assumptions'!$B$49)*('Assumptions'!$D$49-'Assumptions'!$C$49)))</x:f>
        <x:v>0.07151444769502668</x:v>
      </x:c>
      <x:c r="J185" s="132" t="n">
        <x:f>IF(E185&lt;(('Assumptions'!$C$50-'Assumptions'!$B$50)/('Assumptions'!$D$50-'Assumptions'!$B$50)),'Assumptions'!$B$50+SQRT(E185*('Assumptions'!$D$50-'Assumptions'!$B$50)*('Assumptions'!$C$50-'Assumptions'!$B$50)),'Assumptions'!$D$50-SQRT((1-E185)*('Assumptions'!$D$50-'Assumptions'!$B$50)*('Assumptions'!$D$50-'Assumptions'!$C$50)))</x:f>
        <x:v>0.07161180670495552</x:v>
      </x:c>
      <x:c r="K185" s="132" t="n">
        <x:f>IF(F185&lt;(('Assumptions'!$C$51-'Assumptions'!$B$51)/('Assumptions'!$D$51-'Assumptions'!$B$51)),'Assumptions'!$B$51+SQRT(F185*('Assumptions'!$D$51-'Assumptions'!$B$51)*('Assumptions'!$C$51-'Assumptions'!$B$51)),'Assumptions'!$D$51-SQRT((1-F185)*('Assumptions'!$D$51-'Assumptions'!$B$51)*('Assumptions'!$D$51-'Assumptions'!$C$51)))</x:f>
        <x:v>0.06598795568277138</x:v>
      </x:c>
      <x:c r="L185" s="133" t="n">
        <x:f>(('Assumptions'!$B$17*(1+G185)+'Assumptions'!$B$18)*(1-H185-'Assumptions'!$B$20)-SUM('Assumptions'!$B$21:$B$25)*(1+I185))-(('Assumptions'!$B$17*(1+G185)+'Assumptions'!$B$18)*(1-H185-'Assumptions'!$B$20)*'Assumptions'!$B$26)</x:f>
        <x:v>193353.50242136148</x:v>
      </x:c>
      <x:c r="M185" s="133" t="n">
        <x:f>'Assumptions'!$B$10*'Assumptions'!$B$33</x:f>
        <x:v>1950000</x:v>
      </x:c>
      <x:c r="N185" s="133" t="n">
        <x:f>-PMT(K185/12,'Assumptions'!$B$35*12,M185)*12</x:f>
        <x:v>149427.54847988108</x:v>
      </x:c>
      <x:c r="O185" s="133" t="n">
        <x:f>(L185*(1+'Assumptions'!$B$29)^('Assumptions'!$B$14/12)/J185)*(1-'Assumptions'!$B$42)-'Debt Schedule'!$F$9</x:f>
        <x:v>2942262.3178375275</x:v>
      </x:c>
      <x:c r="P185" s="132" t="n">
        <x:f>((O185+(L185-N185-'Assumptions'!$B$27-'Assumptions'!$B$28)*('Assumptions'!$B$14/12))/ABS('Monthly Cash Flow'!$S$5))^(1/('Assumptions'!$B$14/12))-1</x:f>
        <x:v>0.18003105099710237</x:v>
      </x:c>
      <x:c r="Q185" s="133" t="n">
        <x:f>-ABS('Monthly Cash Flow'!$S$5)+((L185-N185-'Assumptions'!$B$27-'Assumptions'!$B$28)*(1-(1+'Assumptions'!$B$43)^-('Assumptions'!$B$14/12))/'Assumptions'!$B$43)+(O185/(1+'Assumptions'!$B$43)^('Assumptions'!$B$14/12))</x:f>
        <x:v>547295.8654374443</x:v>
      </x:c>
    </x:row>
    <x:row r="186">
      <x:c r="A186" s="131" t="n">
        <x:f>179</x:f>
        <x:v>179</x:v>
      </x:c>
      <x:c r="B186" s="131" t="n">
        <x:f>MOD(ABS(SIN((A186+1)*12.9898+78.233)*43758.5453),1)</x:f>
        <x:v>0.776307419891964</x:v>
      </x:c>
      <x:c r="C186" s="131" t="n">
        <x:f>MOD(ABS(SIN((A186+2)*12.9898+78.233)*43758.5453),1)</x:f>
        <x:v>0.7148156518233009</x:v>
      </x:c>
      <x:c r="D186" s="131" t="n">
        <x:f>MOD(ABS(SIN((A186+3)*12.9898+78.233)*43758.5453),1)</x:f>
        <x:v>0.7498247582043405</x:v>
      </x:c>
      <x:c r="E186" s="131" t="n">
        <x:f>MOD(ABS(SIN((A186+4)*12.9898+78.233)*43758.5453),1)</x:f>
        <x:v>0.26198324244614923</x:v>
      </x:c>
      <x:c r="F186" s="131" t="n">
        <x:f>MOD(ABS(SIN((A186+5)*12.9898+78.233)*43758.5453),1)</x:f>
        <x:v>0.3374583623444778</x:v>
      </x:c>
      <x:c r="G186" s="132" t="n">
        <x:f>IF(B186&lt;(('Assumptions'!$C$47-'Assumptions'!$B$47)/('Assumptions'!$D$47-'Assumptions'!$B$47)),'Assumptions'!$B$47+SQRT(B186*('Assumptions'!$D$47-'Assumptions'!$B$47)*('Assumptions'!$C$47-'Assumptions'!$B$47)),'Assumptions'!$D$47-SQRT((1-B186)*('Assumptions'!$D$47-'Assumptions'!$B$47)*('Assumptions'!$D$47-'Assumptions'!$C$47)))</x:f>
        <x:v>0.04017457662725172</x:v>
      </x:c>
      <x:c r="H186" s="132" t="n">
        <x:f>IF(C186&lt;(('Assumptions'!$C$48-'Assumptions'!$B$48)/('Assumptions'!$D$48-'Assumptions'!$B$48)),'Assumptions'!$B$48+SQRT(C186*('Assumptions'!$D$48-'Assumptions'!$B$48)*('Assumptions'!$C$48-'Assumptions'!$B$48)),'Assumptions'!$D$48-SQRT((1-C186)*('Assumptions'!$D$48-'Assumptions'!$B$48)*('Assumptions'!$D$48-'Assumptions'!$C$48)))</x:f>
        <x:v>0.08990386977066042</x:v>
      </x:c>
      <x:c r="I186" s="132" t="n">
        <x:f>IF(D186&lt;(('Assumptions'!$C$49-'Assumptions'!$B$49)/('Assumptions'!$D$49-'Assumptions'!$B$49)),'Assumptions'!$B$49+SQRT(D186*('Assumptions'!$D$49-'Assumptions'!$B$49)*('Assumptions'!$C$49-'Assumptions'!$B$49)),'Assumptions'!$D$49-SQRT((1-D186)*('Assumptions'!$D$49-'Assumptions'!$B$49)*('Assumptions'!$D$49-'Assumptions'!$C$49)))</x:f>
        <x:v>0.07648955704944878</x:v>
      </x:c>
      <x:c r="J186" s="132" t="n">
        <x:f>IF(E186&lt;(('Assumptions'!$C$50-'Assumptions'!$B$50)/('Assumptions'!$D$50-'Assumptions'!$B$50)),'Assumptions'!$B$50+SQRT(E186*('Assumptions'!$D$50-'Assumptions'!$B$50)*('Assumptions'!$C$50-'Assumptions'!$B$50)),'Assumptions'!$D$50-SQRT((1-E186)*('Assumptions'!$D$50-'Assumptions'!$B$50)*('Assumptions'!$D$50-'Assumptions'!$C$50)))</x:f>
        <x:v>0.06517764479188662</x:v>
      </x:c>
      <x:c r="K186" s="132" t="n">
        <x:f>IF(F186&lt;(('Assumptions'!$C$51-'Assumptions'!$B$51)/('Assumptions'!$D$51-'Assumptions'!$B$51)),'Assumptions'!$B$51+SQRT(F186*('Assumptions'!$D$51-'Assumptions'!$B$51)*('Assumptions'!$C$51-'Assumptions'!$B$51)),'Assumptions'!$D$51-SQRT((1-F186)*('Assumptions'!$D$51-'Assumptions'!$B$51)*('Assumptions'!$D$51-'Assumptions'!$C$51)))</x:f>
        <x:v>0.06713333014303628</x:v>
      </x:c>
      <x:c r="L186" s="133" t="n">
        <x:f>(('Assumptions'!$B$17*(1+G186)+'Assumptions'!$B$18)*(1-H186-'Assumptions'!$B$20)-SUM('Assumptions'!$B$21:$B$25)*(1+I186))-(('Assumptions'!$B$17*(1+G186)+'Assumptions'!$B$18)*(1-H186-'Assumptions'!$B$20)*'Assumptions'!$B$26)</x:f>
        <x:v>203486.43456771364</x:v>
      </x:c>
      <x:c r="M186" s="133" t="n">
        <x:f>'Assumptions'!$B$10*'Assumptions'!$B$33</x:f>
        <x:v>1950000</x:v>
      </x:c>
      <x:c r="N186" s="133" t="n">
        <x:f>-PMT(K186/12,'Assumptions'!$B$35*12,M186)*12</x:f>
        <x:v>151202.05723720603</x:v>
      </x:c>
      <x:c r="O186" s="133" t="n">
        <x:f>(L186*(1+'Assumptions'!$B$29)^('Assumptions'!$B$14/12)/J186)*(1-'Assumptions'!$B$42)-'Debt Schedule'!$F$9</x:f>
        <x:v>3402128.9951509708</x:v>
      </x:c>
      <x:c r="P186" s="132" t="n">
        <x:f>((O186+(L186-N186-'Assumptions'!$B$27-'Assumptions'!$B$28)*('Assumptions'!$B$14/12))/ABS('Monthly Cash Flow'!$S$5))^(1/('Assumptions'!$B$14/12))-1</x:f>
        <x:v>0.21754186546853527</x:v>
      </x:c>
      <x:c r="Q186" s="133" t="n">
        <x:f>-ABS('Monthly Cash Flow'!$S$5)+((L186-N186-'Assumptions'!$B$27-'Assumptions'!$B$28)*(1-(1+'Assumptions'!$B$43)^-('Assumptions'!$B$14/12))/'Assumptions'!$B$43)+(O186/(1+'Assumptions'!$B$43)^('Assumptions'!$B$14/12))</x:f>
        <x:v>864521.8919419637</x:v>
      </x:c>
    </x:row>
    <x:row r="187">
      <x:c r="A187" s="131" t="n">
        <x:f>180</x:f>
        <x:v>180</x:v>
      </x:c>
      <x:c r="B187" s="131" t="n">
        <x:f>MOD(ABS(SIN((A187+1)*12.9898+78.233)*43758.5453),1)</x:f>
        <x:v>0.7148156518233009</x:v>
      </x:c>
      <x:c r="C187" s="131" t="n">
        <x:f>MOD(ABS(SIN((A187+2)*12.9898+78.233)*43758.5453),1)</x:f>
        <x:v>0.7498247582043405</x:v>
      </x:c>
      <x:c r="D187" s="131" t="n">
        <x:f>MOD(ABS(SIN((A187+3)*12.9898+78.233)*43758.5453),1)</x:f>
        <x:v>0.26198324244614923</x:v>
      </x:c>
      <x:c r="E187" s="131" t="n">
        <x:f>MOD(ABS(SIN((A187+4)*12.9898+78.233)*43758.5453),1)</x:f>
        <x:v>0.3374583623444778</x:v>
      </x:c>
      <x:c r="F187" s="131" t="n">
        <x:f>MOD(ABS(SIN((A187+5)*12.9898+78.233)*43758.5453),1)</x:f>
        <x:v>0.7527163858976564</x:v>
      </x:c>
      <x:c r="G187" s="132" t="n">
        <x:f>IF(B187&lt;(('Assumptions'!$C$47-'Assumptions'!$B$47)/('Assumptions'!$D$47-'Assumptions'!$B$47)),'Assumptions'!$B$47+SQRT(B187*('Assumptions'!$D$47-'Assumptions'!$B$47)*('Assumptions'!$C$47-'Assumptions'!$B$47)),'Assumptions'!$D$47-SQRT((1-B187)*('Assumptions'!$D$47-'Assumptions'!$B$47)*('Assumptions'!$D$47-'Assumptions'!$C$47)))</x:f>
        <x:v>0.032450391778877166</x:v>
      </x:c>
      <x:c r="H187" s="132" t="n">
        <x:f>IF(C187&lt;(('Assumptions'!$C$48-'Assumptions'!$B$48)/('Assumptions'!$D$48-'Assumptions'!$B$48)),'Assumptions'!$B$48+SQRT(C187*('Assumptions'!$D$48-'Assumptions'!$B$48)*('Assumptions'!$C$48-'Assumptions'!$B$48)),'Assumptions'!$D$48-SQRT((1-C187)*('Assumptions'!$D$48-'Assumptions'!$B$48)*('Assumptions'!$D$48-'Assumptions'!$C$48)))</x:f>
        <x:v>0.09307940614397764</x:v>
      </x:c>
      <x:c r="I187" s="132" t="n">
        <x:f>IF(D187&lt;(('Assumptions'!$C$49-'Assumptions'!$B$49)/('Assumptions'!$D$49-'Assumptions'!$B$49)),'Assumptions'!$B$49+SQRT(D187*('Assumptions'!$D$49-'Assumptions'!$B$49)*('Assumptions'!$C$49-'Assumptions'!$B$49)),'Assumptions'!$D$49-SQRT((1-D187)*('Assumptions'!$D$49-'Assumptions'!$B$49)*('Assumptions'!$D$49-'Assumptions'!$C$49)))</x:f>
        <x:v>0.023192283448056746</x:v>
      </x:c>
      <x:c r="J187" s="132" t="n">
        <x:f>IF(E187&lt;(('Assumptions'!$C$50-'Assumptions'!$B$50)/('Assumptions'!$D$50-'Assumptions'!$B$50)),'Assumptions'!$B$50+SQRT(E187*('Assumptions'!$D$50-'Assumptions'!$B$50)*('Assumptions'!$C$50-'Assumptions'!$B$50)),'Assumptions'!$D$50-SQRT((1-E187)*('Assumptions'!$D$50-'Assumptions'!$B$50)*('Assumptions'!$D$50-'Assumptions'!$C$50)))</x:f>
        <x:v>0.06621367497256511</x:v>
      </x:c>
      <x:c r="K187" s="132" t="n">
        <x:f>IF(F187&lt;(('Assumptions'!$C$51-'Assumptions'!$B$51)/('Assumptions'!$D$51-'Assumptions'!$B$51)),'Assumptions'!$B$51+SQRT(F187*('Assumptions'!$D$51-'Assumptions'!$B$51)*('Assumptions'!$C$51-'Assumptions'!$B$51)),'Assumptions'!$D$51-SQRT((1-F187)*('Assumptions'!$D$51-'Assumptions'!$B$51)*('Assumptions'!$D$51-'Assumptions'!$C$51)))</x:f>
        <x:v>0.07409104774569286</x:v>
      </x:c>
      <x:c r="L187" s="133" t="n">
        <x:f>(('Assumptions'!$B$17*(1+G187)+'Assumptions'!$B$18)*(1-H187-'Assumptions'!$B$20)-SUM('Assumptions'!$B$21:$B$25)*(1+I187))-(('Assumptions'!$B$17*(1+G187)+'Assumptions'!$B$18)*(1-H187-'Assumptions'!$B$20)*'Assumptions'!$B$26)</x:f>
        <x:v>206611.15214830133</x:v>
      </x:c>
      <x:c r="M187" s="133" t="n">
        <x:f>'Assumptions'!$B$10*'Assumptions'!$B$33</x:f>
        <x:v>1950000</x:v>
      </x:c>
      <x:c r="N187" s="133" t="n">
        <x:f>-PMT(K187/12,'Assumptions'!$B$35*12,M187)*12</x:f>
        <x:v>162162.23879960895</x:v>
      </x:c>
      <x:c r="O187" s="133" t="n">
        <x:f>(L187*(1+'Assumptions'!$B$29)^('Assumptions'!$B$14/12)/J187)*(1-'Assumptions'!$B$42)-'Debt Schedule'!$F$9</x:f>
        <x:v>3400321.9895476154</x:v>
      </x:c>
      <x:c r="P187" s="132" t="n">
        <x:f>((O187+(L187-N187-'Assumptions'!$B$27-'Assumptions'!$B$28)*('Assumptions'!$B$14/12))/ABS('Monthly Cash Flow'!$S$5))^(1/('Assumptions'!$B$14/12))-1</x:f>
        <x:v>0.21464668576411183</x:v>
      </x:c>
      <x:c r="Q187" s="133" t="n">
        <x:f>-ABS('Monthly Cash Flow'!$S$5)+((L187-N187-'Assumptions'!$B$27-'Assumptions'!$B$28)*(1-(1+'Assumptions'!$B$43)^-('Assumptions'!$B$14/12))/'Assumptions'!$B$43)+(O187/(1+'Assumptions'!$B$43)^('Assumptions'!$B$14/12))</x:f>
        <x:v>833697.3104375114</x:v>
      </x:c>
    </x:row>
    <x:row r="188">
      <x:c r="A188" s="131" t="n">
        <x:f>181</x:f>
        <x:v>181</x:v>
      </x:c>
      <x:c r="B188" s="131" t="n">
        <x:f>MOD(ABS(SIN((A188+1)*12.9898+78.233)*43758.5453),1)</x:f>
        <x:v>0.7498247582043405</x:v>
      </x:c>
      <x:c r="C188" s="131" t="n">
        <x:f>MOD(ABS(SIN((A188+2)*12.9898+78.233)*43758.5453),1)</x:f>
        <x:v>0.26198324244614923</x:v>
      </x:c>
      <x:c r="D188" s="131" t="n">
        <x:f>MOD(ABS(SIN((A188+3)*12.9898+78.233)*43758.5453),1)</x:f>
        <x:v>0.3374583623444778</x:v>
      </x:c>
      <x:c r="E188" s="131" t="n">
        <x:f>MOD(ABS(SIN((A188+4)*12.9898+78.233)*43758.5453),1)</x:f>
        <x:v>0.7527163858976564</x:v>
      </x:c>
      <x:c r="F188" s="131" t="n">
        <x:f>MOD(ABS(SIN((A188+5)*12.9898+78.233)*43758.5453),1)</x:f>
        <x:v>0.2135051974273665</x:v>
      </x:c>
      <x:c r="G188" s="132" t="n">
        <x:f>IF(B188&lt;(('Assumptions'!$C$47-'Assumptions'!$B$47)/('Assumptions'!$D$47-'Assumptions'!$B$47)),'Assumptions'!$B$47+SQRT(B188*('Assumptions'!$D$47-'Assumptions'!$B$47)*('Assumptions'!$C$47-'Assumptions'!$B$47)),'Assumptions'!$D$47-SQRT((1-B188)*('Assumptions'!$D$47-'Assumptions'!$B$47)*('Assumptions'!$D$47-'Assumptions'!$C$47)))</x:f>
        <x:v>0.036732284151152164</x:v>
      </x:c>
      <x:c r="H188" s="132" t="n">
        <x:f>IF(C188&lt;(('Assumptions'!$C$48-'Assumptions'!$B$48)/('Assumptions'!$D$48-'Assumptions'!$B$48)),'Assumptions'!$B$48+SQRT(C188*('Assumptions'!$D$48-'Assumptions'!$B$48)*('Assumptions'!$C$48-'Assumptions'!$B$48)),'Assumptions'!$D$48-SQRT((1-C188)*('Assumptions'!$D$48-'Assumptions'!$B$48)*('Assumptions'!$D$48-'Assumptions'!$C$48)))</x:f>
        <x:v>0.05940314098990604</x:v>
      </x:c>
      <x:c r="I188" s="132" t="n">
        <x:f>IF(D188&lt;(('Assumptions'!$C$49-'Assumptions'!$B$49)/('Assumptions'!$D$49-'Assumptions'!$B$49)),'Assumptions'!$B$49+SQRT(D188*('Assumptions'!$D$49-'Assumptions'!$B$49)*('Assumptions'!$C$49-'Assumptions'!$B$49)),'Assumptions'!$D$49-SQRT((1-D188)*('Assumptions'!$D$49-'Assumptions'!$B$49)*('Assumptions'!$D$49-'Assumptions'!$C$49)))</x:f>
        <x:v>0.030371828680033394</x:v>
      </x:c>
      <x:c r="J188" s="132" t="n">
        <x:f>IF(E188&lt;(('Assumptions'!$C$50-'Assumptions'!$B$50)/('Assumptions'!$D$50-'Assumptions'!$B$50)),'Assumptions'!$B$50+SQRT(E188*('Assumptions'!$D$50-'Assumptions'!$B$50)*('Assumptions'!$C$50-'Assumptions'!$B$50)),'Assumptions'!$D$50-SQRT((1-E188)*('Assumptions'!$D$50-'Assumptions'!$B$50)*('Assumptions'!$D$50-'Assumptions'!$C$50)))</x:f>
        <x:v>0.07166042468309783</x:v>
      </x:c>
      <x:c r="K188" s="132" t="n">
        <x:f>IF(F188&lt;(('Assumptions'!$C$51-'Assumptions'!$B$51)/('Assumptions'!$D$51-'Assumptions'!$B$51)),'Assumptions'!$B$51+SQRT(F188*('Assumptions'!$D$51-'Assumptions'!$B$51)*('Assumptions'!$C$51-'Assumptions'!$B$51)),'Assumptions'!$D$51-SQRT((1-F188)*('Assumptions'!$D$51-'Assumptions'!$B$51)*('Assumptions'!$D$51-'Assumptions'!$C$51)))</x:f>
        <x:v>0.06516250150359044</x:v>
      </x:c>
      <x:c r="L188" s="133" t="n">
        <x:f>(('Assumptions'!$B$17*(1+G188)+'Assumptions'!$B$18)*(1-H188-'Assumptions'!$B$20)-SUM('Assumptions'!$B$21:$B$25)*(1+I188))-(('Assumptions'!$B$17*(1+G188)+'Assumptions'!$B$18)*(1-H188-'Assumptions'!$B$20)*'Assumptions'!$B$26)</x:f>
        <x:v>219681.7647009402</x:v>
      </x:c>
      <x:c r="M188" s="133" t="n">
        <x:f>'Assumptions'!$B$10*'Assumptions'!$B$33</x:f>
        <x:v>1950000</x:v>
      </x:c>
      <x:c r="N188" s="133" t="n">
        <x:f>-PMT(K188/12,'Assumptions'!$B$35*12,M188)*12</x:f>
        <x:v>148154.08004010457</x:v>
      </x:c>
      <x:c r="O188" s="133" t="n">
        <x:f>(L188*(1+'Assumptions'!$B$29)^('Assumptions'!$B$14/12)/J188)*(1-'Assumptions'!$B$42)-'Debt Schedule'!$F$9</x:f>
        <x:v>3340631.778391908</x:v>
      </x:c>
      <x:c r="P188" s="132" t="n">
        <x:f>((O188+(L188-N188-'Assumptions'!$B$27-'Assumptions'!$B$28)*('Assumptions'!$B$14/12))/ABS('Monthly Cash Flow'!$S$5))^(1/('Assumptions'!$B$14/12))-1</x:f>
        <x:v>0.21997311254605</x:v>
      </x:c>
      <x:c r="Q188" s="133" t="n">
        <x:f>-ABS('Monthly Cash Flow'!$S$5)+((L188-N188-'Assumptions'!$B$27-'Assumptions'!$B$28)*(1-(1+'Assumptions'!$B$43)^-('Assumptions'!$B$14/12))/'Assumptions'!$B$43)+(O188/(1+'Assumptions'!$B$43)^('Assumptions'!$B$14/12))</x:f>
        <x:v>899284.2335749387</x:v>
      </x:c>
    </x:row>
    <x:row r="189">
      <x:c r="A189" s="131" t="n">
        <x:f>182</x:f>
        <x:v>182</x:v>
      </x:c>
      <x:c r="B189" s="131" t="n">
        <x:f>MOD(ABS(SIN((A189+1)*12.9898+78.233)*43758.5453),1)</x:f>
        <x:v>0.26198324244614923</x:v>
      </x:c>
      <x:c r="C189" s="131" t="n">
        <x:f>MOD(ABS(SIN((A189+2)*12.9898+78.233)*43758.5453),1)</x:f>
        <x:v>0.3374583623444778</x:v>
      </x:c>
      <x:c r="D189" s="131" t="n">
        <x:f>MOD(ABS(SIN((A189+3)*12.9898+78.233)*43758.5453),1)</x:f>
        <x:v>0.7527163858976564</x:v>
      </x:c>
      <x:c r="E189" s="131" t="n">
        <x:f>MOD(ABS(SIN((A189+4)*12.9898+78.233)*43758.5453),1)</x:f>
        <x:v>0.2135051974273665</x:v>
      </x:c>
      <x:c r="F189" s="131" t="n">
        <x:f>MOD(ABS(SIN((A189+5)*12.9898+78.233)*43758.5453),1)</x:f>
        <x:v>0.5095896445491235</x:v>
      </x:c>
      <x:c r="G189" s="132" t="n">
        <x:f>IF(B189&lt;(('Assumptions'!$C$47-'Assumptions'!$B$47)/('Assumptions'!$D$47-'Assumptions'!$B$47)),'Assumptions'!$B$47+SQRT(B189*('Assumptions'!$D$47-'Assumptions'!$B$47)*('Assumptions'!$C$47-'Assumptions'!$B$47)),'Assumptions'!$D$47-SQRT((1-B189)*('Assumptions'!$D$47-'Assumptions'!$B$47)*('Assumptions'!$D$47-'Assumptions'!$C$47)))</x:f>
        <x:v>-0.02070562555447214</x:v>
      </x:c>
      <x:c r="H189" s="132" t="n">
        <x:f>IF(C189&lt;(('Assumptions'!$C$48-'Assumptions'!$B$48)/('Assumptions'!$D$48-'Assumptions'!$B$48)),'Assumptions'!$B$48+SQRT(C189*('Assumptions'!$D$48-'Assumptions'!$B$48)*('Assumptions'!$C$48-'Assumptions'!$B$48)),'Assumptions'!$D$48-SQRT((1-C189)*('Assumptions'!$D$48-'Assumptions'!$B$48)*('Assumptions'!$D$48-'Assumptions'!$C$48)))</x:f>
        <x:v>0.06364316395129645</x:v>
      </x:c>
      <x:c r="I189" s="132" t="n">
        <x:f>IF(D189&lt;(('Assumptions'!$C$49-'Assumptions'!$B$49)/('Assumptions'!$D$49-'Assumptions'!$B$49)),'Assumptions'!$B$49+SQRT(D189*('Assumptions'!$D$49-'Assumptions'!$B$49)*('Assumptions'!$C$49-'Assumptions'!$B$49)),'Assumptions'!$D$49-SQRT((1-D189)*('Assumptions'!$D$49-'Assumptions'!$B$49)*('Assumptions'!$D$49-'Assumptions'!$C$49)))</x:f>
        <x:v>0.0769156236627101</x:v>
      </x:c>
      <x:c r="J189" s="132" t="n">
        <x:f>IF(E189&lt;(('Assumptions'!$C$50-'Assumptions'!$B$50)/('Assumptions'!$D$50-'Assumptions'!$B$50)),'Assumptions'!$B$50+SQRT(E189*('Assumptions'!$D$50-'Assumptions'!$B$50)*('Assumptions'!$C$50-'Assumptions'!$B$50)),'Assumptions'!$D$50-SQRT((1-E189)*('Assumptions'!$D$50-'Assumptions'!$B$50)*('Assumptions'!$D$50-'Assumptions'!$C$50)))</x:f>
        <x:v>0.06443099339353008</x:v>
      </x:c>
      <x:c r="K189" s="132" t="n">
        <x:f>IF(F189&lt;(('Assumptions'!$C$51-'Assumptions'!$B$51)/('Assumptions'!$D$51-'Assumptions'!$B$51)),'Assumptions'!$B$51+SQRT(F189*('Assumptions'!$D$51-'Assumptions'!$B$51)*('Assumptions'!$C$51-'Assumptions'!$B$51)),'Assumptions'!$D$51-SQRT((1-F189)*('Assumptions'!$D$51-'Assumptions'!$B$51)*('Assumptions'!$D$51-'Assumptions'!$C$51)))</x:f>
        <x:v>0.06963738357047426</x:v>
      </x:c>
      <x:c r="L189" s="133" t="n">
        <x:f>(('Assumptions'!$B$17*(1+G189)+'Assumptions'!$B$18)*(1-H189-'Assumptions'!$B$20)-SUM('Assumptions'!$B$21:$B$25)*(1+I189))-(('Assumptions'!$B$17*(1+G189)+'Assumptions'!$B$18)*(1-H189-'Assumptions'!$B$20)*'Assumptions'!$B$26)</x:f>
        <x:v>193836.1163721036</x:v>
      </x:c>
      <x:c r="M189" s="133" t="n">
        <x:f>'Assumptions'!$B$10*'Assumptions'!$B$33</x:f>
        <x:v>1950000</x:v>
      </x:c>
      <x:c r="N189" s="133" t="n">
        <x:f>-PMT(K189/12,'Assumptions'!$B$35*12,M189)*12</x:f>
        <x:v>155111.33659633575</x:v>
      </x:c>
      <x:c r="O189" s="133" t="n">
        <x:f>(L189*(1+'Assumptions'!$B$29)^('Assumptions'!$B$14/12)/J189)*(1-'Assumptions'!$B$42)-'Debt Schedule'!$F$9</x:f>
        <x:v>3278338.920225269</x:v>
      </x:c>
      <x:c r="P189" s="132" t="n">
        <x:f>((O189+(L189-N189-'Assumptions'!$B$27-'Assumptions'!$B$28)*('Assumptions'!$B$14/12))/ABS('Monthly Cash Flow'!$S$5))^(1/('Assumptions'!$B$14/12))-1</x:f>
        <x:v>0.20376375038502026</x:v>
      </x:c>
      <x:c r="Q189" s="133" t="n">
        <x:f>-ABS('Monthly Cash Flow'!$S$5)+((L189-N189-'Assumptions'!$B$27-'Assumptions'!$B$28)*(1-(1+'Assumptions'!$B$43)^-('Assumptions'!$B$14/12))/'Assumptions'!$B$43)+(O189/(1+'Assumptions'!$B$43)^('Assumptions'!$B$14/12))</x:f>
        <x:v>736256.4518284942</x:v>
      </x:c>
    </x:row>
    <x:row r="190">
      <x:c r="A190" s="131" t="n">
        <x:f>183</x:f>
        <x:v>183</x:v>
      </x:c>
      <x:c r="B190" s="131" t="n">
        <x:f>MOD(ABS(SIN((A190+1)*12.9898+78.233)*43758.5453),1)</x:f>
        <x:v>0.3374583623444778</x:v>
      </x:c>
      <x:c r="C190" s="131" t="n">
        <x:f>MOD(ABS(SIN((A190+2)*12.9898+78.233)*43758.5453),1)</x:f>
        <x:v>0.7527163858976564</x:v>
      </x:c>
      <x:c r="D190" s="131" t="n">
        <x:f>MOD(ABS(SIN((A190+3)*12.9898+78.233)*43758.5453),1)</x:f>
        <x:v>0.2135051974273665</x:v>
      </x:c>
      <x:c r="E190" s="131" t="n">
        <x:f>MOD(ABS(SIN((A190+4)*12.9898+78.233)*43758.5453),1)</x:f>
        <x:v>0.5095896445491235</x:v>
      </x:c>
      <x:c r="F190" s="131" t="n">
        <x:f>MOD(ABS(SIN((A190+5)*12.9898+78.233)*43758.5453),1)</x:f>
        <x:v>0.622235427810665</x:v>
      </x:c>
      <x:c r="G190" s="132" t="n">
        <x:f>IF(B190&lt;(('Assumptions'!$C$47-'Assumptions'!$B$47)/('Assumptions'!$D$47-'Assumptions'!$B$47)),'Assumptions'!$B$47+SQRT(B190*('Assumptions'!$D$47-'Assumptions'!$B$47)*('Assumptions'!$C$47-'Assumptions'!$B$47)),'Assumptions'!$D$47-SQRT((1-B190)*('Assumptions'!$D$47-'Assumptions'!$B$47)*('Assumptions'!$D$47-'Assumptions'!$C$47)))</x:f>
        <x:v>-0.010005551858642603</x:v>
      </x:c>
      <x:c r="H190" s="132" t="n">
        <x:f>IF(C190&lt;(('Assumptions'!$C$48-'Assumptions'!$B$48)/('Assumptions'!$D$48-'Assumptions'!$B$48)),'Assumptions'!$B$48+SQRT(C190*('Assumptions'!$D$48-'Assumptions'!$B$48)*('Assumptions'!$C$48-'Assumptions'!$B$48)),'Assumptions'!$D$48-SQRT((1-C190)*('Assumptions'!$D$48-'Assumptions'!$B$48)*('Assumptions'!$D$48-'Assumptions'!$C$48)))</x:f>
        <x:v>0.09335135796080851</x:v>
      </x:c>
      <x:c r="I190" s="132" t="n">
        <x:f>IF(D190&lt;(('Assumptions'!$C$49-'Assumptions'!$B$49)/('Assumptions'!$D$49-'Assumptions'!$B$49)),'Assumptions'!$B$49+SQRT(D190*('Assumptions'!$D$49-'Assumptions'!$B$49)*('Assumptions'!$C$49-'Assumptions'!$B$49)),'Assumptions'!$D$49-SQRT((1-D190)*('Assumptions'!$D$49-'Assumptions'!$B$49)*('Assumptions'!$D$49-'Assumptions'!$C$49)))</x:f>
        <x:v>0.01801933081807324</x:v>
      </x:c>
      <x:c r="J190" s="132" t="n">
        <x:f>IF(E190&lt;(('Assumptions'!$C$50-'Assumptions'!$B$50)/('Assumptions'!$D$50-'Assumptions'!$B$50)),'Assumptions'!$B$50+SQRT(E190*('Assumptions'!$D$50-'Assumptions'!$B$50)*('Assumptions'!$C$50-'Assumptions'!$B$50)),'Assumptions'!$D$50-SQRT((1-E190)*('Assumptions'!$D$50-'Assumptions'!$B$50)*('Assumptions'!$D$50-'Assumptions'!$C$50)))</x:f>
        <x:v>0.06825572852533802</x:v>
      </x:c>
      <x:c r="K190" s="132" t="n">
        <x:f>IF(F190&lt;(('Assumptions'!$C$51-'Assumptions'!$B$51)/('Assumptions'!$D$51-'Assumptions'!$B$51)),'Assumptions'!$B$51+SQRT(F190*('Assumptions'!$D$51-'Assumptions'!$B$51)*('Assumptions'!$C$51-'Assumptions'!$B$51)),'Assumptions'!$D$51-SQRT((1-F190)*('Assumptions'!$D$51-'Assumptions'!$B$51)*('Assumptions'!$D$51-'Assumptions'!$C$51)))</x:f>
        <x:v>0.07151670662018669</x:v>
      </x:c>
      <x:c r="L190" s="133" t="n">
        <x:f>(('Assumptions'!$B$17*(1+G190)+'Assumptions'!$B$18)*(1-H190-'Assumptions'!$B$20)-SUM('Assumptions'!$B$21:$B$25)*(1+I190))-(('Assumptions'!$B$17*(1+G190)+'Assumptions'!$B$18)*(1-H190-'Assumptions'!$B$20)*'Assumptions'!$B$26)</x:f>
        <x:v>194004.8854134304</x:v>
      </x:c>
      <x:c r="M190" s="133" t="n">
        <x:f>'Assumptions'!$B$10*'Assumptions'!$B$33</x:f>
        <x:v>1950000</x:v>
      </x:c>
      <x:c r="N190" s="133" t="n">
        <x:f>-PMT(K190/12,'Assumptions'!$B$35*12,M190)*12</x:f>
        <x:v>158071.5943964767</x:v>
      </x:c>
      <x:c r="O190" s="133" t="n">
        <x:f>(L190*(1+'Assumptions'!$B$29)^('Assumptions'!$B$14/12)/J190)*(1-'Assumptions'!$B$42)-'Debt Schedule'!$F$9</x:f>
        <x:v>3097330.414281813</x:v>
      </x:c>
      <x:c r="P190" s="132" t="n">
        <x:f>((O190+(L190-N190-'Assumptions'!$B$27-'Assumptions'!$B$28)*('Assumptions'!$B$14/12))/ABS('Monthly Cash Flow'!$S$5))^(1/('Assumptions'!$B$14/12))-1</x:f>
        <x:v>0.18906336829172488</x:v>
      </x:c>
      <x:c r="Q190" s="133" t="n">
        <x:f>-ABS('Monthly Cash Flow'!$S$5)+((L190-N190-'Assumptions'!$B$27-'Assumptions'!$B$28)*(1-(1+'Assumptions'!$B$43)^-('Assumptions'!$B$14/12))/'Assumptions'!$B$43)+(O190/(1+'Assumptions'!$B$43)^('Assumptions'!$B$14/12))</x:f>
        <x:v>613282.4721792575</x:v>
      </x:c>
    </x:row>
    <x:row r="191">
      <x:c r="A191" s="131" t="n">
        <x:f>184</x:f>
        <x:v>184</x:v>
      </x:c>
      <x:c r="B191" s="131" t="n">
        <x:f>MOD(ABS(SIN((A191+1)*12.9898+78.233)*43758.5453),1)</x:f>
        <x:v>0.7527163858976564</x:v>
      </x:c>
      <x:c r="C191" s="131" t="n">
        <x:f>MOD(ABS(SIN((A191+2)*12.9898+78.233)*43758.5453),1)</x:f>
        <x:v>0.2135051974273665</x:v>
      </x:c>
      <x:c r="D191" s="131" t="n">
        <x:f>MOD(ABS(SIN((A191+3)*12.9898+78.233)*43758.5453),1)</x:f>
        <x:v>0.5095896445491235</x:v>
      </x:c>
      <x:c r="E191" s="131" t="n">
        <x:f>MOD(ABS(SIN((A191+4)*12.9898+78.233)*43758.5453),1)</x:f>
        <x:v>0.622235427810665</x:v>
      </x:c>
      <x:c r="F191" s="131" t="n">
        <x:f>MOD(ABS(SIN((A191+5)*12.9898+78.233)*43758.5453),1)</x:f>
        <x:v>0.7238174074300332</x:v>
      </x:c>
      <x:c r="G191" s="132" t="n">
        <x:f>IF(B191&lt;(('Assumptions'!$C$47-'Assumptions'!$B$47)/('Assumptions'!$D$47-'Assumptions'!$B$47)),'Assumptions'!$B$47+SQRT(B191*('Assumptions'!$D$47-'Assumptions'!$B$47)*('Assumptions'!$C$47-'Assumptions'!$B$47)),'Assumptions'!$D$47-SQRT((1-B191)*('Assumptions'!$D$47-'Assumptions'!$B$47)*('Assumptions'!$D$47-'Assumptions'!$C$47)))</x:f>
        <x:v>0.03709898390616018</x:v>
      </x:c>
      <x:c r="H191" s="132" t="n">
        <x:f>IF(C191&lt;(('Assumptions'!$C$48-'Assumptions'!$B$48)/('Assumptions'!$D$48-'Assumptions'!$B$48)),'Assumptions'!$B$48+SQRT(C191*('Assumptions'!$D$48-'Assumptions'!$B$48)*('Assumptions'!$C$48-'Assumptions'!$B$48)),'Assumptions'!$D$48-SQRT((1-C191)*('Assumptions'!$D$48-'Assumptions'!$B$48)*('Assumptions'!$D$48-'Assumptions'!$C$48)))</x:f>
        <x:v>0.05654368383458312</x:v>
      </x:c>
      <x:c r="I191" s="132" t="n">
        <x:f>IF(D191&lt;(('Assumptions'!$C$49-'Assumptions'!$B$49)/('Assumptions'!$D$49-'Assumptions'!$B$49)),'Assumptions'!$B$49+SQRT(D191*('Assumptions'!$D$49-'Assumptions'!$B$49)*('Assumptions'!$C$49-'Assumptions'!$B$49)),'Assumptions'!$D$49-SQRT((1-D191)*('Assumptions'!$D$49-'Assumptions'!$B$49)*('Assumptions'!$D$49-'Assumptions'!$C$49)))</x:f>
        <x:v>0.04707836146981077</x:v>
      </x:c>
      <x:c r="J191" s="132" t="n">
        <x:f>IF(E191&lt;(('Assumptions'!$C$50-'Assumptions'!$B$50)/('Assumptions'!$D$50-'Assumptions'!$B$50)),'Assumptions'!$B$50+SQRT(E191*('Assumptions'!$D$50-'Assumptions'!$B$50)*('Assumptions'!$C$50-'Assumptions'!$B$50)),'Assumptions'!$D$50-SQRT((1-E191)*('Assumptions'!$D$50-'Assumptions'!$B$50)*('Assumptions'!$D$50-'Assumptions'!$C$50)))</x:f>
        <x:v>0.06969241609647292</x:v>
      </x:c>
      <x:c r="K191" s="132" t="n">
        <x:f>IF(F191&lt;(('Assumptions'!$C$51-'Assumptions'!$B$51)/('Assumptions'!$D$51-'Assumptions'!$B$51)),'Assumptions'!$B$51+SQRT(F191*('Assumptions'!$D$51-'Assumptions'!$B$51)*('Assumptions'!$C$51-'Assumptions'!$B$51)),'Assumptions'!$D$51-SQRT((1-F191)*('Assumptions'!$D$51-'Assumptions'!$B$51)*('Assumptions'!$D$51-'Assumptions'!$C$51)))</x:f>
        <x:v>0.07347121547281343</x:v>
      </x:c>
      <x:c r="L191" s="133" t="n">
        <x:f>(('Assumptions'!$B$17*(1+G191)+'Assumptions'!$B$18)*(1-H191-'Assumptions'!$B$20)-SUM('Assumptions'!$B$21:$B$25)*(1+I191))-(('Assumptions'!$B$17*(1+G191)+'Assumptions'!$B$18)*(1-H191-'Assumptions'!$B$20)*'Assumptions'!$B$26)</x:f>
        <x:v>218768.9795268516</x:v>
      </x:c>
      <x:c r="M191" s="133" t="n">
        <x:f>'Assumptions'!$B$10*'Assumptions'!$B$33</x:f>
        <x:v>1950000</x:v>
      </x:c>
      <x:c r="N191" s="133" t="n">
        <x:f>-PMT(K191/12,'Assumptions'!$B$35*12,M191)*12</x:f>
        <x:v>161173.6156153691</x:v>
      </x:c>
      <x:c r="O191" s="133" t="n">
        <x:f>(L191*(1+'Assumptions'!$B$29)^('Assumptions'!$B$14/12)/J191)*(1-'Assumptions'!$B$42)-'Debt Schedule'!$F$9</x:f>
        <x:v>3420693.7742400756</x:v>
      </x:c>
      <x:c r="P191" s="132" t="n">
        <x:f>((O191+(L191-N191-'Assumptions'!$B$27-'Assumptions'!$B$28)*('Assumptions'!$B$14/12))/ABS('Monthly Cash Flow'!$S$5))^(1/('Assumptions'!$B$14/12))-1</x:f>
        <x:v>0.22069764987428786</x:v>
      </x:c>
      <x:c r="Q191" s="133" t="n">
        <x:f>-ABS('Monthly Cash Flow'!$S$5)+((L191-N191-'Assumptions'!$B$27-'Assumptions'!$B$28)*(1-(1+'Assumptions'!$B$43)^-('Assumptions'!$B$14/12))/'Assumptions'!$B$43)+(O191/(1+'Assumptions'!$B$43)^('Assumptions'!$B$14/12))</x:f>
        <x:v>896181.9767999367</x:v>
      </x:c>
    </x:row>
    <x:row r="192">
      <x:c r="A192" s="131" t="n">
        <x:f>185</x:f>
        <x:v>185</x:v>
      </x:c>
      <x:c r="B192" s="131" t="n">
        <x:f>MOD(ABS(SIN((A192+1)*12.9898+78.233)*43758.5453),1)</x:f>
        <x:v>0.2135051974273665</x:v>
      </x:c>
      <x:c r="C192" s="131" t="n">
        <x:f>MOD(ABS(SIN((A192+2)*12.9898+78.233)*43758.5453),1)</x:f>
        <x:v>0.5095896445491235</x:v>
      </x:c>
      <x:c r="D192" s="131" t="n">
        <x:f>MOD(ABS(SIN((A192+3)*12.9898+78.233)*43758.5453),1)</x:f>
        <x:v>0.622235427810665</x:v>
      </x:c>
      <x:c r="E192" s="131" t="n">
        <x:f>MOD(ABS(SIN((A192+4)*12.9898+78.233)*43758.5453),1)</x:f>
        <x:v>0.7238174074300332</x:v>
      </x:c>
      <x:c r="F192" s="131" t="n">
        <x:f>MOD(ABS(SIN((A192+5)*12.9898+78.233)*43758.5453),1)</x:f>
        <x:v>0.02530635588482255</x:v>
      </x:c>
      <x:c r="G192" s="132" t="n">
        <x:f>IF(B192&lt;(('Assumptions'!$C$47-'Assumptions'!$B$47)/('Assumptions'!$D$47-'Assumptions'!$B$47)),'Assumptions'!$B$47+SQRT(B192*('Assumptions'!$D$47-'Assumptions'!$B$47)*('Assumptions'!$C$47-'Assumptions'!$B$47)),'Assumptions'!$D$47-SQRT((1-B192)*('Assumptions'!$D$47-'Assumptions'!$B$47)*('Assumptions'!$D$47-'Assumptions'!$C$47)))</x:f>
        <x:v>-0.028417008037825098</x:v>
      </x:c>
      <x:c r="H192" s="132" t="n">
        <x:f>IF(C192&lt;(('Assumptions'!$C$48-'Assumptions'!$B$48)/('Assumptions'!$D$48-'Assumptions'!$B$48)),'Assumptions'!$B$48+SQRT(C192*('Assumptions'!$D$48-'Assumptions'!$B$48)*('Assumptions'!$C$48-'Assumptions'!$B$48)),'Assumptions'!$D$48-SQRT((1-C192)*('Assumptions'!$D$48-'Assumptions'!$B$48)*('Assumptions'!$D$48-'Assumptions'!$C$48)))</x:f>
        <x:v>0.07430668886433175</x:v>
      </x:c>
      <x:c r="I192" s="132" t="n">
        <x:f>IF(D192&lt;(('Assumptions'!$C$49-'Assumptions'!$B$49)/('Assumptions'!$D$49-'Assumptions'!$B$49)),'Assumptions'!$B$49+SQRT(D192*('Assumptions'!$D$49-'Assumptions'!$B$49)*('Assumptions'!$C$49-'Assumptions'!$B$49)),'Assumptions'!$D$49-SQRT((1-D192)*('Assumptions'!$D$49-'Assumptions'!$B$49)*('Assumptions'!$D$49-'Assumptions'!$C$49)))</x:f>
        <x:v>0.05966886052257707</x:v>
      </x:c>
      <x:c r="J192" s="132" t="n">
        <x:f>IF(E192&lt;(('Assumptions'!$C$50-'Assumptions'!$B$50)/('Assumptions'!$D$50-'Assumptions'!$B$50)),'Assumptions'!$B$50+SQRT(E192*('Assumptions'!$D$50-'Assumptions'!$B$50)*('Assumptions'!$C$50-'Assumptions'!$B$50)),'Assumptions'!$D$50-SQRT((1-E192)*('Assumptions'!$D$50-'Assumptions'!$B$50)*('Assumptions'!$D$50-'Assumptions'!$C$50)))</x:f>
        <x:v>0.07118658101754471</x:v>
      </x:c>
      <x:c r="K192" s="132" t="n">
        <x:f>IF(F192&lt;(('Assumptions'!$C$51-'Assumptions'!$B$51)/('Assumptions'!$D$51-'Assumptions'!$B$51)),'Assumptions'!$B$51+SQRT(F192*('Assumptions'!$D$51-'Assumptions'!$B$51)*('Assumptions'!$C$51-'Assumptions'!$B$51)),'Assumptions'!$D$51-SQRT((1-F192)*('Assumptions'!$D$51-'Assumptions'!$B$51)*('Assumptions'!$D$51-'Assumptions'!$C$51)))</x:f>
        <x:v>0.060138038640415684</x:v>
      </x:c>
      <x:c r="L192" s="133" t="n">
        <x:f>(('Assumptions'!$B$17*(1+G192)+'Assumptions'!$B$18)*(1-H192-'Assumptions'!$B$20)-SUM('Assumptions'!$B$21:$B$25)*(1+I192))-(('Assumptions'!$B$17*(1+G192)+'Assumptions'!$B$18)*(1-H192-'Assumptions'!$B$20)*'Assumptions'!$B$26)</x:f>
        <x:v>189775.56341751682</x:v>
      </x:c>
      <x:c r="M192" s="133" t="n">
        <x:f>'Assumptions'!$B$10*'Assumptions'!$B$33</x:f>
        <x:v>1950000</x:v>
      </x:c>
      <x:c r="N192" s="133" t="n">
        <x:f>-PMT(K192/12,'Assumptions'!$B$35*12,M192)*12</x:f>
        <x:v>140502.5598476464</x:v>
      </x:c>
      <x:c r="O192" s="133" t="n">
        <x:f>(L192*(1+'Assumptions'!$B$29)^('Assumptions'!$B$14/12)/J192)*(1-'Assumptions'!$B$42)-'Debt Schedule'!$F$9</x:f>
        <x:v>2905066.856888351</x:v>
      </x:c>
      <x:c r="P192" s="132" t="n">
        <x:f>((O192+(L192-N192-'Assumptions'!$B$27-'Assumptions'!$B$28)*('Assumptions'!$B$14/12))/ABS('Monthly Cash Flow'!$S$5))^(1/('Assumptions'!$B$14/12))-1</x:f>
        <x:v>0.1791963919802131</x:v>
      </x:c>
      <x:c r="Q192" s="133" t="n">
        <x:f>-ABS('Monthly Cash Flow'!$S$5)+((L192-N192-'Assumptions'!$B$27-'Assumptions'!$B$28)*(1-(1+'Assumptions'!$B$43)^-('Assumptions'!$B$14/12))/'Assumptions'!$B$43)+(O192/(1+'Assumptions'!$B$43)^('Assumptions'!$B$14/12))</x:f>
        <x:v>544469.9355997578</x:v>
      </x:c>
    </x:row>
    <x:row r="193">
      <x:c r="A193" s="131" t="n">
        <x:f>186</x:f>
        <x:v>186</x:v>
      </x:c>
      <x:c r="B193" s="131" t="n">
        <x:f>MOD(ABS(SIN((A193+1)*12.9898+78.233)*43758.5453),1)</x:f>
        <x:v>0.5095896445491235</x:v>
      </x:c>
      <x:c r="C193" s="131" t="n">
        <x:f>MOD(ABS(SIN((A193+2)*12.9898+78.233)*43758.5453),1)</x:f>
        <x:v>0.622235427810665</x:v>
      </x:c>
      <x:c r="D193" s="131" t="n">
        <x:f>MOD(ABS(SIN((A193+3)*12.9898+78.233)*43758.5453),1)</x:f>
        <x:v>0.7238174074300332</x:v>
      </x:c>
      <x:c r="E193" s="131" t="n">
        <x:f>MOD(ABS(SIN((A193+4)*12.9898+78.233)*43758.5453),1)</x:f>
        <x:v>0.02530635588482255</x:v>
      </x:c>
      <x:c r="F193" s="131" t="n">
        <x:f>MOD(ABS(SIN((A193+5)*12.9898+78.233)*43758.5453),1)</x:f>
        <x:v>0.7805481829709606</x:v>
      </x:c>
      <x:c r="G193" s="132" t="n">
        <x:f>IF(B193&lt;(('Assumptions'!$C$47-'Assumptions'!$B$47)/('Assumptions'!$D$47-'Assumptions'!$B$47)),'Assumptions'!$B$47+SQRT(B193*('Assumptions'!$D$47-'Assumptions'!$B$47)*('Assumptions'!$C$47-'Assumptions'!$B$47)),'Assumptions'!$D$47-SQRT((1-B193)*('Assumptions'!$D$47-'Assumptions'!$B$47)*('Assumptions'!$D$47-'Assumptions'!$C$47)))</x:f>
        <x:v>0.010590015232745872</x:v>
      </x:c>
      <x:c r="H193" s="132" t="n">
        <x:f>IF(C193&lt;(('Assumptions'!$C$48-'Assumptions'!$B$48)/('Assumptions'!$D$48-'Assumptions'!$B$48)),'Assumptions'!$B$48+SQRT(C193*('Assumptions'!$D$48-'Assumptions'!$B$48)*('Assumptions'!$C$48-'Assumptions'!$B$48)),'Assumptions'!$D$48-SQRT((1-C193)*('Assumptions'!$D$48-'Assumptions'!$B$48)*('Assumptions'!$D$48-'Assumptions'!$C$48)))</x:f>
        <x:v>0.0823430122598644</x:v>
      </x:c>
      <x:c r="I193" s="132" t="n">
        <x:f>IF(D193&lt;(('Assumptions'!$C$49-'Assumptions'!$B$49)/('Assumptions'!$D$49-'Assumptions'!$B$49)),'Assumptions'!$B$49+SQRT(D193*('Assumptions'!$D$49-'Assumptions'!$B$49)*('Assumptions'!$C$49-'Assumptions'!$B$49)),'Assumptions'!$D$49-SQRT((1-D193)*('Assumptions'!$D$49-'Assumptions'!$B$49)*('Assumptions'!$D$49-'Assumptions'!$C$49)))</x:f>
        <x:v>0.0727630658330402</x:v>
      </x:c>
      <x:c r="J193" s="132" t="n">
        <x:f>IF(E193&lt;(('Assumptions'!$C$50-'Assumptions'!$B$50)/('Assumptions'!$D$50-'Assumptions'!$B$50)),'Assumptions'!$B$50+SQRT(E193*('Assumptions'!$D$50-'Assumptions'!$B$50)*('Assumptions'!$C$50-'Assumptions'!$B$50)),'Assumptions'!$D$50-SQRT((1-E193)*('Assumptions'!$D$50-'Assumptions'!$B$50)*('Assumptions'!$D$50-'Assumptions'!$C$50)))</x:f>
        <x:v>0.05988619573255948</x:v>
      </x:c>
      <x:c r="K193" s="132" t="n">
        <x:f>IF(F193&lt;(('Assumptions'!$C$51-'Assumptions'!$B$51)/('Assumptions'!$D$51-'Assumptions'!$B$51)),'Assumptions'!$B$51+SQRT(F193*('Assumptions'!$D$51-'Assumptions'!$B$51)*('Assumptions'!$C$51-'Assumptions'!$B$51)),'Assumptions'!$D$51-SQRT((1-F193)*('Assumptions'!$D$51-'Assumptions'!$B$51)*('Assumptions'!$D$51-'Assumptions'!$C$51)))</x:f>
        <x:v>0.0747232696374175</x:v>
      </x:c>
      <x:c r="L193" s="133" t="n">
        <x:f>(('Assumptions'!$B$17*(1+G193)+'Assumptions'!$B$18)*(1-H193-'Assumptions'!$B$20)-SUM('Assumptions'!$B$21:$B$25)*(1+I193))-(('Assumptions'!$B$17*(1+G193)+'Assumptions'!$B$18)*(1-H193-'Assumptions'!$B$20)*'Assumptions'!$B$26)</x:f>
        <x:v>197524.36363453843</x:v>
      </x:c>
      <x:c r="M193" s="133" t="n">
        <x:f>'Assumptions'!$B$10*'Assumptions'!$B$33</x:f>
        <x:v>1950000</x:v>
      </x:c>
      <x:c r="N193" s="133" t="n">
        <x:f>-PMT(K193/12,'Assumptions'!$B$35*12,M193)*12</x:f>
        <x:v>163173.01331427073</x:v>
      </x:c>
      <x:c r="O193" s="133" t="n">
        <x:f>(L193*(1+'Assumptions'!$B$29)^('Assumptions'!$B$14/12)/J193)*(1-'Assumptions'!$B$42)-'Debt Schedule'!$F$9</x:f>
        <x:v>3594247.0337759615</x:v>
      </x:c>
      <x:c r="P193" s="132" t="n">
        <x:f>((O193+(L193-N193-'Assumptions'!$B$27-'Assumptions'!$B$28)*('Assumptions'!$B$14/12))/ABS('Monthly Cash Flow'!$S$5))^(1/('Assumptions'!$B$14/12))-1</x:f>
        <x:v>0.22466117285517484</x:v>
      </x:c>
      <x:c r="Q193" s="133" t="n">
        <x:f>-ABS('Monthly Cash Flow'!$S$5)+((L193-N193-'Assumptions'!$B$27-'Assumptions'!$B$28)*(1-(1+'Assumptions'!$B$43)^-('Assumptions'!$B$14/12))/'Assumptions'!$B$43)+(O193/(1+'Assumptions'!$B$43)^('Assumptions'!$B$14/12))</x:f>
        <x:v>915831.7971426607</x:v>
      </x:c>
    </x:row>
    <x:row r="194">
      <x:c r="A194" s="131" t="n">
        <x:f>187</x:f>
        <x:v>187</x:v>
      </x:c>
      <x:c r="B194" s="131" t="n">
        <x:f>MOD(ABS(SIN((A194+1)*12.9898+78.233)*43758.5453),1)</x:f>
        <x:v>0.622235427810665</x:v>
      </x:c>
      <x:c r="C194" s="131" t="n">
        <x:f>MOD(ABS(SIN((A194+2)*12.9898+78.233)*43758.5453),1)</x:f>
        <x:v>0.7238174074300332</x:v>
      </x:c>
      <x:c r="D194" s="131" t="n">
        <x:f>MOD(ABS(SIN((A194+3)*12.9898+78.233)*43758.5453),1)</x:f>
        <x:v>0.02530635588482255</x:v>
      </x:c>
      <x:c r="E194" s="131" t="n">
        <x:f>MOD(ABS(SIN((A194+4)*12.9898+78.233)*43758.5453),1)</x:f>
        <x:v>0.7805481829709606</x:v>
      </x:c>
      <x:c r="F194" s="131" t="n">
        <x:f>MOD(ABS(SIN((A194+5)*12.9898+78.233)*43758.5453),1)</x:f>
        <x:v>0.6268108577205567</x:v>
      </x:c>
      <x:c r="G194" s="132" t="n">
        <x:f>IF(B194&lt;(('Assumptions'!$C$47-'Assumptions'!$B$47)/('Assumptions'!$D$47-'Assumptions'!$B$47)),'Assumptions'!$B$47+SQRT(B194*('Assumptions'!$D$47-'Assumptions'!$B$47)*('Assumptions'!$C$47-'Assumptions'!$B$47)),'Assumptions'!$D$47-SQRT((1-B194)*('Assumptions'!$D$47-'Assumptions'!$B$47)*('Assumptions'!$D$47-'Assumptions'!$C$47)))</x:f>
        <x:v>0.02225533359111148</x:v>
      </x:c>
      <x:c r="H194" s="132" t="n">
        <x:f>IF(C194&lt;(('Assumptions'!$C$48-'Assumptions'!$B$48)/('Assumptions'!$D$48-'Assumptions'!$B$48)),'Assumptions'!$B$48+SQRT(C194*('Assumptions'!$D$48-'Assumptions'!$B$48)*('Assumptions'!$C$48-'Assumptions'!$B$48)),'Assumptions'!$D$48-SQRT((1-C194)*('Assumptions'!$D$48-'Assumptions'!$B$48)*('Assumptions'!$D$48-'Assumptions'!$C$48)))</x:f>
        <x:v>0.09070084367237399</x:v>
      </x:c>
      <x:c r="I194" s="132" t="n">
        <x:f>IF(D194&lt;(('Assumptions'!$C$49-'Assumptions'!$B$49)/('Assumptions'!$D$49-'Assumptions'!$B$49)),'Assumptions'!$B$49+SQRT(D194*('Assumptions'!$D$49-'Assumptions'!$B$49)*('Assumptions'!$C$49-'Assumptions'!$B$49)),'Assumptions'!$D$49-SQRT((1-D194)*('Assumptions'!$D$49-'Assumptions'!$B$49)*('Assumptions'!$D$49-'Assumptions'!$C$49)))</x:f>
        <x:v>-0.013467951017611775</x:v>
      </x:c>
      <x:c r="J194" s="132" t="n">
        <x:f>IF(E194&lt;(('Assumptions'!$C$50-'Assumptions'!$B$50)/('Assumptions'!$D$50-'Assumptions'!$B$50)),'Assumptions'!$B$50+SQRT(E194*('Assumptions'!$D$50-'Assumptions'!$B$50)*('Assumptions'!$C$50-'Assumptions'!$B$50)),'Assumptions'!$D$50-SQRT((1-E194)*('Assumptions'!$D$50-'Assumptions'!$B$50)*('Assumptions'!$D$50-'Assumptions'!$C$50)))</x:f>
        <x:v>0.07214373985032209</x:v>
      </x:c>
      <x:c r="K194" s="132" t="n">
        <x:f>IF(F194&lt;(('Assumptions'!$C$51-'Assumptions'!$B$51)/('Assumptions'!$D$51-'Assumptions'!$B$51)),'Assumptions'!$B$51+SQRT(F194*('Assumptions'!$D$51-'Assumptions'!$B$51)*('Assumptions'!$C$51-'Assumptions'!$B$51)),'Assumptions'!$D$51-SQRT((1-F194)*('Assumptions'!$D$51-'Assumptions'!$B$51)*('Assumptions'!$D$51-'Assumptions'!$C$51)))</x:f>
        <x:v>0.07159860922433861</x:v>
      </x:c>
      <x:c r="L194" s="133" t="n">
        <x:f>(('Assumptions'!$B$17*(1+G194)+'Assumptions'!$B$18)*(1-H194-'Assumptions'!$B$20)-SUM('Assumptions'!$B$21:$B$25)*(1+I194))-(('Assumptions'!$B$17*(1+G194)+'Assumptions'!$B$18)*(1-H194-'Assumptions'!$B$20)*'Assumptions'!$B$26)</x:f>
        <x:v>208951.5481372068</x:v>
      </x:c>
      <x:c r="M194" s="133" t="n">
        <x:f>'Assumptions'!$B$10*'Assumptions'!$B$33</x:f>
        <x:v>1950000</x:v>
      </x:c>
      <x:c r="N194" s="133" t="n">
        <x:f>-PMT(K194/12,'Assumptions'!$B$35*12,M194)*12</x:f>
        <x:v>158201.10900420876</x:v>
      </x:c>
      <x:c r="O194" s="133" t="n">
        <x:f>(L194*(1+'Assumptions'!$B$29)^('Assumptions'!$B$14/12)/J194)*(1-'Assumptions'!$B$42)-'Debt Schedule'!$F$9</x:f>
        <x:v>3156173.85874787</x:v>
      </x:c>
      <x:c r="P194" s="132" t="n">
        <x:f>((O194+(L194-N194-'Assumptions'!$B$27-'Assumptions'!$B$28)*('Assumptions'!$B$14/12))/ABS('Monthly Cash Flow'!$S$5))^(1/('Assumptions'!$B$14/12))-1</x:f>
        <x:v>0.19916403452325726</x:v>
      </x:c>
      <x:c r="Q194" s="133" t="n">
        <x:f>-ABS('Monthly Cash Flow'!$S$5)+((L194-N194-'Assumptions'!$B$27-'Assumptions'!$B$28)*(1-(1+'Assumptions'!$B$43)^-('Assumptions'!$B$14/12))/'Assumptions'!$B$43)+(O194/(1+'Assumptions'!$B$43)^('Assumptions'!$B$14/12))</x:f>
        <x:v>705988.270609146</x:v>
      </x:c>
    </x:row>
    <x:row r="195">
      <x:c r="A195" s="131" t="n">
        <x:f>188</x:f>
        <x:v>188</x:v>
      </x:c>
      <x:c r="B195" s="131" t="n">
        <x:f>MOD(ABS(SIN((A195+1)*12.9898+78.233)*43758.5453),1)</x:f>
        <x:v>0.7238174074300332</x:v>
      </x:c>
      <x:c r="C195" s="131" t="n">
        <x:f>MOD(ABS(SIN((A195+2)*12.9898+78.233)*43758.5453),1)</x:f>
        <x:v>0.02530635588482255</x:v>
      </x:c>
      <x:c r="D195" s="131" t="n">
        <x:f>MOD(ABS(SIN((A195+3)*12.9898+78.233)*43758.5453),1)</x:f>
        <x:v>0.7805481829709606</x:v>
      </x:c>
      <x:c r="E195" s="131" t="n">
        <x:f>MOD(ABS(SIN((A195+4)*12.9898+78.233)*43758.5453),1)</x:f>
        <x:v>0.6268108577205567</x:v>
      </x:c>
      <x:c r="F195" s="131" t="n">
        <x:f>MOD(ABS(SIN((A195+5)*12.9898+78.233)*43758.5453),1)</x:f>
        <x:v>0.9348493733432406</x:v>
      </x:c>
      <x:c r="G195" s="132" t="n">
        <x:f>IF(B195&lt;(('Assumptions'!$C$47-'Assumptions'!$B$47)/('Assumptions'!$D$47-'Assumptions'!$B$47)),'Assumptions'!$B$47+SQRT(B195*('Assumptions'!$D$47-'Assumptions'!$B$47)*('Assumptions'!$C$47-'Assumptions'!$B$47)),'Assumptions'!$D$47-SQRT((1-B195)*('Assumptions'!$D$47-'Assumptions'!$B$47)*('Assumptions'!$D$47-'Assumptions'!$C$47)))</x:f>
        <x:v>0.03352503116872135</x:v>
      </x:c>
      <x:c r="H195" s="132" t="n">
        <x:f>IF(C195&lt;(('Assumptions'!$C$48-'Assumptions'!$B$48)/('Assumptions'!$D$48-'Assumptions'!$B$48)),'Assumptions'!$B$48+SQRT(C195*('Assumptions'!$D$48-'Assumptions'!$B$48)*('Assumptions'!$C$48-'Assumptions'!$B$48)),'Assumptions'!$D$48-SQRT((1-C195)*('Assumptions'!$D$48-'Assumptions'!$B$48)*('Assumptions'!$D$48-'Assumptions'!$C$48)))</x:f>
        <x:v>0.03913843391505976</x:v>
      </x:c>
      <x:c r="I195" s="132" t="n">
        <x:f>IF(D195&lt;(('Assumptions'!$C$49-'Assumptions'!$B$49)/('Assumptions'!$D$49-'Assumptions'!$B$49)),'Assumptions'!$B$49+SQRT(D195*('Assumptions'!$D$49-'Assumptions'!$B$49)*('Assumptions'!$C$49-'Assumptions'!$B$49)),'Assumptions'!$D$49-SQRT((1-D195)*('Assumptions'!$D$49-'Assumptions'!$B$49)*('Assumptions'!$D$49-'Assumptions'!$C$49)))</x:f>
        <x:v>0.08115118557427985</x:v>
      </x:c>
      <x:c r="J195" s="132" t="n">
        <x:f>IF(E195&lt;(('Assumptions'!$C$50-'Assumptions'!$B$50)/('Assumptions'!$D$50-'Assumptions'!$B$50)),'Assumptions'!$B$50+SQRT(E195*('Assumptions'!$D$50-'Assumptions'!$B$50)*('Assumptions'!$C$50-'Assumptions'!$B$50)),'Assumptions'!$D$50-SQRT((1-E195)*('Assumptions'!$D$50-'Assumptions'!$B$50)*('Assumptions'!$D$50-'Assumptions'!$C$50)))</x:f>
        <x:v>0.06975502824473911</x:v>
      </x:c>
      <x:c r="K195" s="132" t="n">
        <x:f>IF(F195&lt;(('Assumptions'!$C$51-'Assumptions'!$B$51)/('Assumptions'!$D$51-'Assumptions'!$B$51)),'Assumptions'!$B$51+SQRT(F195*('Assumptions'!$D$51-'Assumptions'!$B$51)*('Assumptions'!$C$51-'Assumptions'!$B$51)),'Assumptions'!$D$51-SQRT((1-F195)*('Assumptions'!$D$51-'Assumptions'!$B$51)*('Assumptions'!$D$51-'Assumptions'!$C$51)))</x:f>
        <x:v>0.07940055903874634</x:v>
      </x:c>
      <x:c r="L195" s="133" t="n">
        <x:f>(('Assumptions'!$B$17*(1+G195)+'Assumptions'!$B$18)*(1-H195-'Assumptions'!$B$20)-SUM('Assumptions'!$B$21:$B$25)*(1+I195))-(('Assumptions'!$B$17*(1+G195)+'Assumptions'!$B$18)*(1-H195-'Assumptions'!$B$20)*'Assumptions'!$B$26)</x:f>
        <x:v>219840.51627257516</x:v>
      </x:c>
      <x:c r="M195" s="133" t="n">
        <x:f>'Assumptions'!$B$10*'Assumptions'!$B$33</x:f>
        <x:v>1950000</x:v>
      </x:c>
      <x:c r="N195" s="133" t="n">
        <x:f>-PMT(K195/12,'Assumptions'!$B$35*12,M195)*12</x:f>
        <x:v>170724.07582177443</x:v>
      </x:c>
      <x:c r="O195" s="133" t="n">
        <x:f>(L195*(1+'Assumptions'!$B$29)^('Assumptions'!$B$14/12)/J195)*(1-'Assumptions'!$B$42)-'Debt Schedule'!$F$9</x:f>
        <x:v>3434362.9751717583</x:v>
      </x:c>
      <x:c r="P195" s="132" t="n">
        <x:f>((O195+(L195-N195-'Assumptions'!$B$27-'Assumptions'!$B$28)*('Assumptions'!$B$14/12))/ABS('Monthly Cash Flow'!$S$5))^(1/('Assumptions'!$B$14/12))-1</x:f>
        <x:v>0.21869230651814786</x:v>
      </x:c>
      <x:c r="Q195" s="133" t="n">
        <x:f>-ABS('Monthly Cash Flow'!$S$5)+((L195-N195-'Assumptions'!$B$27-'Assumptions'!$B$28)*(1-(1+'Assumptions'!$B$43)^-('Assumptions'!$B$14/12))/'Assumptions'!$B$43)+(O195/(1+'Assumptions'!$B$43)^('Assumptions'!$B$14/12))</x:f>
        <x:v>872527.6842540193</x:v>
      </x:c>
    </x:row>
    <x:row r="196">
      <x:c r="A196" s="131" t="n">
        <x:f>189</x:f>
        <x:v>189</x:v>
      </x:c>
      <x:c r="B196" s="131" t="n">
        <x:f>MOD(ABS(SIN((A196+1)*12.9898+78.233)*43758.5453),1)</x:f>
        <x:v>0.02530635588482255</x:v>
      </x:c>
      <x:c r="C196" s="131" t="n">
        <x:f>MOD(ABS(SIN((A196+2)*12.9898+78.233)*43758.5453),1)</x:f>
        <x:v>0.7805481829709606</x:v>
      </x:c>
      <x:c r="D196" s="131" t="n">
        <x:f>MOD(ABS(SIN((A196+3)*12.9898+78.233)*43758.5453),1)</x:f>
        <x:v>0.6268108577205567</x:v>
      </x:c>
      <x:c r="E196" s="131" t="n">
        <x:f>MOD(ABS(SIN((A196+4)*12.9898+78.233)*43758.5453),1)</x:f>
        <x:v>0.9348493733432406</x:v>
      </x:c>
      <x:c r="F196" s="131" t="n">
        <x:f>MOD(ABS(SIN((A196+5)*12.9898+78.233)*43758.5453),1)</x:f>
        <x:v>0.1652005362939235</x:v>
      </x:c>
      <x:c r="G196" s="132" t="n">
        <x:f>IF(B196&lt;(('Assumptions'!$C$47-'Assumptions'!$B$47)/('Assumptions'!$D$47-'Assumptions'!$B$47)),'Assumptions'!$B$47+SQRT(B196*('Assumptions'!$D$47-'Assumptions'!$B$47)*('Assumptions'!$C$47-'Assumptions'!$B$47)),'Assumptions'!$D$47-SQRT((1-B196)*('Assumptions'!$D$47-'Assumptions'!$B$47)*('Assumptions'!$D$47-'Assumptions'!$C$47)))</x:f>
        <x:v>-0.07535547644534914</x:v>
      </x:c>
      <x:c r="H196" s="132" t="n">
        <x:f>IF(C196&lt;(('Assumptions'!$C$48-'Assumptions'!$B$48)/('Assumptions'!$D$48-'Assumptions'!$B$48)),'Assumptions'!$B$48+SQRT(C196*('Assumptions'!$D$48-'Assumptions'!$B$48)*('Assumptions'!$C$48-'Assumptions'!$B$48)),'Assumptions'!$D$48-SQRT((1-C196)*('Assumptions'!$D$48-'Assumptions'!$B$48)*('Assumptions'!$D$48-'Assumptions'!$C$48)))</x:f>
        <x:v>0.09605485248795329</x:v>
      </x:c>
      <x:c r="I196" s="132" t="n">
        <x:f>IF(D196&lt;(('Assumptions'!$C$49-'Assumptions'!$B$49)/('Assumptions'!$D$49-'Assumptions'!$B$49)),'Assumptions'!$B$49+SQRT(D196*('Assumptions'!$D$49-'Assumptions'!$B$49)*('Assumptions'!$C$49-'Assumptions'!$B$49)),'Assumptions'!$D$49-SQRT((1-D196)*('Assumptions'!$D$49-'Assumptions'!$B$49)*('Assumptions'!$D$49-'Assumptions'!$C$49)))</x:f>
        <x:v>0.06021756589824502</x:v>
      </x:c>
      <x:c r="J196" s="132" t="n">
        <x:f>IF(E196&lt;(('Assumptions'!$C$50-'Assumptions'!$B$50)/('Assumptions'!$D$50-'Assumptions'!$B$50)),'Assumptions'!$B$50+SQRT(E196*('Assumptions'!$D$50-'Assumptions'!$B$50)*('Assumptions'!$C$50-'Assumptions'!$B$50)),'Assumptions'!$D$50-SQRT((1-E196)*('Assumptions'!$D$50-'Assumptions'!$B$50)*('Assumptions'!$D$50-'Assumptions'!$C$50)))</x:f>
        <x:v>0.07571939096071441</x:v>
      </x:c>
      <x:c r="K196" s="132" t="n">
        <x:f>IF(F196&lt;(('Assumptions'!$C$51-'Assumptions'!$B$51)/('Assumptions'!$D$51-'Assumptions'!$B$51)),'Assumptions'!$B$51+SQRT(F196*('Assumptions'!$D$51-'Assumptions'!$B$51)*('Assumptions'!$C$51-'Assumptions'!$B$51)),'Assumptions'!$D$51-SQRT((1-F196)*('Assumptions'!$D$51-'Assumptions'!$B$51)*('Assumptions'!$D$51-'Assumptions'!$C$51)))</x:f>
        <x:v>0.064240188979608</x:v>
      </x:c>
      <x:c r="L196" s="133" t="n">
        <x:f>(('Assumptions'!$B$17*(1+G196)+'Assumptions'!$B$18)*(1-H196-'Assumptions'!$B$20)-SUM('Assumptions'!$B$21:$B$25)*(1+I196))-(('Assumptions'!$B$17*(1+G196)+'Assumptions'!$B$18)*(1-H196-'Assumptions'!$B$20)*'Assumptions'!$B$26)</x:f>
        <x:v>167526.52006365007</x:v>
      </x:c>
      <x:c r="M196" s="133" t="n">
        <x:f>'Assumptions'!$B$10*'Assumptions'!$B$33</x:f>
        <x:v>1950000</x:v>
      </x:c>
      <x:c r="N196" s="133" t="n">
        <x:f>-PMT(K196/12,'Assumptions'!$B$35*12,M196)*12</x:f>
        <x:v>146736.58495936255</x:v>
      </x:c>
      <x:c r="O196" s="133" t="n">
        <x:f>(L196*(1+'Assumptions'!$B$29)^('Assumptions'!$B$14/12)/J196)*(1-'Assumptions'!$B$42)-'Debt Schedule'!$F$9</x:f>
        <x:v>2410962.371239292</x:v>
      </x:c>
      <x:c r="P196" s="132" t="n">
        <x:f>((O196+(L196-N196-'Assumptions'!$B$27-'Assumptions'!$B$28)*('Assumptions'!$B$14/12))/ABS('Monthly Cash Flow'!$S$5))^(1/('Assumptions'!$B$14/12))-1</x:f>
        <x:v>0.12327602128768711</x:v>
      </x:c>
      <x:c r="Q196" s="133" t="n">
        <x:f>-ABS('Monthly Cash Flow'!$S$5)+((L196-N196-'Assumptions'!$B$27-'Assumptions'!$B$28)*(1-(1+'Assumptions'!$B$43)^-('Assumptions'!$B$14/12))/'Assumptions'!$B$43)+(O196/(1+'Assumptions'!$B$43)^('Assumptions'!$B$14/12))</x:f>
        <x:v>129696.68554959423</x:v>
      </x:c>
    </x:row>
    <x:row r="197">
      <x:c r="A197" s="131" t="n">
        <x:f>190</x:f>
        <x:v>190</x:v>
      </x:c>
      <x:c r="B197" s="131" t="n">
        <x:f>MOD(ABS(SIN((A197+1)*12.9898+78.233)*43758.5453),1)</x:f>
        <x:v>0.7805481829709606</x:v>
      </x:c>
      <x:c r="C197" s="131" t="n">
        <x:f>MOD(ABS(SIN((A197+2)*12.9898+78.233)*43758.5453),1)</x:f>
        <x:v>0.6268108577205567</x:v>
      </x:c>
      <x:c r="D197" s="131" t="n">
        <x:f>MOD(ABS(SIN((A197+3)*12.9898+78.233)*43758.5453),1)</x:f>
        <x:v>0.9348493733432406</x:v>
      </x:c>
      <x:c r="E197" s="131" t="n">
        <x:f>MOD(ABS(SIN((A197+4)*12.9898+78.233)*43758.5453),1)</x:f>
        <x:v>0.1652005362939235</x:v>
      </x:c>
      <x:c r="F197" s="131" t="n">
        <x:f>MOD(ABS(SIN((A197+5)*12.9898+78.233)*43758.5453),1)</x:f>
        <x:v>0.20654046018171357</x:v>
      </x:c>
      <x:c r="G197" s="132" t="n">
        <x:f>IF(B197&lt;(('Assumptions'!$C$47-'Assumptions'!$B$47)/('Assumptions'!$D$47-'Assumptions'!$B$47)),'Assumptions'!$B$47+SQRT(B197*('Assumptions'!$D$47-'Assumptions'!$B$47)*('Assumptions'!$C$47-'Assumptions'!$B$47)),'Assumptions'!$D$47-SQRT((1-B197)*('Assumptions'!$D$47-'Assumptions'!$B$47)*('Assumptions'!$D$47-'Assumptions'!$C$47)))</x:f>
        <x:v>0.04074437518290243</x:v>
      </x:c>
      <x:c r="H197" s="132" t="n">
        <x:f>IF(C197&lt;(('Assumptions'!$C$48-'Assumptions'!$B$48)/('Assumptions'!$D$48-'Assumptions'!$B$48)),'Assumptions'!$B$48+SQRT(C197*('Assumptions'!$D$48-'Assumptions'!$B$48)*('Assumptions'!$C$48-'Assumptions'!$B$48)),'Assumptions'!$D$48-SQRT((1-C197)*('Assumptions'!$D$48-'Assumptions'!$B$48)*('Assumptions'!$D$48-'Assumptions'!$C$48)))</x:f>
        <x:v>0.08269324252708848</x:v>
      </x:c>
      <x:c r="I197" s="132" t="n">
        <x:f>IF(D197&lt;(('Assumptions'!$C$49-'Assumptions'!$B$49)/('Assumptions'!$D$49-'Assumptions'!$B$49)),'Assumptions'!$B$49+SQRT(D197*('Assumptions'!$D$49-'Assumptions'!$B$49)*('Assumptions'!$C$49-'Assumptions'!$B$49)),'Assumptions'!$D$49-SQRT((1-D197)*('Assumptions'!$D$49-'Assumptions'!$B$49)*('Assumptions'!$D$49-'Assumptions'!$C$49)))</x:f>
        <x:v>0.11248662190916414</x:v>
      </x:c>
      <x:c r="J197" s="132" t="n">
        <x:f>IF(E197&lt;(('Assumptions'!$C$50-'Assumptions'!$B$50)/('Assumptions'!$D$50-'Assumptions'!$B$50)),'Assumptions'!$B$50+SQRT(E197*('Assumptions'!$D$50-'Assumptions'!$B$50)*('Assumptions'!$C$50-'Assumptions'!$B$50)),'Assumptions'!$D$50-SQRT((1-E197)*('Assumptions'!$D$50-'Assumptions'!$B$50)*('Assumptions'!$D$50-'Assumptions'!$C$50)))</x:f>
        <x:v>0.06359673032584949</x:v>
      </x:c>
      <x:c r="K197" s="132" t="n">
        <x:f>IF(F197&lt;(('Assumptions'!$C$51-'Assumptions'!$B$51)/('Assumptions'!$D$51-'Assumptions'!$B$51)),'Assumptions'!$B$51+SQRT(F197*('Assumptions'!$D$51-'Assumptions'!$B$51)*('Assumptions'!$C$51-'Assumptions'!$B$51)),'Assumptions'!$D$51-SQRT((1-F197)*('Assumptions'!$D$51-'Assumptions'!$B$51)*('Assumptions'!$D$51-'Assumptions'!$C$51)))</x:f>
        <x:v>0.06503648635306741</x:v>
      </x:c>
      <x:c r="L197" s="133" t="n">
        <x:f>(('Assumptions'!$B$17*(1+G197)+'Assumptions'!$B$18)*(1-H197-'Assumptions'!$B$20)-SUM('Assumptions'!$B$21:$B$25)*(1+I197))-(('Assumptions'!$B$17*(1+G197)+'Assumptions'!$B$18)*(1-H197-'Assumptions'!$B$20)*'Assumptions'!$B$26)</x:f>
        <x:v>201846.18057107323</x:v>
      </x:c>
      <x:c r="M197" s="133" t="n">
        <x:f>'Assumptions'!$B$10*'Assumptions'!$B$33</x:f>
        <x:v>1950000</x:v>
      </x:c>
      <x:c r="N197" s="133" t="n">
        <x:f>-PMT(K197/12,'Assumptions'!$B$35*12,M197)*12</x:f>
        <x:v>147960.07090718186</x:v>
      </x:c>
      <x:c r="O197" s="133" t="n">
        <x:f>(L197*(1+'Assumptions'!$B$29)^('Assumptions'!$B$14/12)/J197)*(1-'Assumptions'!$B$42)-'Debt Schedule'!$F$9</x:f>
        <x:v>3458595.1252145953</x:v>
      </x:c>
      <x:c r="P197" s="132" t="n">
        <x:f>((O197+(L197-N197-'Assumptions'!$B$27-'Assumptions'!$B$28)*('Assumptions'!$B$14/12))/ABS('Monthly Cash Flow'!$S$5))^(1/('Assumptions'!$B$14/12))-1</x:f>
        <x:v>0.22204144880208698</x:v>
      </x:c>
      <x:c r="Q197" s="133" t="n">
        <x:f>-ABS('Monthly Cash Flow'!$S$5)+((L197-N197-'Assumptions'!$B$27-'Assumptions'!$B$28)*(1-(1+'Assumptions'!$B$43)^-('Assumptions'!$B$14/12))/'Assumptions'!$B$43)+(O197/(1+'Assumptions'!$B$43)^('Assumptions'!$B$14/12))</x:f>
        <x:v>905654.7418666244</x:v>
      </x:c>
    </x:row>
    <x:row r="198">
      <x:c r="A198" s="131" t="n">
        <x:f>191</x:f>
        <x:v>191</x:v>
      </x:c>
      <x:c r="B198" s="131" t="n">
        <x:f>MOD(ABS(SIN((A198+1)*12.9898+78.233)*43758.5453),1)</x:f>
        <x:v>0.6268108577205567</x:v>
      </x:c>
      <x:c r="C198" s="131" t="n">
        <x:f>MOD(ABS(SIN((A198+2)*12.9898+78.233)*43758.5453),1)</x:f>
        <x:v>0.9348493733432406</x:v>
      </x:c>
      <x:c r="D198" s="131" t="n">
        <x:f>MOD(ABS(SIN((A198+3)*12.9898+78.233)*43758.5453),1)</x:f>
        <x:v>0.1652005362939235</x:v>
      </x:c>
      <x:c r="E198" s="131" t="n">
        <x:f>MOD(ABS(SIN((A198+4)*12.9898+78.233)*43758.5453),1)</x:f>
        <x:v>0.20654046018171357</x:v>
      </x:c>
      <x:c r="F198" s="131" t="n">
        <x:f>MOD(ABS(SIN((A198+5)*12.9898+78.233)*43758.5453),1)</x:f>
        <x:v>0.27791394061932806</x:v>
      </x:c>
      <x:c r="G198" s="132" t="n">
        <x:f>IF(B198&lt;(('Assumptions'!$C$47-'Assumptions'!$B$47)/('Assumptions'!$D$47-'Assumptions'!$B$47)),'Assumptions'!$B$47+SQRT(B198*('Assumptions'!$D$47-'Assumptions'!$B$47)*('Assumptions'!$C$47-'Assumptions'!$B$47)),'Assumptions'!$D$47-SQRT((1-B198)*('Assumptions'!$D$47-'Assumptions'!$B$47)*('Assumptions'!$D$47-'Assumptions'!$C$47)))</x:f>
        <x:v>0.022727583987097358</x:v>
      </x:c>
      <x:c r="H198" s="132" t="n">
        <x:f>IF(C198&lt;(('Assumptions'!$C$48-'Assumptions'!$B$48)/('Assumptions'!$D$48-'Assumptions'!$B$48)),'Assumptions'!$B$48+SQRT(C198*('Assumptions'!$D$48-'Assumptions'!$B$48)*('Assumptions'!$C$48-'Assumptions'!$B$48)),'Assumptions'!$D$48-SQRT((1-C198)*('Assumptions'!$D$48-'Assumptions'!$B$48)*('Assumptions'!$D$48-'Assumptions'!$C$48)))</x:f>
        <x:v>0.11605578327488071</x:v>
      </x:c>
      <x:c r="I198" s="132" t="n">
        <x:f>IF(D198&lt;(('Assumptions'!$C$49-'Assumptions'!$B$49)/('Assumptions'!$D$49-'Assumptions'!$B$49)),'Assumptions'!$B$49+SQRT(D198*('Assumptions'!$D$49-'Assumptions'!$B$49)*('Assumptions'!$C$49-'Assumptions'!$B$49)),'Assumptions'!$D$49-SQRT((1-D198)*('Assumptions'!$D$49-'Assumptions'!$B$49)*('Assumptions'!$D$49-'Assumptions'!$C$49)))</x:f>
        <x:v>0.01223938673766907</x:v>
      </x:c>
      <x:c r="J198" s="132" t="n">
        <x:f>IF(E198&lt;(('Assumptions'!$C$50-'Assumptions'!$B$50)/('Assumptions'!$D$50-'Assumptions'!$B$50)),'Assumptions'!$B$50+SQRT(E198*('Assumptions'!$D$50-'Assumptions'!$B$50)*('Assumptions'!$C$50-'Assumptions'!$B$50)),'Assumptions'!$D$50-SQRT((1-E198)*('Assumptions'!$D$50-'Assumptions'!$B$50)*('Assumptions'!$D$50-'Assumptions'!$C$50)))</x:f>
        <x:v>0.06431700840111595</x:v>
      </x:c>
      <x:c r="K198" s="132" t="n">
        <x:f>IF(F198&lt;(('Assumptions'!$C$51-'Assumptions'!$B$51)/('Assumptions'!$D$51-'Assumptions'!$B$51)),'Assumptions'!$B$51+SQRT(F198*('Assumptions'!$D$51-'Assumptions'!$B$51)*('Assumptions'!$C$51-'Assumptions'!$B$51)),'Assumptions'!$D$51-SQRT((1-F198)*('Assumptions'!$D$51-'Assumptions'!$B$51)*('Assumptions'!$D$51-'Assumptions'!$C$51)))</x:f>
        <x:v>0.06624221560419985</x:v>
      </x:c>
      <x:c r="L198" s="133" t="n">
        <x:f>(('Assumptions'!$B$17*(1+G198)+'Assumptions'!$B$18)*(1-H198-'Assumptions'!$B$20)-SUM('Assumptions'!$B$21:$B$25)*(1+I198))-(('Assumptions'!$B$17*(1+G198)+'Assumptions'!$B$18)*(1-H198-'Assumptions'!$B$20)*'Assumptions'!$B$26)</x:f>
        <x:v>196459.24322266845</x:v>
      </x:c>
      <x:c r="M198" s="133" t="n">
        <x:f>'Assumptions'!$B$10*'Assumptions'!$B$33</x:f>
        <x:v>1950000</x:v>
      </x:c>
      <x:c r="N198" s="133" t="n">
        <x:f>-PMT(K198/12,'Assumptions'!$B$35*12,M198)*12</x:f>
        <x:v>149820.72080988745</x:v>
      </x:c>
      <x:c r="O198" s="133" t="n">
        <x:f>(L198*(1+'Assumptions'!$B$29)^('Assumptions'!$B$14/12)/J198)*(1-'Assumptions'!$B$42)-'Debt Schedule'!$F$9</x:f>
        <x:v>3328592.3305077837</x:v>
      </x:c>
      <x:c r="P198" s="132" t="n">
        <x:f>((O198+(L198-N198-'Assumptions'!$B$27-'Assumptions'!$B$28)*('Assumptions'!$B$14/12))/ABS('Monthly Cash Flow'!$S$5))^(1/('Assumptions'!$B$14/12))-1</x:f>
        <x:v>0.21030150847227413</x:v>
      </x:c>
      <x:c r="Q198" s="133" t="n">
        <x:f>-ABS('Monthly Cash Flow'!$S$5)+((L198-N198-'Assumptions'!$B$27-'Assumptions'!$B$28)*(1-(1+'Assumptions'!$B$43)^-('Assumptions'!$B$14/12))/'Assumptions'!$B$43)+(O198/(1+'Assumptions'!$B$43)^('Assumptions'!$B$14/12))</x:f>
        <x:v>797459.1767142406</x:v>
      </x:c>
    </x:row>
    <x:row r="199">
      <x:c r="A199" s="131" t="n">
        <x:f>192</x:f>
        <x:v>192</x:v>
      </x:c>
      <x:c r="B199" s="131" t="n">
        <x:f>MOD(ABS(SIN((A199+1)*12.9898+78.233)*43758.5453),1)</x:f>
        <x:v>0.9348493733432406</x:v>
      </x:c>
      <x:c r="C199" s="131" t="n">
        <x:f>MOD(ABS(SIN((A199+2)*12.9898+78.233)*43758.5453),1)</x:f>
        <x:v>0.1652005362939235</x:v>
      </x:c>
      <x:c r="D199" s="131" t="n">
        <x:f>MOD(ABS(SIN((A199+3)*12.9898+78.233)*43758.5453),1)</x:f>
        <x:v>0.20654046018171357</x:v>
      </x:c>
      <x:c r="E199" s="131" t="n">
        <x:f>MOD(ABS(SIN((A199+4)*12.9898+78.233)*43758.5453),1)</x:f>
        <x:v>0.27791394061932806</x:v>
      </x:c>
      <x:c r="F199" s="131" t="n">
        <x:f>MOD(ABS(SIN((A199+5)*12.9898+78.233)*43758.5453),1)</x:f>
        <x:v>0.1955837088971748</x:v>
      </x:c>
      <x:c r="G199" s="132" t="n">
        <x:f>IF(B199&lt;(('Assumptions'!$C$47-'Assumptions'!$B$47)/('Assumptions'!$D$47-'Assumptions'!$B$47)),'Assumptions'!$B$47+SQRT(B199*('Assumptions'!$D$47-'Assumptions'!$B$47)*('Assumptions'!$C$47-'Assumptions'!$B$47)),'Assumptions'!$D$47-SQRT((1-B199)*('Assumptions'!$D$47-'Assumptions'!$B$47)*('Assumptions'!$D$47-'Assumptions'!$C$47)))</x:f>
        <x:v>0.06771362475426902</x:v>
      </x:c>
      <x:c r="H199" s="132" t="n">
        <x:f>IF(C199&lt;(('Assumptions'!$C$48-'Assumptions'!$B$48)/('Assumptions'!$D$48-'Assumptions'!$B$48)),'Assumptions'!$B$48+SQRT(C199*('Assumptions'!$D$48-'Assumptions'!$B$48)*('Assumptions'!$C$48-'Assumptions'!$B$48)),'Assumptions'!$D$48-SQRT((1-C199)*('Assumptions'!$D$48-'Assumptions'!$B$48)*('Assumptions'!$D$48-'Assumptions'!$C$48)))</x:f>
        <x:v>0.05334869953059372</x:v>
      </x:c>
      <x:c r="I199" s="132" t="n">
        <x:f>IF(D199&lt;(('Assumptions'!$C$49-'Assumptions'!$B$49)/('Assumptions'!$D$49-'Assumptions'!$B$49)),'Assumptions'!$B$49+SQRT(D199*('Assumptions'!$D$49-'Assumptions'!$B$49)*('Assumptions'!$C$49-'Assumptions'!$B$49)),'Assumptions'!$D$49-SQRT((1-D199)*('Assumptions'!$D$49-'Assumptions'!$B$49)*('Assumptions'!$D$49-'Assumptions'!$C$49)))</x:f>
        <x:v>0.017229619625426865</x:v>
      </x:c>
      <x:c r="J199" s="132" t="n">
        <x:f>IF(E199&lt;(('Assumptions'!$C$50-'Assumptions'!$B$50)/('Assumptions'!$D$50-'Assumptions'!$B$50)),'Assumptions'!$B$50+SQRT(E199*('Assumptions'!$D$50-'Assumptions'!$B$50)*('Assumptions'!$C$50-'Assumptions'!$B$50)),'Assumptions'!$D$50-SQRT((1-E199)*('Assumptions'!$D$50-'Assumptions'!$B$50)*('Assumptions'!$D$50-'Assumptions'!$C$50)))</x:f>
        <x:v>0.065407631544233</x:v>
      </x:c>
      <x:c r="K199" s="132" t="n">
        <x:f>IF(F199&lt;(('Assumptions'!$C$51-'Assumptions'!$B$51)/('Assumptions'!$D$51-'Assumptions'!$B$51)),'Assumptions'!$B$51+SQRT(F199*('Assumptions'!$D$51-'Assumptions'!$B$51)*('Assumptions'!$C$51-'Assumptions'!$B$51)),'Assumptions'!$D$51-SQRT((1-F199)*('Assumptions'!$D$51-'Assumptions'!$B$51)*('Assumptions'!$D$51-'Assumptions'!$C$51)))</x:f>
        <x:v>0.06483386118949105</x:v>
      </x:c>
      <x:c r="L199" s="133" t="n">
        <x:f>(('Assumptions'!$B$17*(1+G199)+'Assumptions'!$B$18)*(1-H199-'Assumptions'!$B$20)-SUM('Assumptions'!$B$21:$B$25)*(1+I199))-(('Assumptions'!$B$17*(1+G199)+'Assumptions'!$B$18)*(1-H199-'Assumptions'!$B$20)*'Assumptions'!$B$26)</x:f>
        <x:v>233640.44514087203</x:v>
      </x:c>
      <x:c r="M199" s="133" t="n">
        <x:f>'Assumptions'!$B$10*'Assumptions'!$B$33</x:f>
        <x:v>1950000</x:v>
      </x:c>
      <x:c r="N199" s="133" t="n">
        <x:f>-PMT(K199/12,'Assumptions'!$B$35*12,M199)*12</x:f>
        <x:v>147648.33872933208</x:v>
      </x:c>
      <x:c r="O199" s="133" t="n">
        <x:f>(L199*(1+'Assumptions'!$B$29)^('Assumptions'!$B$14/12)/J199)*(1-'Assumptions'!$B$42)-'Debt Schedule'!$F$9</x:f>
        <x:v>3892544.4340843004</x:v>
      </x:c>
      <x:c r="P199" s="132" t="n">
        <x:f>((O199+(L199-N199-'Assumptions'!$B$27-'Assumptions'!$B$28)*('Assumptions'!$B$14/12))/ABS('Monthly Cash Flow'!$S$5))^(1/('Assumptions'!$B$14/12))-1</x:f>
        <x:v>0.2607002139683676</x:v>
      </x:c>
      <x:c r="Q199" s="133" t="n">
        <x:f>-ABS('Monthly Cash Flow'!$S$5)+((L199-N199-'Assumptions'!$B$27-'Assumptions'!$B$28)*(1-(1+'Assumptions'!$B$43)^-('Assumptions'!$B$14/12))/'Assumptions'!$B$43)+(O199/(1+'Assumptions'!$B$43)^('Assumptions'!$B$14/12))</x:f>
        <x:v>1296810.1085602643</x:v>
      </x:c>
    </x:row>
    <x:row r="200">
      <x:c r="A200" s="131" t="n">
        <x:f>193</x:f>
        <x:v>193</x:v>
      </x:c>
      <x:c r="B200" s="131" t="n">
        <x:f>MOD(ABS(SIN((A200+1)*12.9898+78.233)*43758.5453),1)</x:f>
        <x:v>0.1652005362939235</x:v>
      </x:c>
      <x:c r="C200" s="131" t="n">
        <x:f>MOD(ABS(SIN((A200+2)*12.9898+78.233)*43758.5453),1)</x:f>
        <x:v>0.20654046018171357</x:v>
      </x:c>
      <x:c r="D200" s="131" t="n">
        <x:f>MOD(ABS(SIN((A200+3)*12.9898+78.233)*43758.5453),1)</x:f>
        <x:v>0.27791394061932806</x:v>
      </x:c>
      <x:c r="E200" s="131" t="n">
        <x:f>MOD(ABS(SIN((A200+4)*12.9898+78.233)*43758.5453),1)</x:f>
        <x:v>0.1955837088971748</x:v>
      </x:c>
      <x:c r="F200" s="131" t="n">
        <x:f>MOD(ABS(SIN((A200+5)*12.9898+78.233)*43758.5453),1)</x:f>
        <x:v>0.42787570760265226</x:v>
      </x:c>
      <x:c r="G200" s="132" t="n">
        <x:f>IF(B200&lt;(('Assumptions'!$C$47-'Assumptions'!$B$47)/('Assumptions'!$D$47-'Assumptions'!$B$47)),'Assumptions'!$B$47+SQRT(B200*('Assumptions'!$D$47-'Assumptions'!$B$47)*('Assumptions'!$C$47-'Assumptions'!$B$47)),'Assumptions'!$D$47-SQRT((1-B200)*('Assumptions'!$D$47-'Assumptions'!$B$47)*('Assumptions'!$D$47-'Assumptions'!$C$47)))</x:f>
        <x:v>-0.03703323995111259</x:v>
      </x:c>
      <x:c r="H200" s="132" t="n">
        <x:f>IF(C200&lt;(('Assumptions'!$C$48-'Assumptions'!$B$48)/('Assumptions'!$D$48-'Assumptions'!$B$48)),'Assumptions'!$B$48+SQRT(C200*('Assumptions'!$D$48-'Assumptions'!$B$48)*('Assumptions'!$C$48-'Assumptions'!$B$48)),'Assumptions'!$D$48-SQRT((1-C200)*('Assumptions'!$D$48-'Assumptions'!$B$48)*('Assumptions'!$D$48-'Assumptions'!$C$48)))</x:f>
        <x:v>0.05610715454812444</x:v>
      </x:c>
      <x:c r="I200" s="132" t="n">
        <x:f>IF(D200&lt;(('Assumptions'!$C$49-'Assumptions'!$B$49)/('Assumptions'!$D$49-'Assumptions'!$B$49)),'Assumptions'!$B$49+SQRT(D200*('Assumptions'!$D$49-'Assumptions'!$B$49)*('Assumptions'!$C$49-'Assumptions'!$B$49)),'Assumptions'!$D$49-SQRT((1-D200)*('Assumptions'!$D$49-'Assumptions'!$B$49)*('Assumptions'!$D$49-'Assumptions'!$C$49)))</x:f>
        <x:v>0.024785678408583596</x:v>
      </x:c>
      <x:c r="J200" s="132" t="n">
        <x:f>IF(E200&lt;(('Assumptions'!$C$50-'Assumptions'!$B$50)/('Assumptions'!$D$50-'Assumptions'!$B$50)),'Assumptions'!$B$50+SQRT(E200*('Assumptions'!$D$50-'Assumptions'!$B$50)*('Assumptions'!$C$50-'Assumptions'!$B$50)),'Assumptions'!$D$50-SQRT((1-E200)*('Assumptions'!$D$50-'Assumptions'!$B$50)*('Assumptions'!$D$50-'Assumptions'!$C$50)))</x:f>
        <x:v>0.06413372704457038</x:v>
      </x:c>
      <x:c r="K200" s="132" t="n">
        <x:f>IF(F200&lt;(('Assumptions'!$C$51-'Assumptions'!$B$51)/('Assumptions'!$D$51-'Assumptions'!$B$51)),'Assumptions'!$B$51+SQRT(F200*('Assumptions'!$D$51-'Assumptions'!$B$51)*('Assumptions'!$C$51-'Assumptions'!$B$51)),'Assumptions'!$D$51-SQRT((1-F200)*('Assumptions'!$D$51-'Assumptions'!$B$51)*('Assumptions'!$D$51-'Assumptions'!$C$51)))</x:f>
        <x:v>0.06840678404539302</x:v>
      </x:c>
      <x:c r="L200" s="133" t="n">
        <x:f>(('Assumptions'!$B$17*(1+G200)+'Assumptions'!$B$18)*(1-H200-'Assumptions'!$B$20)-SUM('Assumptions'!$B$21:$B$25)*(1+I200))-(('Assumptions'!$B$17*(1+G200)+'Assumptions'!$B$18)*(1-H200-'Assumptions'!$B$20)*'Assumptions'!$B$26)</x:f>
        <x:v>197815.43737857946</x:v>
      </x:c>
      <x:c r="M200" s="133" t="n">
        <x:f>'Assumptions'!$B$10*'Assumptions'!$B$33</x:f>
        <x:v>1950000</x:v>
      </x:c>
      <x:c r="N200" s="133" t="n">
        <x:f>-PMT(K200/12,'Assumptions'!$B$35*12,M200)*12</x:f>
        <x:v>153185.08623154872</x:v>
      </x:c>
      <x:c r="O200" s="133" t="n">
        <x:f>(L200*(1+'Assumptions'!$B$29)^('Assumptions'!$B$14/12)/J200)*(1-'Assumptions'!$B$42)-'Debt Schedule'!$F$9</x:f>
        <x:v>3361148.330215341</x:v>
      </x:c>
      <x:c r="P200" s="132" t="n">
        <x:f>((O200+(L200-N200-'Assumptions'!$B$27-'Assumptions'!$B$28)*('Assumptions'!$B$14/12))/ABS('Monthly Cash Flow'!$S$5))^(1/('Assumptions'!$B$14/12))-1</x:f>
        <x:v>0.2119183520673451</x:v>
      </x:c>
      <x:c r="Q200" s="133" t="n">
        <x:f>-ABS('Monthly Cash Flow'!$S$5)+((L200-N200-'Assumptions'!$B$27-'Assumptions'!$B$28)*(1-(1+'Assumptions'!$B$43)^-('Assumptions'!$B$14/12))/'Assumptions'!$B$43)+(O200/(1+'Assumptions'!$B$43)^('Assumptions'!$B$14/12))</x:f>
        <x:v>810061.3420612584</x:v>
      </x:c>
    </x:row>
    <x:row r="201">
      <x:c r="A201" s="131" t="n">
        <x:f>194</x:f>
        <x:v>194</x:v>
      </x:c>
      <x:c r="B201" s="131" t="n">
        <x:f>MOD(ABS(SIN((A201+1)*12.9898+78.233)*43758.5453),1)</x:f>
        <x:v>0.20654046018171357</x:v>
      </x:c>
      <x:c r="C201" s="131" t="n">
        <x:f>MOD(ABS(SIN((A201+2)*12.9898+78.233)*43758.5453),1)</x:f>
        <x:v>0.27791394061932806</x:v>
      </x:c>
      <x:c r="D201" s="131" t="n">
        <x:f>MOD(ABS(SIN((A201+3)*12.9898+78.233)*43758.5453),1)</x:f>
        <x:v>0.1955837088971748</x:v>
      </x:c>
      <x:c r="E201" s="131" t="n">
        <x:f>MOD(ABS(SIN((A201+4)*12.9898+78.233)*43758.5453),1)</x:f>
        <x:v>0.42787570760265226</x:v>
      </x:c>
      <x:c r="F201" s="131" t="n">
        <x:f>MOD(ABS(SIN((A201+5)*12.9898+78.233)*43758.5453),1)</x:f>
        <x:v>0.6038933747258852</x:v>
      </x:c>
      <x:c r="G201" s="132" t="n">
        <x:f>IF(B201&lt;(('Assumptions'!$C$47-'Assumptions'!$B$47)/('Assumptions'!$D$47-'Assumptions'!$B$47)),'Assumptions'!$B$47+SQRT(B201*('Assumptions'!$D$47-'Assumptions'!$B$47)*('Assumptions'!$C$47-'Assumptions'!$B$47)),'Assumptions'!$D$47-SQRT((1-B201)*('Assumptions'!$D$47-'Assumptions'!$B$47)*('Assumptions'!$D$47-'Assumptions'!$C$47)))</x:f>
        <x:v>-0.02959423997739158</x:v>
      </x:c>
      <x:c r="H201" s="132" t="n">
        <x:f>IF(C201&lt;(('Assumptions'!$C$48-'Assumptions'!$B$48)/('Assumptions'!$D$48-'Assumptions'!$B$48)),'Assumptions'!$B$48+SQRT(C201*('Assumptions'!$D$48-'Assumptions'!$B$48)*('Assumptions'!$C$48-'Assumptions'!$B$48)),'Assumptions'!$D$48-SQRT((1-C201)*('Assumptions'!$D$48-'Assumptions'!$B$48)*('Assumptions'!$D$48-'Assumptions'!$C$48)))</x:f>
        <x:v>0.06028577716273016</x:v>
      </x:c>
      <x:c r="I201" s="132" t="n">
        <x:f>IF(D201&lt;(('Assumptions'!$C$49-'Assumptions'!$B$49)/('Assumptions'!$D$49-'Assumptions'!$B$49)),'Assumptions'!$B$49+SQRT(D201*('Assumptions'!$D$49-'Assumptions'!$B$49)*('Assumptions'!$C$49-'Assumptions'!$B$49)),'Assumptions'!$D$49-SQRT((1-D201)*('Assumptions'!$D$49-'Assumptions'!$B$49)*('Assumptions'!$D$49-'Assumptions'!$C$49)))</x:f>
        <x:v>0.01595980913895844</x:v>
      </x:c>
      <x:c r="J201" s="132" t="n">
        <x:f>IF(E201&lt;(('Assumptions'!$C$50-'Assumptions'!$B$50)/('Assumptions'!$D$50-'Assumptions'!$B$50)),'Assumptions'!$B$50+SQRT(E201*('Assumptions'!$D$50-'Assumptions'!$B$50)*('Assumptions'!$C$50-'Assumptions'!$B$50)),'Assumptions'!$D$50-SQRT((1-E201)*('Assumptions'!$D$50-'Assumptions'!$B$50)*('Assumptions'!$D$50-'Assumptions'!$C$50)))</x:f>
        <x:v>0.06731183133826692</x:v>
      </x:c>
      <x:c r="K201" s="132" t="n">
        <x:f>IF(F201&lt;(('Assumptions'!$C$51-'Assumptions'!$B$51)/('Assumptions'!$D$51-'Assumptions'!$B$51)),'Assumptions'!$B$51+SQRT(F201*('Assumptions'!$D$51-'Assumptions'!$B$51)*('Assumptions'!$C$51-'Assumptions'!$B$51)),'Assumptions'!$D$51-SQRT((1-F201)*('Assumptions'!$D$51-'Assumptions'!$B$51)*('Assumptions'!$D$51-'Assumptions'!$C$51)))</x:f>
        <x:v>0.07119325116426145</x:v>
      </x:c>
      <x:c r="L201" s="133" t="n">
        <x:f>(('Assumptions'!$B$17*(1+G201)+'Assumptions'!$B$18)*(1-H201-'Assumptions'!$B$20)-SUM('Assumptions'!$B$21:$B$25)*(1+I201))-(('Assumptions'!$B$17*(1+G201)+'Assumptions'!$B$18)*(1-H201-'Assumptions'!$B$20)*'Assumptions'!$B$26)</x:f>
        <x:v>199854.85861192815</x:v>
      </x:c>
      <x:c r="M201" s="133" t="n">
        <x:f>'Assumptions'!$B$10*'Assumptions'!$B$33</x:f>
        <x:v>1950000</x:v>
      </x:c>
      <x:c r="N201" s="133" t="n">
        <x:f>-PMT(K201/12,'Assumptions'!$B$35*12,M201)*12</x:f>
        <x:v>157560.51509153168</x:v>
      </x:c>
      <x:c r="O201" s="133" t="n">
        <x:f>(L201*(1+'Assumptions'!$B$29)^('Assumptions'!$B$14/12)/J201)*(1-'Assumptions'!$B$42)-'Debt Schedule'!$F$9</x:f>
        <x:v>3235469.285400157</x:v>
      </x:c>
      <x:c r="P201" s="132" t="n">
        <x:f>((O201+(L201-N201-'Assumptions'!$B$27-'Assumptions'!$B$28)*('Assumptions'!$B$14/12))/ABS('Monthly Cash Flow'!$S$5))^(1/('Assumptions'!$B$14/12))-1</x:f>
        <x:v>0.2019169741133533</x:v>
      </x:c>
      <x:c r="Q201" s="133" t="n">
        <x:f>-ABS('Monthly Cash Flow'!$S$5)+((L201-N201-'Assumptions'!$B$27-'Assumptions'!$B$28)*(1-(1+'Assumptions'!$B$43)^-('Assumptions'!$B$14/12))/'Assumptions'!$B$43)+(O201/(1+'Assumptions'!$B$43)^('Assumptions'!$B$14/12))</x:f>
        <x:v>723169.2364695212</x:v>
      </x:c>
    </x:row>
    <x:row r="202">
      <x:c r="A202" s="131" t="n">
        <x:f>195</x:f>
        <x:v>195</x:v>
      </x:c>
      <x:c r="B202" s="131" t="n">
        <x:f>MOD(ABS(SIN((A202+1)*12.9898+78.233)*43758.5453),1)</x:f>
        <x:v>0.27791394061932806</x:v>
      </x:c>
      <x:c r="C202" s="131" t="n">
        <x:f>MOD(ABS(SIN((A202+2)*12.9898+78.233)*43758.5453),1)</x:f>
        <x:v>0.1955837088971748</x:v>
      </x:c>
      <x:c r="D202" s="131" t="n">
        <x:f>MOD(ABS(SIN((A202+3)*12.9898+78.233)*43758.5453),1)</x:f>
        <x:v>0.42787570760265226</x:v>
      </x:c>
      <x:c r="E202" s="131" t="n">
        <x:f>MOD(ABS(SIN((A202+4)*12.9898+78.233)*43758.5453),1)</x:f>
        <x:v>0.6038933747258852</x:v>
      </x:c>
      <x:c r="F202" s="131" t="n">
        <x:f>MOD(ABS(SIN((A202+5)*12.9898+78.233)*43758.5453),1)</x:f>
        <x:v>0.36726044866009033</x:v>
      </x:c>
      <x:c r="G202" s="132" t="n">
        <x:f>IF(B202&lt;(('Assumptions'!$C$47-'Assumptions'!$B$47)/('Assumptions'!$D$47-'Assumptions'!$B$47)),'Assumptions'!$B$47+SQRT(B202*('Assumptions'!$D$47-'Assumptions'!$B$47)*('Assumptions'!$C$47-'Assumptions'!$B$47)),'Assumptions'!$D$47-SQRT((1-B202)*('Assumptions'!$D$47-'Assumptions'!$B$47)*('Assumptions'!$D$47-'Assumptions'!$C$47)))</x:f>
        <x:v>-0.018330332589976392</x:v>
      </x:c>
      <x:c r="H202" s="132" t="n">
        <x:f>IF(C202&lt;(('Assumptions'!$C$48-'Assumptions'!$B$48)/('Assumptions'!$D$48-'Assumptions'!$B$48)),'Assumptions'!$B$48+SQRT(C202*('Assumptions'!$D$48-'Assumptions'!$B$48)*('Assumptions'!$C$48-'Assumptions'!$B$48)),'Assumptions'!$D$48-SQRT((1-C202)*('Assumptions'!$D$48-'Assumptions'!$B$48)*('Assumptions'!$D$48-'Assumptions'!$C$48)))</x:f>
        <x:v>0.05540524039171204</x:v>
      </x:c>
      <x:c r="I202" s="132" t="n">
        <x:f>IF(D202&lt;(('Assumptions'!$C$49-'Assumptions'!$B$49)/('Assumptions'!$D$49-'Assumptions'!$B$49)),'Assumptions'!$B$49+SQRT(D202*('Assumptions'!$D$49-'Assumptions'!$B$49)*('Assumptions'!$C$49-'Assumptions'!$B$49)),'Assumptions'!$D$49-SQRT((1-D202)*('Assumptions'!$D$49-'Assumptions'!$B$49)*('Assumptions'!$D$49-'Assumptions'!$C$49)))</x:f>
        <x:v>0.038833976792444755</x:v>
      </x:c>
      <x:c r="J202" s="132" t="n">
        <x:f>IF(E202&lt;(('Assumptions'!$C$50-'Assumptions'!$B$50)/('Assumptions'!$D$50-'Assumptions'!$B$50)),'Assumptions'!$B$50+SQRT(E202*('Assumptions'!$D$50-'Assumptions'!$B$50)*('Assumptions'!$C$50-'Assumptions'!$B$50)),'Assumptions'!$D$50-SQRT((1-E202)*('Assumptions'!$D$50-'Assumptions'!$B$50)*('Assumptions'!$D$50-'Assumptions'!$C$50)))</x:f>
        <x:v>0.06944514384947172</x:v>
      </x:c>
      <x:c r="K202" s="132" t="n">
        <x:f>IF(F202&lt;(('Assumptions'!$C$51-'Assumptions'!$B$51)/('Assumptions'!$D$51-'Assumptions'!$B$51)),'Assumptions'!$B$51+SQRT(F202*('Assumptions'!$D$51-'Assumptions'!$B$51)*('Assumptions'!$C$51-'Assumptions'!$B$51)),'Assumptions'!$D$51-SQRT((1-F202)*('Assumptions'!$D$51-'Assumptions'!$B$51)*('Assumptions'!$D$51-'Assumptions'!$C$51)))</x:f>
        <x:v>0.06754990231883123</x:v>
      </x:c>
      <x:c r="L202" s="133" t="n">
        <x:f>(('Assumptions'!$B$17*(1+G202)+'Assumptions'!$B$18)*(1-H202-'Assumptions'!$B$20)-SUM('Assumptions'!$B$21:$B$25)*(1+I202))-(('Assumptions'!$B$17*(1+G202)+'Assumptions'!$B$18)*(1-H202-'Assumptions'!$B$20)*'Assumptions'!$B$26)</x:f>
        <x:v>202332.04212187746</x:v>
      </x:c>
      <x:c r="M202" s="133" t="n">
        <x:f>'Assumptions'!$B$10*'Assumptions'!$B$33</x:f>
        <x:v>1950000</x:v>
      </x:c>
      <x:c r="N202" s="133" t="n">
        <x:f>-PMT(K202/12,'Assumptions'!$B$35*12,M202)*12</x:f>
        <x:v>151849.58329630486</x:v>
      </x:c>
      <x:c r="O202" s="133" t="n">
        <x:f>(L202*(1+'Assumptions'!$B$29)^('Assumptions'!$B$14/12)/J202)*(1-'Assumptions'!$B$42)-'Debt Schedule'!$F$9</x:f>
        <x:v>3174949.0484181824</x:v>
      </x:c>
      <x:c r="P202" s="132" t="n">
        <x:f>((O202+(L202-N202-'Assumptions'!$B$27-'Assumptions'!$B$28)*('Assumptions'!$B$14/12))/ABS('Monthly Cash Flow'!$S$5))^(1/('Assumptions'!$B$14/12))-1</x:f>
        <x:v>0.20046390821939886</x:v>
      </x:c>
      <x:c r="Q202" s="133" t="n">
        <x:f>-ABS('Monthly Cash Flow'!$S$5)+((L202-N202-'Assumptions'!$B$27-'Assumptions'!$B$28)*(1-(1+'Assumptions'!$B$43)^-('Assumptions'!$B$14/12))/'Assumptions'!$B$43)+(O202/(1+'Assumptions'!$B$43)^('Assumptions'!$B$14/12))</x:f>
        <x:v>716630.3300160724</x:v>
      </x:c>
    </x:row>
    <x:row r="203">
      <x:c r="A203" s="131" t="n">
        <x:f>196</x:f>
        <x:v>196</x:v>
      </x:c>
      <x:c r="B203" s="131" t="n">
        <x:f>MOD(ABS(SIN((A203+1)*12.9898+78.233)*43758.5453),1)</x:f>
        <x:v>0.1955837088971748</x:v>
      </x:c>
      <x:c r="C203" s="131" t="n">
        <x:f>MOD(ABS(SIN((A203+2)*12.9898+78.233)*43758.5453),1)</x:f>
        <x:v>0.42787570760265226</x:v>
      </x:c>
      <x:c r="D203" s="131" t="n">
        <x:f>MOD(ABS(SIN((A203+3)*12.9898+78.233)*43758.5453),1)</x:f>
        <x:v>0.6038933747258852</x:v>
      </x:c>
      <x:c r="E203" s="131" t="n">
        <x:f>MOD(ABS(SIN((A203+4)*12.9898+78.233)*43758.5453),1)</x:f>
        <x:v>0.36726044866009033</x:v>
      </x:c>
      <x:c r="F203" s="131" t="n">
        <x:f>MOD(ABS(SIN((A203+5)*12.9898+78.233)*43758.5453),1)</x:f>
        <x:v>0.489279309066319</x:v>
      </x:c>
      <x:c r="G203" s="132" t="n">
        <x:f>IF(B203&lt;(('Assumptions'!$C$47-'Assumptions'!$B$47)/('Assumptions'!$D$47-'Assumptions'!$B$47)),'Assumptions'!$B$47+SQRT(B203*('Assumptions'!$D$47-'Assumptions'!$B$47)*('Assumptions'!$C$47-'Assumptions'!$B$47)),'Assumptions'!$D$47-SQRT((1-B203)*('Assumptions'!$D$47-'Assumptions'!$B$47)*('Assumptions'!$D$47-'Assumptions'!$C$47)))</x:f>
        <x:v>-0.03148716168824857</x:v>
      </x:c>
      <x:c r="H203" s="132" t="n">
        <x:f>IF(C203&lt;(('Assumptions'!$C$48-'Assumptions'!$B$48)/('Assumptions'!$D$48-'Assumptions'!$B$48)),'Assumptions'!$B$48+SQRT(C203*('Assumptions'!$D$48-'Assumptions'!$B$48)*('Assumptions'!$C$48-'Assumptions'!$B$48)),'Assumptions'!$D$48-SQRT((1-C203)*('Assumptions'!$D$48-'Assumptions'!$B$48)*('Assumptions'!$D$48-'Assumptions'!$C$48)))</x:f>
        <x:v>0.06904442394641094</x:v>
      </x:c>
      <x:c r="I203" s="132" t="n">
        <x:f>IF(D203&lt;(('Assumptions'!$C$49-'Assumptions'!$B$49)/('Assumptions'!$D$49-'Assumptions'!$B$49)),'Assumptions'!$B$49+SQRT(D203*('Assumptions'!$D$49-'Assumptions'!$B$49)*('Assumptions'!$C$49-'Assumptions'!$B$49)),'Assumptions'!$D$49-SQRT((1-D203)*('Assumptions'!$D$49-'Assumptions'!$B$49)*('Assumptions'!$D$49-'Assumptions'!$C$49)))</x:f>
        <x:v>0.05750187512213624</x:v>
      </x:c>
      <x:c r="J203" s="132" t="n">
        <x:f>IF(E203&lt;(('Assumptions'!$C$50-'Assumptions'!$B$50)/('Assumptions'!$D$50-'Assumptions'!$B$50)),'Assumptions'!$B$50+SQRT(E203*('Assumptions'!$D$50-'Assumptions'!$B$50)*('Assumptions'!$C$50-'Assumptions'!$B$50)),'Assumptions'!$D$50-SQRT((1-E203)*('Assumptions'!$D$50-'Assumptions'!$B$50)*('Assumptions'!$D$50-'Assumptions'!$C$50)))</x:f>
        <x:v>0.06659030257739094</x:v>
      </x:c>
      <x:c r="K203" s="132" t="n">
        <x:f>IF(F203&lt;(('Assumptions'!$C$51-'Assumptions'!$B$51)/('Assumptions'!$D$51-'Assumptions'!$B$51)),'Assumptions'!$B$51+SQRT(F203*('Assumptions'!$D$51-'Assumptions'!$B$51)*('Assumptions'!$C$51-'Assumptions'!$B$51)),'Assumptions'!$D$51-SQRT((1-F203)*('Assumptions'!$D$51-'Assumptions'!$B$51)*('Assumptions'!$D$51-'Assumptions'!$C$51)))</x:f>
        <x:v>0.06932248959458696</x:v>
      </x:c>
      <x:c r="L203" s="133" t="n">
        <x:f>(('Assumptions'!$B$17*(1+G203)+'Assumptions'!$B$18)*(1-H203-'Assumptions'!$B$20)-SUM('Assumptions'!$B$21:$B$25)*(1+I203))-(('Assumptions'!$B$17*(1+G203)+'Assumptions'!$B$18)*(1-H203-'Assumptions'!$B$20)*'Assumptions'!$B$26)</x:f>
        <x:v>190929.3185965004</x:v>
      </x:c>
      <x:c r="M203" s="133" t="n">
        <x:f>'Assumptions'!$B$10*'Assumptions'!$B$33</x:f>
        <x:v>1950000</x:v>
      </x:c>
      <x:c r="N203" s="133" t="n">
        <x:f>-PMT(K203/12,'Assumptions'!$B$35*12,M203)*12</x:f>
        <x:v>154617.51116328966</x:v>
      </x:c>
      <x:c r="O203" s="133" t="n">
        <x:f>(L203*(1+'Assumptions'!$B$29)^('Assumptions'!$B$14/12)/J203)*(1-'Assumptions'!$B$42)-'Debt Schedule'!$F$9</x:f>
        <x:v>3124464.621354156</x:v>
      </x:c>
      <x:c r="P203" s="132" t="n">
        <x:f>((O203+(L203-N203-'Assumptions'!$B$27-'Assumptions'!$B$28)*('Assumptions'!$B$14/12))/ABS('Monthly Cash Flow'!$S$5))^(1/('Assumptions'!$B$14/12))-1</x:f>
        <x:v>0.1912983518161937</x:v>
      </x:c>
      <x:c r="Q203" s="133" t="n">
        <x:f>-ABS('Monthly Cash Flow'!$S$5)+((L203-N203-'Assumptions'!$B$27-'Assumptions'!$B$28)*(1-(1+'Assumptions'!$B$43)^-('Assumptions'!$B$14/12))/'Assumptions'!$B$43)+(O203/(1+'Assumptions'!$B$43)^('Assumptions'!$B$14/12))</x:f>
        <x:v>631565.5549575291</x:v>
      </x:c>
    </x:row>
    <x:row r="204">
      <x:c r="A204" s="131" t="n">
        <x:f>197</x:f>
        <x:v>197</x:v>
      </x:c>
      <x:c r="B204" s="131" t="n">
        <x:f>MOD(ABS(SIN((A204+1)*12.9898+78.233)*43758.5453),1)</x:f>
        <x:v>0.42787570760265226</x:v>
      </x:c>
      <x:c r="C204" s="131" t="n">
        <x:f>MOD(ABS(SIN((A204+2)*12.9898+78.233)*43758.5453),1)</x:f>
        <x:v>0.6038933747258852</x:v>
      </x:c>
      <x:c r="D204" s="131" t="n">
        <x:f>MOD(ABS(SIN((A204+3)*12.9898+78.233)*43758.5453),1)</x:f>
        <x:v>0.36726044866009033</x:v>
      </x:c>
      <x:c r="E204" s="131" t="n">
        <x:f>MOD(ABS(SIN((A204+4)*12.9898+78.233)*43758.5453),1)</x:f>
        <x:v>0.489279309066319</x:v>
      </x:c>
      <x:c r="F204" s="131" t="n">
        <x:f>MOD(ABS(SIN((A204+5)*12.9898+78.233)*43758.5453),1)</x:f>
        <x:v>0.9118635592531064</x:v>
      </x:c>
      <x:c r="G204" s="132" t="n">
        <x:f>IF(B204&lt;(('Assumptions'!$C$47-'Assumptions'!$B$47)/('Assumptions'!$D$47-'Assumptions'!$B$47)),'Assumptions'!$B$47+SQRT(B204*('Assumptions'!$D$47-'Assumptions'!$B$47)*('Assumptions'!$C$47-'Assumptions'!$B$47)),'Assumptions'!$D$47-SQRT((1-B204)*('Assumptions'!$D$47-'Assumptions'!$B$47)*('Assumptions'!$D$47-'Assumptions'!$C$47)))</x:f>
        <x:v>0.0013361583170768132</x:v>
      </x:c>
      <x:c r="H204" s="132" t="n">
        <x:f>IF(C204&lt;(('Assumptions'!$C$48-'Assumptions'!$B$48)/('Assumptions'!$D$48-'Assumptions'!$B$48)),'Assumptions'!$B$48+SQRT(C204*('Assumptions'!$D$48-'Assumptions'!$B$48)*('Assumptions'!$C$48-'Assumptions'!$B$48)),'Assumptions'!$D$48-SQRT((1-C204)*('Assumptions'!$D$48-'Assumptions'!$B$48)*('Assumptions'!$D$48-'Assumptions'!$C$48)))</x:f>
        <x:v>0.08095985855020155</x:v>
      </x:c>
      <x:c r="I204" s="132" t="n">
        <x:f>IF(D204&lt;(('Assumptions'!$C$49-'Assumptions'!$B$49)/('Assumptions'!$D$49-'Assumptions'!$B$49)),'Assumptions'!$B$49+SQRT(D204*('Assumptions'!$D$49-'Assumptions'!$B$49)*('Assumptions'!$C$49-'Assumptions'!$B$49)),'Assumptions'!$D$49-SQRT((1-D204)*('Assumptions'!$D$49-'Assumptions'!$B$49)*('Assumptions'!$D$49-'Assumptions'!$C$49)))</x:f>
        <x:v>0.03309330939188275</x:v>
      </x:c>
      <x:c r="J204" s="132" t="n">
        <x:f>IF(E204&lt;(('Assumptions'!$C$50-'Assumptions'!$B$50)/('Assumptions'!$D$50-'Assumptions'!$B$50)),'Assumptions'!$B$50+SQRT(E204*('Assumptions'!$D$50-'Assumptions'!$B$50)*('Assumptions'!$C$50-'Assumptions'!$B$50)),'Assumptions'!$D$50-SQRT((1-E204)*('Assumptions'!$D$50-'Assumptions'!$B$50)*('Assumptions'!$D$50-'Assumptions'!$C$50)))</x:f>
        <x:v>0.06801500127972065</x:v>
      </x:c>
      <x:c r="K204" s="132" t="n">
        <x:f>IF(F204&lt;(('Assumptions'!$C$51-'Assumptions'!$B$51)/('Assumptions'!$D$51-'Assumptions'!$B$51)),'Assumptions'!$B$51+SQRT(F204*('Assumptions'!$D$51-'Assumptions'!$B$51)*('Assumptions'!$C$51-'Assumptions'!$B$51)),'Assumptions'!$D$51-SQRT((1-F204)*('Assumptions'!$D$51-'Assumptions'!$B$51)*('Assumptions'!$D$51-'Assumptions'!$C$51)))</x:f>
        <x:v>0.07848726922793192</x:v>
      </x:c>
      <x:c r="L204" s="133" t="n">
        <x:f>(('Assumptions'!$B$17*(1+G204)+'Assumptions'!$B$18)*(1-H204-'Assumptions'!$B$20)-SUM('Assumptions'!$B$21:$B$25)*(1+I204))-(('Assumptions'!$B$17*(1+G204)+'Assumptions'!$B$18)*(1-H204-'Assumptions'!$B$20)*'Assumptions'!$B$26)</x:f>
        <x:v>200122.50275206935</x:v>
      </x:c>
      <x:c r="M204" s="133" t="n">
        <x:f>'Assumptions'!$B$10*'Assumptions'!$B$33</x:f>
        <x:v>1950000</x:v>
      </x:c>
      <x:c r="N204" s="133" t="n">
        <x:f>-PMT(K204/12,'Assumptions'!$B$35*12,M204)*12</x:f>
        <x:v>169239.70804765538</x:v>
      </x:c>
      <x:c r="O204" s="133" t="n">
        <x:f>(L204*(1+'Assumptions'!$B$29)^('Assumptions'!$B$14/12)/J204)*(1-'Assumptions'!$B$42)-'Debt Schedule'!$F$9</x:f>
        <x:v>3206307.65675007</x:v>
      </x:c>
      <x:c r="P204" s="132" t="n">
        <x:f>((O204+(L204-N204-'Assumptions'!$B$27-'Assumptions'!$B$28)*('Assumptions'!$B$14/12))/ABS('Monthly Cash Flow'!$S$5))^(1/('Assumptions'!$B$14/12))-1</x:f>
        <x:v>0.19546492591868248</x:v>
      </x:c>
      <x:c r="Q204" s="133" t="n">
        <x:f>-ABS('Monthly Cash Flow'!$S$5)+((L204-N204-'Assumptions'!$B$27-'Assumptions'!$B$28)*(1-(1+'Assumptions'!$B$43)^-('Assumptions'!$B$14/12))/'Assumptions'!$B$43)+(O204/(1+'Assumptions'!$B$43)^('Assumptions'!$B$14/12))</x:f>
        <x:v>661803.4111554641</x:v>
      </x:c>
    </x:row>
    <x:row r="205">
      <x:c r="A205" s="131" t="n">
        <x:f>198</x:f>
        <x:v>198</x:v>
      </x:c>
      <x:c r="B205" s="131" t="n">
        <x:f>MOD(ABS(SIN((A205+1)*12.9898+78.233)*43758.5453),1)</x:f>
        <x:v>0.6038933747258852</x:v>
      </x:c>
      <x:c r="C205" s="131" t="n">
        <x:f>MOD(ABS(SIN((A205+2)*12.9898+78.233)*43758.5453),1)</x:f>
        <x:v>0.36726044866009033</x:v>
      </x:c>
      <x:c r="D205" s="131" t="n">
        <x:f>MOD(ABS(SIN((A205+3)*12.9898+78.233)*43758.5453),1)</x:f>
        <x:v>0.489279309066319</x:v>
      </x:c>
      <x:c r="E205" s="131" t="n">
        <x:f>MOD(ABS(SIN((A205+4)*12.9898+78.233)*43758.5453),1)</x:f>
        <x:v>0.9118635592531064</x:v>
      </x:c>
      <x:c r="F205" s="131" t="n">
        <x:f>MOD(ABS(SIN((A205+5)*12.9898+78.233)*43758.5453),1)</x:f>
        <x:v>0.7181009636624367</x:v>
      </x:c>
      <x:c r="G205" s="132" t="n">
        <x:f>IF(B205&lt;(('Assumptions'!$C$47-'Assumptions'!$B$47)/('Assumptions'!$D$47-'Assumptions'!$B$47)),'Assumptions'!$B$47+SQRT(B205*('Assumptions'!$D$47-'Assumptions'!$B$47)*('Assumptions'!$C$47-'Assumptions'!$B$47)),'Assumptions'!$D$47-SQRT((1-B205)*('Assumptions'!$D$47-'Assumptions'!$B$47)*('Assumptions'!$D$47-'Assumptions'!$C$47)))</x:f>
        <x:v>0.02039028950947104</x:v>
      </x:c>
      <x:c r="H205" s="132" t="n">
        <x:f>IF(C205&lt;(('Assumptions'!$C$48-'Assumptions'!$B$48)/('Assumptions'!$D$48-'Assumptions'!$B$48)),'Assumptions'!$B$48+SQRT(C205*('Assumptions'!$D$48-'Assumptions'!$B$48)*('Assumptions'!$C$48-'Assumptions'!$B$48)),'Assumptions'!$D$48-SQRT((1-C205)*('Assumptions'!$D$48-'Assumptions'!$B$48)*('Assumptions'!$D$48-'Assumptions'!$C$48)))</x:f>
        <x:v>0.0653802435558035</x:v>
      </x:c>
      <x:c r="I205" s="132" t="n">
        <x:f>IF(D205&lt;(('Assumptions'!$C$49-'Assumptions'!$B$49)/('Assumptions'!$D$49-'Assumptions'!$B$49)),'Assumptions'!$B$49+SQRT(D205*('Assumptions'!$D$49-'Assumptions'!$B$49)*('Assumptions'!$C$49-'Assumptions'!$B$49)),'Assumptions'!$D$49-SQRT((1-D205)*('Assumptions'!$D$49-'Assumptions'!$B$49)*('Assumptions'!$D$49-'Assumptions'!$C$49)))</x:f>
        <x:v>0.044968733587719176</x:v>
      </x:c>
      <x:c r="J205" s="132" t="n">
        <x:f>IF(E205&lt;(('Assumptions'!$C$50-'Assumptions'!$B$50)/('Assumptions'!$D$50-'Assumptions'!$B$50)),'Assumptions'!$B$50+SQRT(E205*('Assumptions'!$D$50-'Assumptions'!$B$50)*('Assumptions'!$C$50-'Assumptions'!$B$50)),'Assumptions'!$D$50-SQRT((1-E205)*('Assumptions'!$D$50-'Assumptions'!$B$50)*('Assumptions'!$D$50-'Assumptions'!$C$50)))</x:f>
        <x:v>0.07502120758013915</x:v>
      </x:c>
      <x:c r="K205" s="132" t="n">
        <x:f>IF(F205&lt;(('Assumptions'!$C$51-'Assumptions'!$B$51)/('Assumptions'!$D$51-'Assumptions'!$B$51)),'Assumptions'!$B$51+SQRT(F205*('Assumptions'!$D$51-'Assumptions'!$B$51)*('Assumptions'!$C$51-'Assumptions'!$B$51)),'Assumptions'!$D$51-SQRT((1-F205)*('Assumptions'!$D$51-'Assumptions'!$B$51)*('Assumptions'!$D$51-'Assumptions'!$C$51)))</x:f>
        <x:v>0.07335251481059314</x:v>
      </x:c>
      <x:c r="L205" s="133" t="n">
        <x:f>(('Assumptions'!$B$17*(1+G205)+'Assumptions'!$B$18)*(1-H205-'Assumptions'!$B$20)-SUM('Assumptions'!$B$21:$B$25)*(1+I205))-(('Assumptions'!$B$17*(1+G205)+'Assumptions'!$B$18)*(1-H205-'Assumptions'!$B$20)*'Assumptions'!$B$26)</x:f>
        <x:v>210375.64500455488</x:v>
      </x:c>
      <x:c r="M205" s="133" t="n">
        <x:f>'Assumptions'!$B$10*'Assumptions'!$B$33</x:f>
        <x:v>1950000</x:v>
      </x:c>
      <x:c r="N205" s="133" t="n">
        <x:f>-PMT(K205/12,'Assumptions'!$B$35*12,M205)*12</x:f>
        <x:v>160984.5560112847</x:v>
      </x:c>
      <x:c r="O205" s="133" t="n">
        <x:f>(L205*(1+'Assumptions'!$B$29)^('Assumptions'!$B$14/12)/J205)*(1-'Assumptions'!$B$42)-'Debt Schedule'!$F$9</x:f>
        <x:v>3055803.240783029</x:v>
      </x:c>
      <x:c r="P205" s="132" t="n">
        <x:f>((O205+(L205-N205-'Assumptions'!$B$27-'Assumptions'!$B$28)*('Assumptions'!$B$14/12))/ABS('Monthly Cash Flow'!$S$5))^(1/('Assumptions'!$B$14/12))-1</x:f>
        <x:v>0.19104779395947857</x:v>
      </x:c>
      <x:c r="Q205" s="133" t="n">
        <x:f>-ABS('Monthly Cash Flow'!$S$5)+((L205-N205-'Assumptions'!$B$27-'Assumptions'!$B$28)*(1-(1+'Assumptions'!$B$43)^-('Assumptions'!$B$14/12))/'Assumptions'!$B$43)+(O205/(1+'Assumptions'!$B$43)^('Assumptions'!$B$14/12))</x:f>
        <x:v>638513.0071814777</x:v>
      </x:c>
    </x:row>
    <x:row r="206">
      <x:c r="A206" s="131" t="n">
        <x:f>199</x:f>
        <x:v>199</x:v>
      </x:c>
      <x:c r="B206" s="131" t="n">
        <x:f>MOD(ABS(SIN((A206+1)*12.9898+78.233)*43758.5453),1)</x:f>
        <x:v>0.36726044866009033</x:v>
      </x:c>
      <x:c r="C206" s="131" t="n">
        <x:f>MOD(ABS(SIN((A206+2)*12.9898+78.233)*43758.5453),1)</x:f>
        <x:v>0.489279309066319</x:v>
      </x:c>
      <x:c r="D206" s="131" t="n">
        <x:f>MOD(ABS(SIN((A206+3)*12.9898+78.233)*43758.5453),1)</x:f>
        <x:v>0.9118635592531064</x:v>
      </x:c>
      <x:c r="E206" s="131" t="n">
        <x:f>MOD(ABS(SIN((A206+4)*12.9898+78.233)*43758.5453),1)</x:f>
        <x:v>0.7181009636624367</x:v>
      </x:c>
      <x:c r="F206" s="131" t="n">
        <x:f>MOD(ABS(SIN((A206+5)*12.9898+78.233)*43758.5453),1)</x:f>
        <x:v>0.10409561124106403</x:v>
      </x:c>
      <x:c r="G206" s="132" t="n">
        <x:f>IF(B206&lt;(('Assumptions'!$C$47-'Assumptions'!$B$47)/('Assumptions'!$D$47-'Assumptions'!$B$47)),'Assumptions'!$B$47+SQRT(B206*('Assumptions'!$D$47-'Assumptions'!$B$47)*('Assumptions'!$C$47-'Assumptions'!$B$47)),'Assumptions'!$D$47-SQRT((1-B206)*('Assumptions'!$D$47-'Assumptions'!$B$47)*('Assumptions'!$D$47-'Assumptions'!$C$47)))</x:f>
        <x:v>-0.006115758682076103</x:v>
      </x:c>
      <x:c r="H206" s="132" t="n">
        <x:f>IF(C206&lt;(('Assumptions'!$C$48-'Assumptions'!$B$48)/('Assumptions'!$D$48-'Assumptions'!$B$48)),'Assumptions'!$B$48+SQRT(C206*('Assumptions'!$D$48-'Assumptions'!$B$48)*('Assumptions'!$C$48-'Assumptions'!$B$48)),'Assumptions'!$D$48-SQRT((1-C206)*('Assumptions'!$D$48-'Assumptions'!$B$48)*('Assumptions'!$D$48-'Assumptions'!$C$48)))</x:f>
        <x:v>0.0729601455832697</x:v>
      </x:c>
      <x:c r="I206" s="132" t="n">
        <x:f>IF(D206&lt;(('Assumptions'!$C$49-'Assumptions'!$B$49)/('Assumptions'!$D$49-'Assumptions'!$B$49)),'Assumptions'!$B$49+SQRT(D206*('Assumptions'!$D$49-'Assumptions'!$B$49)*('Assumptions'!$C$49-'Assumptions'!$B$49)),'Assumptions'!$D$49-SQRT((1-D206)*('Assumptions'!$D$49-'Assumptions'!$B$49)*('Assumptions'!$D$49-'Assumptions'!$C$49)))</x:f>
        <x:v>0.1063680493201037</x:v>
      </x:c>
      <x:c r="J206" s="132" t="n">
        <x:f>IF(E206&lt;(('Assumptions'!$C$50-'Assumptions'!$B$50)/('Assumptions'!$D$50-'Assumptions'!$B$50)),'Assumptions'!$B$50+SQRT(E206*('Assumptions'!$D$50-'Assumptions'!$B$50)*('Assumptions'!$C$50-'Assumptions'!$B$50)),'Assumptions'!$D$50-SQRT((1-E206)*('Assumptions'!$D$50-'Assumptions'!$B$50)*('Assumptions'!$D$50-'Assumptions'!$C$50)))</x:f>
        <x:v>0.07109583782886118</x:v>
      </x:c>
      <x:c r="K206" s="132" t="n">
        <x:f>IF(F206&lt;(('Assumptions'!$C$51-'Assumptions'!$B$51)/('Assumptions'!$D$51-'Assumptions'!$B$51)),'Assumptions'!$B$51+SQRT(F206*('Assumptions'!$D$51-'Assumptions'!$B$51)*('Assumptions'!$C$51-'Assumptions'!$B$51)),'Assumptions'!$D$51-SQRT((1-F206)*('Assumptions'!$D$51-'Assumptions'!$B$51)*('Assumptions'!$D$51-'Assumptions'!$C$51)))</x:f>
        <x:v>0.06285035448276959</x:v>
      </x:c>
      <x:c r="L206" s="133" t="n">
        <x:f>(('Assumptions'!$B$17*(1+G206)+'Assumptions'!$B$18)*(1-H206-'Assumptions'!$B$20)-SUM('Assumptions'!$B$21:$B$25)*(1+I206))-(('Assumptions'!$B$17*(1+G206)+'Assumptions'!$B$18)*(1-H206-'Assumptions'!$B$20)*'Assumptions'!$B$26)</x:f>
        <x:v>191434.7870339858</x:v>
      </x:c>
      <x:c r="M206" s="133" t="n">
        <x:f>'Assumptions'!$B$10*'Assumptions'!$B$33</x:f>
        <x:v>1950000</x:v>
      </x:c>
      <x:c r="N206" s="133" t="n">
        <x:f>-PMT(K206/12,'Assumptions'!$B$35*12,M206)*12</x:f>
        <x:v>144611.4502841247</x:v>
      </x:c>
      <x:c r="O206" s="133" t="n">
        <x:f>(L206*(1+'Assumptions'!$B$29)^('Assumptions'!$B$14/12)/J206)*(1-'Assumptions'!$B$42)-'Debt Schedule'!$F$9</x:f>
        <x:v>2934206.40035412</x:v>
      </x:c>
      <x:c r="P206" s="132" t="n">
        <x:f>((O206+(L206-N206-'Assumptions'!$B$27-'Assumptions'!$B$28)*('Assumptions'!$B$14/12))/ABS('Monthly Cash Flow'!$S$5))^(1/('Assumptions'!$B$14/12))-1</x:f>
        <x:v>0.18054303409015504</x:v>
      </x:c>
      <x:c r="Q206" s="133" t="n">
        <x:f>-ABS('Monthly Cash Flow'!$S$5)+((L206-N206-'Assumptions'!$B$27-'Assumptions'!$B$28)*(1-(1+'Assumptions'!$B$43)^-('Assumptions'!$B$14/12))/'Assumptions'!$B$43)+(O206/(1+'Assumptions'!$B$43)^('Assumptions'!$B$14/12))</x:f>
        <x:v>553277.1349111125</x:v>
      </x:c>
    </x:row>
    <x:row r="207">
      <x:c r="A207" s="131" t="n">
        <x:f>200</x:f>
        <x:v>200</x:v>
      </x:c>
      <x:c r="B207" s="131" t="n">
        <x:f>MOD(ABS(SIN((A207+1)*12.9898+78.233)*43758.5453),1)</x:f>
        <x:v>0.489279309066319</x:v>
      </x:c>
      <x:c r="C207" s="131" t="n">
        <x:f>MOD(ABS(SIN((A207+2)*12.9898+78.233)*43758.5453),1)</x:f>
        <x:v>0.9118635592531064</x:v>
      </x:c>
      <x:c r="D207" s="131" t="n">
        <x:f>MOD(ABS(SIN((A207+3)*12.9898+78.233)*43758.5453),1)</x:f>
        <x:v>0.7181009636624367</x:v>
      </x:c>
      <x:c r="E207" s="131" t="n">
        <x:f>MOD(ABS(SIN((A207+4)*12.9898+78.233)*43758.5453),1)</x:f>
        <x:v>0.10409561124106403</x:v>
      </x:c>
      <x:c r="F207" s="131" t="n">
        <x:f>MOD(ABS(SIN((A207+5)*12.9898+78.233)*43758.5453),1)</x:f>
        <x:v>0.28131636352918576</x:v>
      </x:c>
      <x:c r="G207" s="132" t="n">
        <x:f>IF(B207&lt;(('Assumptions'!$C$47-'Assumptions'!$B$47)/('Assumptions'!$D$47-'Assumptions'!$B$47)),'Assumptions'!$B$47+SQRT(B207*('Assumptions'!$D$47-'Assumptions'!$B$47)*('Assumptions'!$C$47-'Assumptions'!$B$47)),'Assumptions'!$D$47-SQRT((1-B207)*('Assumptions'!$D$47-'Assumptions'!$B$47)*('Assumptions'!$D$47-'Assumptions'!$C$47)))</x:f>
        <x:v>0.00836375509178175</x:v>
      </x:c>
      <x:c r="H207" s="132" t="n">
        <x:f>IF(C207&lt;(('Assumptions'!$C$48-'Assumptions'!$B$48)/('Assumptions'!$D$48-'Assumptions'!$B$48)),'Assumptions'!$B$48+SQRT(C207*('Assumptions'!$D$48-'Assumptions'!$B$48)*('Assumptions'!$C$48-'Assumptions'!$B$48)),'Assumptions'!$D$48-SQRT((1-C207)*('Assumptions'!$D$48-'Assumptions'!$B$48)*('Assumptions'!$D$48-'Assumptions'!$C$48)))</x:f>
        <x:v>0.11215039176985314</x:v>
      </x:c>
      <x:c r="I207" s="132" t="n">
        <x:f>IF(D207&lt;(('Assumptions'!$C$49-'Assumptions'!$B$49)/('Assumptions'!$D$49-'Assumptions'!$B$49)),'Assumptions'!$B$49+SQRT(D207*('Assumptions'!$D$49-'Assumptions'!$B$49)*('Assumptions'!$C$49-'Assumptions'!$B$49)),'Assumptions'!$D$49-SQRT((1-D207)*('Assumptions'!$D$49-'Assumptions'!$B$49)*('Assumptions'!$D$49-'Assumptions'!$C$49)))</x:f>
        <x:v>0.07196783237092944</x:v>
      </x:c>
      <x:c r="J207" s="132" t="n">
        <x:f>IF(E207&lt;(('Assumptions'!$C$50-'Assumptions'!$B$50)/('Assumptions'!$D$50-'Assumptions'!$B$50)),'Assumptions'!$B$50+SQRT(E207*('Assumptions'!$D$50-'Assumptions'!$B$50)*('Assumptions'!$C$50-'Assumptions'!$B$50)),'Assumptions'!$D$50-SQRT((1-E207)*('Assumptions'!$D$50-'Assumptions'!$B$50)*('Assumptions'!$D$50-'Assumptions'!$C$50)))</x:f>
        <x:v>0.06233957772220257</x:v>
      </x:c>
      <x:c r="K207" s="132" t="n">
        <x:f>IF(F207&lt;(('Assumptions'!$C$51-'Assumptions'!$B$51)/('Assumptions'!$D$51-'Assumptions'!$B$51)),'Assumptions'!$B$51+SQRT(F207*('Assumptions'!$D$51-'Assumptions'!$B$51)*('Assumptions'!$C$51-'Assumptions'!$B$51)),'Assumptions'!$D$51-SQRT((1-F207)*('Assumptions'!$D$51-'Assumptions'!$B$51)*('Assumptions'!$D$51-'Assumptions'!$C$51)))</x:f>
        <x:v>0.0662955670636137</x:v>
      </x:c>
      <x:c r="L207" s="133" t="n">
        <x:f>(('Assumptions'!$B$17*(1+G207)+'Assumptions'!$B$18)*(1-H207-'Assumptions'!$B$20)-SUM('Assumptions'!$B$21:$B$25)*(1+I207))-(('Assumptions'!$B$17*(1+G207)+'Assumptions'!$B$18)*(1-H207-'Assumptions'!$B$20)*'Assumptions'!$B$26)</x:f>
        <x:v>186023.5553273724</x:v>
      </x:c>
      <x:c r="M207" s="133" t="n">
        <x:f>'Assumptions'!$B$10*'Assumptions'!$B$33</x:f>
        <x:v>1950000</x:v>
      </x:c>
      <x:c r="N207" s="133" t="n">
        <x:f>-PMT(K207/12,'Assumptions'!$B$35*12,M207)*12</x:f>
        <x:v>149903.274674623</x:v>
      </x:c>
      <x:c r="O207" s="133" t="n">
        <x:f>(L207*(1+'Assumptions'!$B$29)^('Assumptions'!$B$14/12)/J207)*(1-'Assumptions'!$B$42)-'Debt Schedule'!$F$9</x:f>
        <x:v>3251756.832705157</x:v>
      </x:c>
      <x:c r="P207" s="132" t="n">
        <x:f>((O207+(L207-N207-'Assumptions'!$B$27-'Assumptions'!$B$28)*('Assumptions'!$B$14/12))/ABS('Monthly Cash Flow'!$S$5))^(1/('Assumptions'!$B$14/12))-1</x:f>
        <x:v>0.20083541162382268</x:v>
      </x:c>
      <x:c r="Q207" s="133" t="n">
        <x:f>-ABS('Monthly Cash Flow'!$S$5)+((L207-N207-'Assumptions'!$B$27-'Assumptions'!$B$28)*(1-(1+'Assumptions'!$B$43)^-('Assumptions'!$B$14/12))/'Assumptions'!$B$43)+(O207/(1+'Assumptions'!$B$43)^('Assumptions'!$B$14/12))</x:f>
        <x:v>709877.9660593576</x:v>
      </x:c>
    </x:row>
    <x:row r="208">
      <x:c r="A208" s="131" t="n">
        <x:f>201</x:f>
        <x:v>201</x:v>
      </x:c>
      <x:c r="B208" s="131" t="n">
        <x:f>MOD(ABS(SIN((A208+1)*12.9898+78.233)*43758.5453),1)</x:f>
        <x:v>0.9118635592531064</x:v>
      </x:c>
      <x:c r="C208" s="131" t="n">
        <x:f>MOD(ABS(SIN((A208+2)*12.9898+78.233)*43758.5453),1)</x:f>
        <x:v>0.7181009636624367</x:v>
      </x:c>
      <x:c r="D208" s="131" t="n">
        <x:f>MOD(ABS(SIN((A208+3)*12.9898+78.233)*43758.5453),1)</x:f>
        <x:v>0.10409561124106403</x:v>
      </x:c>
      <x:c r="E208" s="131" t="n">
        <x:f>MOD(ABS(SIN((A208+4)*12.9898+78.233)*43758.5453),1)</x:f>
        <x:v>0.28131636352918576</x:v>
      </x:c>
      <x:c r="F208" s="131" t="n">
        <x:f>MOD(ABS(SIN((A208+5)*12.9898+78.233)*43758.5453),1)</x:f>
        <x:v>0.8995070363307605</x:v>
      </x:c>
      <x:c r="G208" s="132" t="n">
        <x:f>IF(B208&lt;(('Assumptions'!$C$47-'Assumptions'!$B$47)/('Assumptions'!$D$47-'Assumptions'!$B$47)),'Assumptions'!$B$47+SQRT(B208*('Assumptions'!$D$47-'Assumptions'!$B$47)*('Assumptions'!$C$47-'Assumptions'!$B$47)),'Assumptions'!$D$47-SQRT((1-B208)*('Assumptions'!$D$47-'Assumptions'!$B$47)*('Assumptions'!$D$47-'Assumptions'!$C$47)))</x:f>
        <x:v>0.06244759592315962</x:v>
      </x:c>
      <x:c r="H208" s="132" t="n">
        <x:f>IF(C208&lt;(('Assumptions'!$C$48-'Assumptions'!$B$48)/('Assumptions'!$D$48-'Assumptions'!$B$48)),'Assumptions'!$B$48+SQRT(C208*('Assumptions'!$D$48-'Assumptions'!$B$48)*('Assumptions'!$C$48-'Assumptions'!$B$48)),'Assumptions'!$D$48-SQRT((1-C208)*('Assumptions'!$D$48-'Assumptions'!$B$48)*('Assumptions'!$D$48-'Assumptions'!$C$48)))</x:f>
        <x:v>0.09019325828996083</x:v>
      </x:c>
      <x:c r="I208" s="132" t="n">
        <x:f>IF(D208&lt;(('Assumptions'!$C$49-'Assumptions'!$B$49)/('Assumptions'!$D$49-'Assumptions'!$B$49)),'Assumptions'!$B$49+SQRT(D208*('Assumptions'!$D$49-'Assumptions'!$B$49)*('Assumptions'!$C$49-'Assumptions'!$B$49)),'Assumptions'!$D$49-SQRT((1-D208)*('Assumptions'!$D$49-'Assumptions'!$B$49)*('Assumptions'!$D$49-'Assumptions'!$C$49)))</x:f>
        <x:v>0.0035295780081332287</x:v>
      </x:c>
      <x:c r="J208" s="132" t="n">
        <x:f>IF(E208&lt;(('Assumptions'!$C$50-'Assumptions'!$B$50)/('Assumptions'!$D$50-'Assumptions'!$B$50)),'Assumptions'!$B$50+SQRT(E208*('Assumptions'!$D$50-'Assumptions'!$B$50)*('Assumptions'!$C$50-'Assumptions'!$B$50)),'Assumptions'!$D$50-SQRT((1-E208)*('Assumptions'!$D$50-'Assumptions'!$B$50)*('Assumptions'!$D$50-'Assumptions'!$C$50)))</x:f>
        <x:v>0.06545588975502217</x:v>
      </x:c>
      <x:c r="K208" s="132" t="n">
        <x:f>IF(F208&lt;(('Assumptions'!$C$51-'Assumptions'!$B$51)/('Assumptions'!$D$51-'Assumptions'!$B$51)),'Assumptions'!$B$51+SQRT(F208*('Assumptions'!$D$51-'Assumptions'!$B$51)*('Assumptions'!$C$51-'Assumptions'!$B$51)),'Assumptions'!$D$51-SQRT((1-F208)*('Assumptions'!$D$51-'Assumptions'!$B$51)*('Assumptions'!$D$51-'Assumptions'!$C$51)))</x:f>
        <x:v>0.07804570357506804</x:v>
      </x:c>
      <x:c r="L208" s="133" t="n">
        <x:f>(('Assumptions'!$B$17*(1+G208)+'Assumptions'!$B$18)*(1-H208-'Assumptions'!$B$20)-SUM('Assumptions'!$B$21:$B$25)*(1+I208))-(('Assumptions'!$B$17*(1+G208)+'Assumptions'!$B$18)*(1-H208-'Assumptions'!$B$20)*'Assumptions'!$B$26)</x:f>
        <x:v>219496.67295966233</x:v>
      </x:c>
      <x:c r="M208" s="133" t="n">
        <x:f>'Assumptions'!$B$10*'Assumptions'!$B$33</x:f>
        <x:v>1950000</x:v>
      </x:c>
      <x:c r="N208" s="133" t="n">
        <x:f>-PMT(K208/12,'Assumptions'!$B$35*12,M208)*12</x:f>
        <x:v>168523.73861999603</x:v>
      </x:c>
      <x:c r="O208" s="133" t="n">
        <x:f>(L208*(1+'Assumptions'!$B$29)^('Assumptions'!$B$14/12)/J208)*(1-'Assumptions'!$B$42)-'Debt Schedule'!$F$9</x:f>
        <x:v>3654207.361797504</x:v>
      </x:c>
      <x:c r="P208" s="132" t="n">
        <x:f>((O208+(L208-N208-'Assumptions'!$B$27-'Assumptions'!$B$28)*('Assumptions'!$B$14/12))/ABS('Monthly Cash Flow'!$S$5))^(1/('Assumptions'!$B$14/12))-1</x:f>
        <x:v>0.23433385991585398</x:v>
      </x:c>
      <x:c r="Q208" s="133" t="n">
        <x:f>-ABS('Monthly Cash Flow'!$S$5)+((L208-N208-'Assumptions'!$B$27-'Assumptions'!$B$28)*(1-(1+'Assumptions'!$B$43)^-('Assumptions'!$B$14/12))/'Assumptions'!$B$43)+(O208/(1+'Assumptions'!$B$43)^('Assumptions'!$B$14/12))</x:f>
        <x:v>1016071.3241362053</x:v>
      </x:c>
    </x:row>
    <x:row r="209">
      <x:c r="A209" s="131" t="n">
        <x:f>202</x:f>
        <x:v>202</x:v>
      </x:c>
      <x:c r="B209" s="131" t="n">
        <x:f>MOD(ABS(SIN((A209+1)*12.9898+78.233)*43758.5453),1)</x:f>
        <x:v>0.7181009636624367</x:v>
      </x:c>
      <x:c r="C209" s="131" t="n">
        <x:f>MOD(ABS(SIN((A209+2)*12.9898+78.233)*43758.5453),1)</x:f>
        <x:v>0.10409561124106403</x:v>
      </x:c>
      <x:c r="D209" s="131" t="n">
        <x:f>MOD(ABS(SIN((A209+3)*12.9898+78.233)*43758.5453),1)</x:f>
        <x:v>0.28131636352918576</x:v>
      </x:c>
      <x:c r="E209" s="131" t="n">
        <x:f>MOD(ABS(SIN((A209+4)*12.9898+78.233)*43758.5453),1)</x:f>
        <x:v>0.8995070363307605</x:v>
      </x:c>
      <x:c r="F209" s="131" t="n">
        <x:f>MOD(ABS(SIN((A209+5)*12.9898+78.233)*43758.5453),1)</x:f>
        <x:v>0.635426136879687</x:v>
      </x:c>
      <x:c r="G209" s="132" t="n">
        <x:f>IF(B209&lt;(('Assumptions'!$C$47-'Assumptions'!$B$47)/('Assumptions'!$D$47-'Assumptions'!$B$47)),'Assumptions'!$B$47+SQRT(B209*('Assumptions'!$D$47-'Assumptions'!$B$47)*('Assumptions'!$C$47-'Assumptions'!$B$47)),'Assumptions'!$D$47-SQRT((1-B209)*('Assumptions'!$D$47-'Assumptions'!$B$47)*('Assumptions'!$D$47-'Assumptions'!$C$47)))</x:f>
        <x:v>0.03284060317869872</x:v>
      </x:c>
      <x:c r="H209" s="132" t="n">
        <x:f>IF(C209&lt;(('Assumptions'!$C$48-'Assumptions'!$B$48)/('Assumptions'!$D$48-'Assumptions'!$B$48)),'Assumptions'!$B$48+SQRT(C209*('Assumptions'!$D$48-'Assumptions'!$B$48)*('Assumptions'!$C$48-'Assumptions'!$B$48)),'Assumptions'!$D$48-SQRT((1-C209)*('Assumptions'!$D$48-'Assumptions'!$B$48)*('Assumptions'!$D$48-'Assumptions'!$C$48)))</x:f>
        <x:v>0.048534171605321655</x:v>
      </x:c>
      <x:c r="I209" s="132" t="n">
        <x:f>IF(D209&lt;(('Assumptions'!$C$49-'Assumptions'!$B$49)/('Assumptions'!$D$49-'Assumptions'!$B$49)),'Assumptions'!$B$49+SQRT(D209*('Assumptions'!$D$49-'Assumptions'!$B$49)*('Assumptions'!$C$49-'Assumptions'!$B$49)),'Assumptions'!$D$49-SQRT((1-D209)*('Assumptions'!$D$49-'Assumptions'!$B$49)*('Assumptions'!$D$49-'Assumptions'!$C$49)))</x:f>
        <x:v>0.02512002110046046</x:v>
      </x:c>
      <x:c r="J209" s="132" t="n">
        <x:f>IF(E209&lt;(('Assumptions'!$C$50-'Assumptions'!$B$50)/('Assumptions'!$D$50-'Assumptions'!$B$50)),'Assumptions'!$B$50+SQRT(E209*('Assumptions'!$D$50-'Assumptions'!$B$50)*('Assumptions'!$C$50-'Assumptions'!$B$50)),'Assumptions'!$D$50-SQRT((1-E209)*('Assumptions'!$D$50-'Assumptions'!$B$50)*('Assumptions'!$D$50-'Assumptions'!$C$50)))</x:f>
        <x:v>0.07468364353791306</x:v>
      </x:c>
      <x:c r="K209" s="132" t="n">
        <x:f>IF(F209&lt;(('Assumptions'!$C$51-'Assumptions'!$B$51)/('Assumptions'!$D$51-'Assumptions'!$B$51)),'Assumptions'!$B$51+SQRT(F209*('Assumptions'!$D$51-'Assumptions'!$B$51)*('Assumptions'!$C$51-'Assumptions'!$B$51)),'Assumptions'!$D$51-SQRT((1-F209)*('Assumptions'!$D$51-'Assumptions'!$B$51)*('Assumptions'!$D$51-'Assumptions'!$C$51)))</x:f>
        <x:v>0.07175420173690349</x:v>
      </x:c>
      <x:c r="L209" s="133" t="n">
        <x:f>(('Assumptions'!$B$17*(1+G209)+'Assumptions'!$B$18)*(1-H209-'Assumptions'!$B$20)-SUM('Assumptions'!$B$21:$B$25)*(1+I209))-(('Assumptions'!$B$17*(1+G209)+'Assumptions'!$B$18)*(1-H209-'Assumptions'!$B$20)*'Assumptions'!$B$26)</x:f>
        <x:v>223159.36359104083</x:v>
      </x:c>
      <x:c r="M209" s="133" t="n">
        <x:f>'Assumptions'!$B$10*'Assumptions'!$B$33</x:f>
        <x:v>1950000</x:v>
      </x:c>
      <x:c r="N209" s="133" t="n">
        <x:f>-PMT(K209/12,'Assumptions'!$B$35*12,M209)*12</x:f>
        <x:v>158447.26623399806</x:v>
      </x:c>
      <x:c r="O209" s="133" t="n">
        <x:f>(L209*(1+'Assumptions'!$B$29)^('Assumptions'!$B$14/12)/J209)*(1-'Assumptions'!$B$42)-'Debt Schedule'!$F$9</x:f>
        <x:v>3256143.9325871635</x:v>
      </x:c>
      <x:c r="P209" s="132" t="n">
        <x:f>((O209+(L209-N209-'Assumptions'!$B$27-'Assumptions'!$B$28)*('Assumptions'!$B$14/12))/ABS('Monthly Cash Flow'!$S$5))^(1/('Assumptions'!$B$14/12))-1</x:f>
        <x:v>0.21158903136626184</x:v>
      </x:c>
      <x:c r="Q209" s="133" t="n">
        <x:f>-ABS('Monthly Cash Flow'!$S$5)+((L209-N209-'Assumptions'!$B$27-'Assumptions'!$B$28)*(1-(1+'Assumptions'!$B$43)^-('Assumptions'!$B$14/12))/'Assumptions'!$B$43)+(O209/(1+'Assumptions'!$B$43)^('Assumptions'!$B$14/12))</x:f>
        <x:v>820987.4903984729</x:v>
      </x:c>
    </x:row>
    <x:row r="210">
      <x:c r="A210" s="131" t="n">
        <x:f>203</x:f>
        <x:v>203</x:v>
      </x:c>
      <x:c r="B210" s="131" t="n">
        <x:f>MOD(ABS(SIN((A210+1)*12.9898+78.233)*43758.5453),1)</x:f>
        <x:v>0.10409561124106403</x:v>
      </x:c>
      <x:c r="C210" s="131" t="n">
        <x:f>MOD(ABS(SIN((A210+2)*12.9898+78.233)*43758.5453),1)</x:f>
        <x:v>0.28131636352918576</x:v>
      </x:c>
      <x:c r="D210" s="131" t="n">
        <x:f>MOD(ABS(SIN((A210+3)*12.9898+78.233)*43758.5453),1)</x:f>
        <x:v>0.8995070363307605</x:v>
      </x:c>
      <x:c r="E210" s="131" t="n">
        <x:f>MOD(ABS(SIN((A210+4)*12.9898+78.233)*43758.5453),1)</x:f>
        <x:v>0.635426136879687</x:v>
      </x:c>
      <x:c r="F210" s="131" t="n">
        <x:f>MOD(ABS(SIN((A210+5)*12.9898+78.233)*43758.5453),1)</x:f>
        <x:v>0.9138344748989766</x:v>
      </x:c>
      <x:c r="G210" s="132" t="n">
        <x:f>IF(B210&lt;(('Assumptions'!$C$47-'Assumptions'!$B$47)/('Assumptions'!$D$47-'Assumptions'!$B$47)),'Assumptions'!$B$47+SQRT(B210*('Assumptions'!$D$47-'Assumptions'!$B$47)*('Assumptions'!$C$47-'Assumptions'!$B$47)),'Assumptions'!$D$47-SQRT((1-B210)*('Assumptions'!$D$47-'Assumptions'!$B$47)*('Assumptions'!$D$47-'Assumptions'!$C$47)))</x:f>
        <x:v>-0.05001705621128807</x:v>
      </x:c>
      <x:c r="H210" s="132" t="n">
        <x:f>IF(C210&lt;(('Assumptions'!$C$48-'Assumptions'!$B$48)/('Assumptions'!$D$48-'Assumptions'!$B$48)),'Assumptions'!$B$48+SQRT(C210*('Assumptions'!$D$48-'Assumptions'!$B$48)*('Assumptions'!$C$48-'Assumptions'!$B$48)),'Assumptions'!$D$48-SQRT((1-C210)*('Assumptions'!$D$48-'Assumptions'!$B$48)*('Assumptions'!$D$48-'Assumptions'!$C$48)))</x:f>
        <x:v>0.060473803052433314</x:v>
      </x:c>
      <x:c r="I210" s="132" t="n">
        <x:f>IF(D210&lt;(('Assumptions'!$C$49-'Assumptions'!$B$49)/('Assumptions'!$D$49-'Assumptions'!$B$49)),'Assumptions'!$B$49+SQRT(D210*('Assumptions'!$D$49-'Assumptions'!$B$49)*('Assumptions'!$C$49-'Assumptions'!$B$49)),'Assumptions'!$D$49-SQRT((1-D210)*('Assumptions'!$D$49-'Assumptions'!$B$49)*('Assumptions'!$D$49-'Assumptions'!$C$49)))</x:f>
        <x:v>0.10340978627162595</x:v>
      </x:c>
      <x:c r="J210" s="132" t="n">
        <x:f>IF(E210&lt;(('Assumptions'!$C$50-'Assumptions'!$B$50)/('Assumptions'!$D$50-'Assumptions'!$B$50)),'Assumptions'!$B$50+SQRT(E210*('Assumptions'!$D$50-'Assumptions'!$B$50)*('Assumptions'!$C$50-'Assumptions'!$B$50)),'Assumptions'!$D$50-SQRT((1-E210)*('Assumptions'!$D$50-'Assumptions'!$B$50)*('Assumptions'!$D$50-'Assumptions'!$C$50)))</x:f>
        <x:v>0.06987397417529523</x:v>
      </x:c>
      <x:c r="K210" s="132" t="n">
        <x:f>IF(F210&lt;(('Assumptions'!$C$51-'Assumptions'!$B$51)/('Assumptions'!$D$51-'Assumptions'!$B$51)),'Assumptions'!$B$51+SQRT(F210*('Assumptions'!$D$51-'Assumptions'!$B$51)*('Assumptions'!$C$51-'Assumptions'!$B$51)),'Assumptions'!$D$51-SQRT((1-F210)*('Assumptions'!$D$51-'Assumptions'!$B$51)*('Assumptions'!$D$51-'Assumptions'!$C$51)))</x:f>
        <x:v>0.07856050010056158</x:v>
      </x:c>
      <x:c r="L210" s="133" t="n">
        <x:f>(('Assumptions'!$B$17*(1+G210)+'Assumptions'!$B$18)*(1-H210-'Assumptions'!$B$20)-SUM('Assumptions'!$B$21:$B$25)*(1+I210))-(('Assumptions'!$B$17*(1+G210)+'Assumptions'!$B$18)*(1-H210-'Assumptions'!$B$20)*'Assumptions'!$B$26)</x:f>
        <x:v>182209.14138498862</x:v>
      </x:c>
      <x:c r="M210" s="133" t="n">
        <x:f>'Assumptions'!$B$10*'Assumptions'!$B$33</x:f>
        <x:v>1950000</x:v>
      </x:c>
      <x:c r="N210" s="133" t="n">
        <x:f>-PMT(K210/12,'Assumptions'!$B$35*12,M210)*12</x:f>
        <x:v>169358.55495340272</x:v>
      </x:c>
      <x:c r="O210" s="133" t="n">
        <x:f>(L210*(1+'Assumptions'!$B$29)^('Assumptions'!$B$14/12)/J210)*(1-'Assumptions'!$B$42)-'Debt Schedule'!$F$9</x:f>
        <x:v>2841637.620145523</x:v>
      </x:c>
      <x:c r="P210" s="132" t="n">
        <x:f>((O210+(L210-N210-'Assumptions'!$B$27-'Assumptions'!$B$28)*('Assumptions'!$B$14/12))/ABS('Monthly Cash Flow'!$S$5))^(1/('Assumptions'!$B$14/12))-1</x:f>
        <x:v>0.158888449446563</x:v>
      </x:c>
      <x:c r="Q210" s="133" t="n">
        <x:f>-ABS('Monthly Cash Flow'!$S$5)+((L210-N210-'Assumptions'!$B$27-'Assumptions'!$B$28)*(1-(1+'Assumptions'!$B$43)^-('Assumptions'!$B$14/12))/'Assumptions'!$B$43)+(O210/(1+'Assumptions'!$B$43)^('Assumptions'!$B$14/12))</x:f>
        <x:v>367015.7530030841</x:v>
      </x:c>
    </x:row>
    <x:row r="211">
      <x:c r="A211" s="131" t="n">
        <x:f>204</x:f>
        <x:v>204</x:v>
      </x:c>
      <x:c r="B211" s="131" t="n">
        <x:f>MOD(ABS(SIN((A211+1)*12.9898+78.233)*43758.5453),1)</x:f>
        <x:v>0.28131636352918576</x:v>
      </x:c>
      <x:c r="C211" s="131" t="n">
        <x:f>MOD(ABS(SIN((A211+2)*12.9898+78.233)*43758.5453),1)</x:f>
        <x:v>0.8995070363307605</x:v>
      </x:c>
      <x:c r="D211" s="131" t="n">
        <x:f>MOD(ABS(SIN((A211+3)*12.9898+78.233)*43758.5453),1)</x:f>
        <x:v>0.635426136879687</x:v>
      </x:c>
      <x:c r="E211" s="131" t="n">
        <x:f>MOD(ABS(SIN((A211+4)*12.9898+78.233)*43758.5453),1)</x:f>
        <x:v>0.9138344748989766</x:v>
      </x:c>
      <x:c r="F211" s="131" t="n">
        <x:f>MOD(ABS(SIN((A211+5)*12.9898+78.233)*43758.5453),1)</x:f>
        <x:v>0.9265507168038312</x:v>
      </x:c>
      <x:c r="G211" s="132" t="n">
        <x:f>IF(B211&lt;(('Assumptions'!$C$47-'Assumptions'!$B$47)/('Assumptions'!$D$47-'Assumptions'!$B$47)),'Assumptions'!$B$47+SQRT(B211*('Assumptions'!$D$47-'Assumptions'!$B$47)*('Assumptions'!$C$47-'Assumptions'!$B$47)),'Assumptions'!$D$47-SQRT((1-B211)*('Assumptions'!$D$47-'Assumptions'!$B$47)*('Assumptions'!$D$47-'Assumptions'!$C$47)))</x:f>
        <x:v>-0.01783192393209844</x:v>
      </x:c>
      <x:c r="H211" s="132" t="n">
        <x:f>IF(C211&lt;(('Assumptions'!$C$48-'Assumptions'!$B$48)/('Assumptions'!$D$48-'Assumptions'!$B$48)),'Assumptions'!$B$48+SQRT(C211*('Assumptions'!$D$48-'Assumptions'!$B$48)*('Assumptions'!$C$48-'Assumptions'!$B$48)),'Assumptions'!$D$48-SQRT((1-C211)*('Assumptions'!$D$48-'Assumptions'!$B$48)*('Assumptions'!$D$48-'Assumptions'!$C$48)))</x:f>
        <x:v>0.1102621776135288</x:v>
      </x:c>
      <x:c r="I211" s="132" t="n">
        <x:f>IF(D211&lt;(('Assumptions'!$C$49-'Assumptions'!$B$49)/('Assumptions'!$D$49-'Assumptions'!$B$49)),'Assumptions'!$B$49+SQRT(D211*('Assumptions'!$D$49-'Assumptions'!$B$49)*('Assumptions'!$C$49-'Assumptions'!$B$49)),'Assumptions'!$D$49-SQRT((1-D211)*('Assumptions'!$D$49-'Assumptions'!$B$49)*('Assumptions'!$D$49-'Assumptions'!$C$49)))</x:f>
        <x:v>0.06125995580686945</x:v>
      </x:c>
      <x:c r="J211" s="132" t="n">
        <x:f>IF(E211&lt;(('Assumptions'!$C$50-'Assumptions'!$B$50)/('Assumptions'!$D$50-'Assumptions'!$B$50)),'Assumptions'!$B$50+SQRT(E211*('Assumptions'!$D$50-'Assumptions'!$B$50)*('Assumptions'!$C$50-'Assumptions'!$B$50)),'Assumptions'!$D$50-SQRT((1-E211)*('Assumptions'!$D$50-'Assumptions'!$B$50)*('Assumptions'!$D$50-'Assumptions'!$C$50)))</x:f>
        <x:v>0.0750771904429825</x:v>
      </x:c>
      <x:c r="K211" s="132" t="n">
        <x:f>IF(F211&lt;(('Assumptions'!$C$51-'Assumptions'!$B$51)/('Assumptions'!$D$51-'Assumptions'!$B$51)),'Assumptions'!$B$51+SQRT(F211*('Assumptions'!$D$51-'Assumptions'!$B$51)*('Assumptions'!$C$51-'Assumptions'!$B$51)),'Assumptions'!$D$51-SQRT((1-F211)*('Assumptions'!$D$51-'Assumptions'!$B$51)*('Assumptions'!$D$51-'Assumptions'!$C$51)))</x:f>
        <x:v>0.07905462637522619</x:v>
      </x:c>
      <x:c r="L211" s="133" t="n">
        <x:f>(('Assumptions'!$B$17*(1+G211)+'Assumptions'!$B$18)*(1-H211-'Assumptions'!$B$20)-SUM('Assumptions'!$B$21:$B$25)*(1+I211))-(('Assumptions'!$B$17*(1+G211)+'Assumptions'!$B$18)*(1-H211-'Assumptions'!$B$20)*'Assumptions'!$B$26)</x:f>
        <x:v>180098.9349196797</x:v>
      </x:c>
      <x:c r="M211" s="133" t="n">
        <x:f>'Assumptions'!$B$10*'Assumptions'!$B$33</x:f>
        <x:v>1950000</x:v>
      </x:c>
      <x:c r="N211" s="133" t="n">
        <x:f>-PMT(K211/12,'Assumptions'!$B$35*12,M211)*12</x:f>
        <x:v>170161.27495758887</x:v>
      </x:c>
      <x:c r="O211" s="133" t="n">
        <x:f>(L211*(1+'Assumptions'!$B$29)^('Assumptions'!$B$14/12)/J211)*(1-'Assumptions'!$B$42)-'Debt Schedule'!$F$9</x:f>
        <x:v>2614069.377659912</x:v>
      </x:c>
      <x:c r="P211" s="132" t="n">
        <x:f>((O211+(L211-N211-'Assumptions'!$B$27-'Assumptions'!$B$28)*('Assumptions'!$B$14/12))/ABS('Monthly Cash Flow'!$S$5))^(1/('Assumptions'!$B$14/12))-1</x:f>
        <x:v>0.1373632389139554</x:v>
      </x:c>
      <x:c r="Q211" s="133" t="n">
        <x:f>-ABS('Monthly Cash Flow'!$S$5)+((L211-N211-'Assumptions'!$B$27-'Assumptions'!$B$28)*(1-(1+'Assumptions'!$B$43)^-('Assumptions'!$B$14/12))/'Assumptions'!$B$43)+(O211/(1+'Assumptions'!$B$43)^('Assumptions'!$B$14/12))</x:f>
        <x:v>214671.49567185063</x:v>
      </x:c>
    </x:row>
    <x:row r="212">
      <x:c r="A212" s="131" t="n">
        <x:f>205</x:f>
        <x:v>205</x:v>
      </x:c>
      <x:c r="B212" s="131" t="n">
        <x:f>MOD(ABS(SIN((A212+1)*12.9898+78.233)*43758.5453),1)</x:f>
        <x:v>0.8995070363307605</x:v>
      </x:c>
      <x:c r="C212" s="131" t="n">
        <x:f>MOD(ABS(SIN((A212+2)*12.9898+78.233)*43758.5453),1)</x:f>
        <x:v>0.635426136879687</x:v>
      </x:c>
      <x:c r="D212" s="131" t="n">
        <x:f>MOD(ABS(SIN((A212+3)*12.9898+78.233)*43758.5453),1)</x:f>
        <x:v>0.9138344748989766</x:v>
      </x:c>
      <x:c r="E212" s="131" t="n">
        <x:f>MOD(ABS(SIN((A212+4)*12.9898+78.233)*43758.5453),1)</x:f>
        <x:v>0.9265507168038312</x:v>
      </x:c>
      <x:c r="F212" s="131" t="n">
        <x:f>MOD(ABS(SIN((A212+5)*12.9898+78.233)*43758.5453),1)</x:f>
        <x:v>0.8724261540155567</x:v>
      </x:c>
      <x:c r="G212" s="132" t="n">
        <x:f>IF(B212&lt;(('Assumptions'!$C$47-'Assumptions'!$B$47)/('Assumptions'!$D$47-'Assumptions'!$B$47)),'Assumptions'!$B$47+SQRT(B212*('Assumptions'!$D$47-'Assumptions'!$B$47)*('Assumptions'!$C$47-'Assumptions'!$B$47)),'Assumptions'!$D$47-SQRT((1-B212)*('Assumptions'!$D$47-'Assumptions'!$B$47)*('Assumptions'!$D$47-'Assumptions'!$C$47)))</x:f>
        <x:v>0.05990152847416959</x:v>
      </x:c>
      <x:c r="H212" s="132" t="n">
        <x:f>IF(C212&lt;(('Assumptions'!$C$48-'Assumptions'!$B$48)/('Assumptions'!$D$48-'Assumptions'!$B$48)),'Assumptions'!$B$48+SQRT(C212*('Assumptions'!$D$48-'Assumptions'!$B$48)*('Assumptions'!$C$48-'Assumptions'!$B$48)),'Assumptions'!$D$48-SQRT((1-C212)*('Assumptions'!$D$48-'Assumptions'!$B$48)*('Assumptions'!$D$48-'Assumptions'!$C$48)))</x:f>
        <x:v>0.08335858409733427</x:v>
      </x:c>
      <x:c r="I212" s="132" t="n">
        <x:f>IF(D212&lt;(('Assumptions'!$C$49-'Assumptions'!$B$49)/('Assumptions'!$D$49-'Assumptions'!$B$49)),'Assumptions'!$B$49+SQRT(D212*('Assumptions'!$D$49-'Assumptions'!$B$49)*('Assumptions'!$C$49-'Assumptions'!$B$49)),'Assumptions'!$D$49-SQRT((1-D212)*('Assumptions'!$D$49-'Assumptions'!$B$49)*('Assumptions'!$D$49-'Assumptions'!$C$49)))</x:f>
        <x:v>0.10685865854911203</x:v>
      </x:c>
      <x:c r="J212" s="132" t="n">
        <x:f>IF(E212&lt;(('Assumptions'!$C$50-'Assumptions'!$B$50)/('Assumptions'!$D$50-'Assumptions'!$B$50)),'Assumptions'!$B$50+SQRT(E212*('Assumptions'!$D$50-'Assumptions'!$B$50)*('Assumptions'!$C$50-'Assumptions'!$B$50)),'Assumptions'!$D$50-SQRT((1-E212)*('Assumptions'!$D$50-'Assumptions'!$B$50)*('Assumptions'!$D$50-'Assumptions'!$C$50)))</x:f>
        <x:v>0.07545493554513003</x:v>
      </x:c>
      <x:c r="K212" s="132" t="n">
        <x:f>IF(F212&lt;(('Assumptions'!$C$51-'Assumptions'!$B$51)/('Assumptions'!$D$51-'Assumptions'!$B$51)),'Assumptions'!$B$51+SQRT(F212*('Assumptions'!$D$51-'Assumptions'!$B$51)*('Assumptions'!$C$51-'Assumptions'!$B$51)),'Assumptions'!$D$51-SQRT((1-F212)*('Assumptions'!$D$51-'Assumptions'!$B$51)*('Assumptions'!$D$51-'Assumptions'!$C$51)))</x:f>
        <x:v>0.07716450937209333</x:v>
      </x:c>
      <x:c r="L212" s="133" t="n">
        <x:f>(('Assumptions'!$B$17*(1+G212)+'Assumptions'!$B$18)*(1-H212-'Assumptions'!$B$20)-SUM('Assumptions'!$B$21:$B$25)*(1+I212))-(('Assumptions'!$B$17*(1+G212)+'Assumptions'!$B$18)*(1-H212-'Assumptions'!$B$20)*'Assumptions'!$B$26)</x:f>
        <x:v>208307.10782326697</x:v>
      </x:c>
      <x:c r="M212" s="133" t="n">
        <x:f>'Assumptions'!$B$10*'Assumptions'!$B$33</x:f>
        <x:v>1950000</x:v>
      </x:c>
      <x:c r="N212" s="133" t="n">
        <x:f>-PMT(K212/12,'Assumptions'!$B$35*12,M212)*12</x:f>
        <x:v>167098.29672997355</x:v>
      </x:c>
      <x:c r="O212" s="133" t="n">
        <x:f>(L212*(1+'Assumptions'!$B$29)^('Assumptions'!$B$14/12)/J212)*(1-'Assumptions'!$B$42)-'Debt Schedule'!$F$9</x:f>
        <x:v>3008364.213374019</x:v>
      </x:c>
      <x:c r="P212" s="132" t="n">
        <x:f>((O212+(L212-N212-'Assumptions'!$B$27-'Assumptions'!$B$28)*('Assumptions'!$B$14/12))/ABS('Monthly Cash Flow'!$S$5))^(1/('Assumptions'!$B$14/12))-1</x:f>
        <x:v>0.18418622137368978</x:v>
      </x:c>
      <x:c r="Q212" s="133" t="n">
        <x:f>-ABS('Monthly Cash Flow'!$S$5)+((L212-N212-'Assumptions'!$B$27-'Assumptions'!$B$28)*(1-(1+'Assumptions'!$B$43)^-('Assumptions'!$B$14/12))/'Assumptions'!$B$43)+(O212/(1+'Assumptions'!$B$43)^('Assumptions'!$B$14/12))</x:f>
        <x:v>578039.8327111809</x:v>
      </x:c>
    </x:row>
    <x:row r="213">
      <x:c r="A213" s="131" t="n">
        <x:f>206</x:f>
        <x:v>206</x:v>
      </x:c>
      <x:c r="B213" s="131" t="n">
        <x:f>MOD(ABS(SIN((A213+1)*12.9898+78.233)*43758.5453),1)</x:f>
        <x:v>0.635426136879687</x:v>
      </x:c>
      <x:c r="C213" s="131" t="n">
        <x:f>MOD(ABS(SIN((A213+2)*12.9898+78.233)*43758.5453),1)</x:f>
        <x:v>0.9138344748989766</x:v>
      </x:c>
      <x:c r="D213" s="131" t="n">
        <x:f>MOD(ABS(SIN((A213+3)*12.9898+78.233)*43758.5453),1)</x:f>
        <x:v>0.9265507168038312</x:v>
      </x:c>
      <x:c r="E213" s="131" t="n">
        <x:f>MOD(ABS(SIN((A213+4)*12.9898+78.233)*43758.5453),1)</x:f>
        <x:v>0.8724261540155567</x:v>
      </x:c>
      <x:c r="F213" s="131" t="n">
        <x:f>MOD(ABS(SIN((A213+5)*12.9898+78.233)*43758.5453),1)</x:f>
        <x:v>0.9311545959862997</x:v>
      </x:c>
      <x:c r="G213" s="132" t="n">
        <x:f>IF(B213&lt;(('Assumptions'!$C$47-'Assumptions'!$B$47)/('Assumptions'!$D$47-'Assumptions'!$B$47)),'Assumptions'!$B$47+SQRT(B213*('Assumptions'!$D$47-'Assumptions'!$B$47)*('Assumptions'!$C$47-'Assumptions'!$B$47)),'Assumptions'!$D$47-SQRT((1-B213)*('Assumptions'!$D$47-'Assumptions'!$B$47)*('Assumptions'!$D$47-'Assumptions'!$C$47)))</x:f>
        <x:v>0.023624730377398942</x:v>
      </x:c>
      <x:c r="H213" s="132" t="n">
        <x:f>IF(C213&lt;(('Assumptions'!$C$48-'Assumptions'!$B$48)/('Assumptions'!$D$48-'Assumptions'!$B$48)),'Assumptions'!$B$48+SQRT(C213*('Assumptions'!$D$48-'Assumptions'!$B$48)*('Assumptions'!$C$48-'Assumptions'!$B$48)),'Assumptions'!$D$48-SQRT((1-C213)*('Assumptions'!$D$48-'Assumptions'!$B$48)*('Assumptions'!$D$48-'Assumptions'!$C$48)))</x:f>
        <x:v>0.11246354015329847</x:v>
      </x:c>
      <x:c r="I213" s="132" t="n">
        <x:f>IF(D213&lt;(('Assumptions'!$C$49-'Assumptions'!$B$49)/('Assumptions'!$D$49-'Assumptions'!$B$49)),'Assumptions'!$B$49+SQRT(D213*('Assumptions'!$D$49-'Assumptions'!$B$49)*('Assumptions'!$C$49-'Assumptions'!$B$49)),'Assumptions'!$D$49-SQRT((1-D213)*('Assumptions'!$D$49-'Assumptions'!$B$49)*('Assumptions'!$D$49-'Assumptions'!$C$49)))</x:f>
        <x:v>0.11016905076404471</x:v>
      </x:c>
      <x:c r="J213" s="132" t="n">
        <x:f>IF(E213&lt;(('Assumptions'!$C$50-'Assumptions'!$B$50)/('Assumptions'!$D$50-'Assumptions'!$B$50)),'Assumptions'!$B$50+SQRT(E213*('Assumptions'!$D$50-'Assumptions'!$B$50)*('Assumptions'!$C$50-'Assumptions'!$B$50)),'Assumptions'!$D$50-SQRT((1-E213)*('Assumptions'!$D$50-'Assumptions'!$B$50)*('Assumptions'!$D$50-'Assumptions'!$C$50)))</x:f>
        <x:v>0.07400999631192728</x:v>
      </x:c>
      <x:c r="K213" s="132" t="n">
        <x:f>IF(F213&lt;(('Assumptions'!$C$51-'Assumptions'!$B$51)/('Assumptions'!$D$51-'Assumptions'!$B$51)),'Assumptions'!$B$51+SQRT(F213*('Assumptions'!$D$51-'Assumptions'!$B$51)*('Assumptions'!$C$51-'Assumptions'!$B$51)),'Assumptions'!$D$51-SQRT((1-F213)*('Assumptions'!$D$51-'Assumptions'!$B$51)*('Assumptions'!$D$51-'Assumptions'!$C$51)))</x:f>
        <x:v>0.07924397266497168</x:v>
      </x:c>
      <x:c r="L213" s="133" t="n">
        <x:f>(('Assumptions'!$B$17*(1+G213)+'Assumptions'!$B$18)*(1-H213-'Assumptions'!$B$20)-SUM('Assumptions'!$B$21:$B$25)*(1+I213))-(('Assumptions'!$B$17*(1+G213)+'Assumptions'!$B$18)*(1-H213-'Assumptions'!$B$20)*'Assumptions'!$B$26)</x:f>
        <x:v>185723.95807003183</x:v>
      </x:c>
      <x:c r="M213" s="133" t="n">
        <x:f>'Assumptions'!$B$10*'Assumptions'!$B$33</x:f>
        <x:v>1950000</x:v>
      </x:c>
      <x:c r="N213" s="133" t="n">
        <x:f>-PMT(K213/12,'Assumptions'!$B$35*12,M213)*12</x:f>
        <x:v>170469.2401679815</x:v>
      </x:c>
      <x:c r="O213" s="133" t="n">
        <x:f>(L213*(1+'Assumptions'!$B$29)^('Assumptions'!$B$14/12)/J213)*(1-'Assumptions'!$B$42)-'Debt Schedule'!$F$9</x:f>
        <x:v>2734585.616515345</x:v>
      </x:c>
      <x:c r="P213" s="132" t="n">
        <x:f>((O213+(L213-N213-'Assumptions'!$B$27-'Assumptions'!$B$28)*('Assumptions'!$B$14/12))/ABS('Monthly Cash Flow'!$S$5))^(1/('Assumptions'!$B$14/12))-1</x:f>
        <x:v>0.1506315538949916</x:v>
      </x:c>
      <x:c r="Q213" s="133" t="n">
        <x:f>-ABS('Monthly Cash Flow'!$S$5)+((L213-N213-'Assumptions'!$B$27-'Assumptions'!$B$28)*(1-(1+'Assumptions'!$B$43)^-('Assumptions'!$B$14/12))/'Assumptions'!$B$43)+(O213/(1+'Assumptions'!$B$43)^('Assumptions'!$B$14/12))</x:f>
        <x:v>309658.4310430554</x:v>
      </x:c>
    </x:row>
    <x:row r="214">
      <x:c r="A214" s="131" t="n">
        <x:f>207</x:f>
        <x:v>207</x:v>
      </x:c>
      <x:c r="B214" s="131" t="n">
        <x:f>MOD(ABS(SIN((A214+1)*12.9898+78.233)*43758.5453),1)</x:f>
        <x:v>0.9138344748989766</x:v>
      </x:c>
      <x:c r="C214" s="131" t="n">
        <x:f>MOD(ABS(SIN((A214+2)*12.9898+78.233)*43758.5453),1)</x:f>
        <x:v>0.9265507168038312</x:v>
      </x:c>
      <x:c r="D214" s="131" t="n">
        <x:f>MOD(ABS(SIN((A214+3)*12.9898+78.233)*43758.5453),1)</x:f>
        <x:v>0.8724261540155567</x:v>
      </x:c>
      <x:c r="E214" s="131" t="n">
        <x:f>MOD(ABS(SIN((A214+4)*12.9898+78.233)*43758.5453),1)</x:f>
        <x:v>0.9311545959862997</x:v>
      </x:c>
      <x:c r="F214" s="131" t="n">
        <x:f>MOD(ABS(SIN((A214+5)*12.9898+78.233)*43758.5453),1)</x:f>
        <x:v>0.950342125732277</x:v>
      </x:c>
      <x:c r="G214" s="132" t="n">
        <x:f>IF(B214&lt;(('Assumptions'!$C$47-'Assumptions'!$B$47)/('Assumptions'!$D$47-'Assumptions'!$B$47)),'Assumptions'!$B$47+SQRT(B214*('Assumptions'!$D$47-'Assumptions'!$B$47)*('Assumptions'!$C$47-'Assumptions'!$B$47)),'Assumptions'!$D$47-SQRT((1-B214)*('Assumptions'!$D$47-'Assumptions'!$B$47)*('Assumptions'!$D$47-'Assumptions'!$C$47)))</x:f>
        <x:v>0.06286984511725849</x:v>
      </x:c>
      <x:c r="H214" s="132" t="n">
        <x:f>IF(C214&lt;(('Assumptions'!$C$48-'Assumptions'!$B$48)/('Assumptions'!$D$48-'Assumptions'!$B$48)),'Assumptions'!$B$48+SQRT(C214*('Assumptions'!$D$48-'Assumptions'!$B$48)*('Assumptions'!$C$48-'Assumptions'!$B$48)),'Assumptions'!$D$48-SQRT((1-C214)*('Assumptions'!$D$48-'Assumptions'!$B$48)*('Assumptions'!$D$48-'Assumptions'!$C$48)))</x:f>
        <x:v>0.11457651298255321</x:v>
      </x:c>
      <x:c r="I214" s="132" t="n">
        <x:f>IF(D214&lt;(('Assumptions'!$C$49-'Assumptions'!$B$49)/('Assumptions'!$D$49-'Assumptions'!$B$49)),'Assumptions'!$B$49+SQRT(D214*('Assumptions'!$D$49-'Assumptions'!$B$49)*('Assumptions'!$C$49-'Assumptions'!$B$49)),'Assumptions'!$D$49-SQRT((1-D214)*('Assumptions'!$D$49-'Assumptions'!$B$49)*('Assumptions'!$D$49-'Assumptions'!$C$49)))</x:f>
        <x:v>0.09750623776805499</x:v>
      </x:c>
      <x:c r="J214" s="132" t="n">
        <x:f>IF(E214&lt;(('Assumptions'!$C$50-'Assumptions'!$B$50)/('Assumptions'!$D$50-'Assumptions'!$B$50)),'Assumptions'!$B$50+SQRT(E214*('Assumptions'!$D$50-'Assumptions'!$B$50)*('Assumptions'!$C$50-'Assumptions'!$B$50)),'Assumptions'!$D$50-SQRT((1-E214)*('Assumptions'!$D$50-'Assumptions'!$B$50)*('Assumptions'!$D$50-'Assumptions'!$C$50)))</x:f>
        <x:v>0.07559968525229692</x:v>
      </x:c>
      <x:c r="K214" s="132" t="n">
        <x:f>IF(F214&lt;(('Assumptions'!$C$51-'Assumptions'!$B$51)/('Assumptions'!$D$51-'Assumptions'!$B$51)),'Assumptions'!$B$51+SQRT(F214*('Assumptions'!$D$51-'Assumptions'!$B$51)*('Assumptions'!$C$51-'Assumptions'!$B$51)),'Assumptions'!$D$51-SQRT((1-F214)*('Assumptions'!$D$51-'Assumptions'!$B$51)*('Assumptions'!$D$51-'Assumptions'!$C$51)))</x:f>
        <x:v>0.08011145706868175</x:v>
      </x:c>
      <x:c r="L214" s="133" t="n">
        <x:f>(('Assumptions'!$B$17*(1+G214)+'Assumptions'!$B$18)*(1-H214-'Assumptions'!$B$20)-SUM('Assumptions'!$B$21:$B$25)*(1+I214))-(('Assumptions'!$B$17*(1+G214)+'Assumptions'!$B$18)*(1-H214-'Assumptions'!$B$20)*'Assumptions'!$B$26)</x:f>
        <x:v>198408.93162261567</x:v>
      </x:c>
      <x:c r="M214" s="133" t="n">
        <x:f>'Assumptions'!$B$10*'Assumptions'!$B$33</x:f>
        <x:v>1950000</x:v>
      </x:c>
      <x:c r="N214" s="133" t="n">
        <x:f>-PMT(K214/12,'Assumptions'!$B$35*12,M214)*12</x:f>
        <x:v>171882.76054078975</x:v>
      </x:c>
      <x:c r="O214" s="133" t="n">
        <x:f>(L214*(1+'Assumptions'!$B$29)^('Assumptions'!$B$14/12)/J214)*(1-'Assumptions'!$B$42)-'Debt Schedule'!$F$9</x:f>
        <x:v>2859928.7151226755</x:v>
      </x:c>
      <x:c r="P214" s="132" t="n">
        <x:f>((O214+(L214-N214-'Assumptions'!$B$27-'Assumptions'!$B$28)*('Assumptions'!$B$14/12))/ABS('Monthly Cash Flow'!$S$5))^(1/('Assumptions'!$B$14/12))-1</x:f>
        <x:v>0.16621890771299697</x:v>
      </x:c>
      <x:c r="Q214" s="133" t="n">
        <x:f>-ABS('Monthly Cash Flow'!$S$5)+((L214-N214-'Assumptions'!$B$27-'Assumptions'!$B$28)*(1-(1+'Assumptions'!$B$43)^-('Assumptions'!$B$14/12))/'Assumptions'!$B$43)+(O214/(1+'Assumptions'!$B$43)^('Assumptions'!$B$14/12))</x:f>
        <x:v>430214.3092525534</x:v>
      </x:c>
    </x:row>
    <x:row r="215">
      <x:c r="A215" s="131" t="n">
        <x:f>208</x:f>
        <x:v>208</x:v>
      </x:c>
      <x:c r="B215" s="131" t="n">
        <x:f>MOD(ABS(SIN((A215+1)*12.9898+78.233)*43758.5453),1)</x:f>
        <x:v>0.9265507168038312</x:v>
      </x:c>
      <x:c r="C215" s="131" t="n">
        <x:f>MOD(ABS(SIN((A215+2)*12.9898+78.233)*43758.5453),1)</x:f>
        <x:v>0.8724261540155567</x:v>
      </x:c>
      <x:c r="D215" s="131" t="n">
        <x:f>MOD(ABS(SIN((A215+3)*12.9898+78.233)*43758.5453),1)</x:f>
        <x:v>0.9311545959862997</x:v>
      </x:c>
      <x:c r="E215" s="131" t="n">
        <x:f>MOD(ABS(SIN((A215+4)*12.9898+78.233)*43758.5453),1)</x:f>
        <x:v>0.950342125732277</x:v>
      </x:c>
      <x:c r="F215" s="131" t="n">
        <x:f>MOD(ABS(SIN((A215+5)*12.9898+78.233)*43758.5453),1)</x:f>
        <x:v>0.7462230690216529</x:v>
      </x:c>
      <x:c r="G215" s="132" t="n">
        <x:f>IF(B215&lt;(('Assumptions'!$C$47-'Assumptions'!$B$47)/('Assumptions'!$D$47-'Assumptions'!$B$47)),'Assumptions'!$B$47+SQRT(B215*('Assumptions'!$D$47-'Assumptions'!$B$47)*('Assumptions'!$C$47-'Assumptions'!$B$47)),'Assumptions'!$D$47-SQRT((1-B215)*('Assumptions'!$D$47-'Assumptions'!$B$47)*('Assumptions'!$D$47-'Assumptions'!$C$47)))</x:f>
        <x:v>0.0657189770990027</x:v>
      </x:c>
      <x:c r="H215" s="132" t="n">
        <x:f>IF(C215&lt;(('Assumptions'!$C$48-'Assumptions'!$B$48)/('Assumptions'!$D$48-'Assumptions'!$B$48)),'Assumptions'!$B$48+SQRT(C215*('Assumptions'!$D$48-'Assumptions'!$B$48)*('Assumptions'!$C$48-'Assumptions'!$B$48)),'Assumptions'!$D$48-SQRT((1-C215)*('Assumptions'!$D$48-'Assumptions'!$B$48)*('Assumptions'!$D$48-'Assumptions'!$C$48)))</x:f>
        <x:v>0.10649403270068</x:v>
      </x:c>
      <x:c r="I215" s="132" t="n">
        <x:f>IF(D215&lt;(('Assumptions'!$C$49-'Assumptions'!$B$49)/('Assumptions'!$D$49-'Assumptions'!$B$49)),'Assumptions'!$B$49+SQRT(D215*('Assumptions'!$D$49-'Assumptions'!$B$49)*('Assumptions'!$C$49-'Assumptions'!$B$49)),'Assumptions'!$D$49-SQRT((1-D215)*('Assumptions'!$D$49-'Assumptions'!$B$49)*('Assumptions'!$D$49-'Assumptions'!$C$49)))</x:f>
        <x:v>0.1114375736409659</x:v>
      </x:c>
      <x:c r="J215" s="132" t="n">
        <x:f>IF(E215&lt;(('Assumptions'!$C$50-'Assumptions'!$B$50)/('Assumptions'!$D$50-'Assumptions'!$B$50)),'Assumptions'!$B$50+SQRT(E215*('Assumptions'!$D$50-'Assumptions'!$B$50)*('Assumptions'!$C$50-'Assumptions'!$B$50)),'Assumptions'!$D$50-SQRT((1-E215)*('Assumptions'!$D$50-'Assumptions'!$B$50)*('Assumptions'!$D$50-'Assumptions'!$C$50)))</x:f>
        <x:v>0.07626285173724709</x:v>
      </x:c>
      <x:c r="K215" s="132" t="n">
        <x:f>IF(F215&lt;(('Assumptions'!$C$51-'Assumptions'!$B$51)/('Assumptions'!$D$51-'Assumptions'!$B$51)),'Assumptions'!$B$51+SQRT(F215*('Assumptions'!$D$51-'Assumptions'!$B$51)*('Assumptions'!$C$51-'Assumptions'!$B$51)),'Assumptions'!$D$51-SQRT((1-F215)*('Assumptions'!$D$51-'Assumptions'!$B$51)*('Assumptions'!$D$51-'Assumptions'!$C$51)))</x:f>
        <x:v>0.07394874902857919</x:v>
      </x:c>
      <x:c r="L215" s="133" t="n">
        <x:f>(('Assumptions'!$B$17*(1+G215)+'Assumptions'!$B$18)*(1-H215-'Assumptions'!$B$20)-SUM('Assumptions'!$B$21:$B$25)*(1+I215))-(('Assumptions'!$B$17*(1+G215)+'Assumptions'!$B$18)*(1-H215-'Assumptions'!$B$20)*'Assumptions'!$B$26)</x:f>
        <x:v>200632.12140883738</x:v>
      </x:c>
      <x:c r="M215" s="133" t="n">
        <x:f>'Assumptions'!$B$10*'Assumptions'!$B$33</x:f>
        <x:v>1950000</x:v>
      </x:c>
      <x:c r="N215" s="133" t="n">
        <x:f>-PMT(K215/12,'Assumptions'!$B$35*12,M215)*12</x:f>
        <x:v>161935.0686559545</x:v>
      </x:c>
      <x:c r="O215" s="133" t="n">
        <x:f>(L215*(1+'Assumptions'!$B$29)^('Assumptions'!$B$14/12)/J215)*(1-'Assumptions'!$B$42)-'Debt Schedule'!$F$9</x:f>
        <x:v>2866826.4408086604</x:v>
      </x:c>
      <x:c r="P215" s="132" t="n">
        <x:f>((O215+(L215-N215-'Assumptions'!$B$27-'Assumptions'!$B$28)*('Assumptions'!$B$14/12))/ABS('Monthly Cash Flow'!$S$5))^(1/('Assumptions'!$B$14/12))-1</x:f>
        <x:v>0.1718236578622383</x:v>
      </x:c>
      <x:c r="Q215" s="133" t="n">
        <x:f>-ABS('Monthly Cash Flow'!$S$5)+((L215-N215-'Assumptions'!$B$27-'Assumptions'!$B$28)*(1-(1+'Assumptions'!$B$43)^-('Assumptions'!$B$14/12))/'Assumptions'!$B$43)+(O215/(1+'Assumptions'!$B$43)^('Assumptions'!$B$14/12))</x:f>
        <x:v>480634.47142227297</x:v>
      </x:c>
    </x:row>
    <x:row r="216">
      <x:c r="A216" s="131" t="n">
        <x:f>209</x:f>
        <x:v>209</x:v>
      </x:c>
      <x:c r="B216" s="131" t="n">
        <x:f>MOD(ABS(SIN((A216+1)*12.9898+78.233)*43758.5453),1)</x:f>
        <x:v>0.8724261540155567</x:v>
      </x:c>
      <x:c r="C216" s="131" t="n">
        <x:f>MOD(ABS(SIN((A216+2)*12.9898+78.233)*43758.5453),1)</x:f>
        <x:v>0.9311545959862997</x:v>
      </x:c>
      <x:c r="D216" s="131" t="n">
        <x:f>MOD(ABS(SIN((A216+3)*12.9898+78.233)*43758.5453),1)</x:f>
        <x:v>0.950342125732277</x:v>
      </x:c>
      <x:c r="E216" s="131" t="n">
        <x:f>MOD(ABS(SIN((A216+4)*12.9898+78.233)*43758.5453),1)</x:f>
        <x:v>0.7462230690216529</x:v>
      </x:c>
      <x:c r="F216" s="131" t="n">
        <x:f>MOD(ABS(SIN((A216+5)*12.9898+78.233)*43758.5453),1)</x:f>
        <x:v>0.45870996525263763</x:v>
      </x:c>
      <x:c r="G216" s="132" t="n">
        <x:f>IF(B216&lt;(('Assumptions'!$C$47-'Assumptions'!$B$47)/('Assumptions'!$D$47-'Assumptions'!$B$47)),'Assumptions'!$B$47+SQRT(B216*('Assumptions'!$D$47-'Assumptions'!$B$47)*('Assumptions'!$C$47-'Assumptions'!$B$47)),'Assumptions'!$D$47-SQRT((1-B216)*('Assumptions'!$D$47-'Assumptions'!$B$47)*('Assumptions'!$D$47-'Assumptions'!$C$47)))</x:f>
        <x:v>0.05482056291020114</x:v>
      </x:c>
      <x:c r="H216" s="132" t="n">
        <x:f>IF(C216&lt;(('Assumptions'!$C$48-'Assumptions'!$B$48)/('Assumptions'!$D$48-'Assumptions'!$B$48)),'Assumptions'!$B$48+SQRT(C216*('Assumptions'!$D$48-'Assumptions'!$B$48)*('Assumptions'!$C$48-'Assumptions'!$B$48)),'Assumptions'!$D$48-SQRT((1-C216)*('Assumptions'!$D$48-'Assumptions'!$B$48)*('Assumptions'!$D$48-'Assumptions'!$C$48)))</x:f>
        <x:v>0.11538619177533549</x:v>
      </x:c>
      <x:c r="I216" s="132" t="n">
        <x:f>IF(D216&lt;(('Assumptions'!$C$49-'Assumptions'!$B$49)/('Assumptions'!$D$49-'Assumptions'!$B$49)),'Assumptions'!$B$49+SQRT(D216*('Assumptions'!$D$49-'Assumptions'!$B$49)*('Assumptions'!$C$49-'Assumptions'!$B$49)),'Assumptions'!$D$49-SQRT((1-D216)*('Assumptions'!$D$49-'Assumptions'!$B$49)*('Assumptions'!$D$49-'Assumptions'!$C$49)))</x:f>
        <x:v>0.1172492735319838</x:v>
      </x:c>
      <x:c r="J216" s="132" t="n">
        <x:f>IF(E216&lt;(('Assumptions'!$C$50-'Assumptions'!$B$50)/('Assumptions'!$D$50-'Assumptions'!$B$50)),'Assumptions'!$B$50+SQRT(E216*('Assumptions'!$D$50-'Assumptions'!$B$50)*('Assumptions'!$C$50-'Assumptions'!$B$50)),'Assumptions'!$D$50-SQRT((1-E216)*('Assumptions'!$D$50-'Assumptions'!$B$50)*('Assumptions'!$D$50-'Assumptions'!$C$50)))</x:f>
        <x:v>0.07155164147081458</x:v>
      </x:c>
      <x:c r="K216" s="132" t="n">
        <x:f>IF(F216&lt;(('Assumptions'!$C$51-'Assumptions'!$B$51)/('Assumptions'!$D$51-'Assumptions'!$B$51)),'Assumptions'!$B$51+SQRT(F216*('Assumptions'!$D$51-'Assumptions'!$B$51)*('Assumptions'!$C$51-'Assumptions'!$B$51)),'Assumptions'!$D$51-SQRT((1-F216)*('Assumptions'!$D$51-'Assumptions'!$B$51)*('Assumptions'!$D$51-'Assumptions'!$C$51)))</x:f>
        <x:v>0.06886011681510154</x:v>
      </x:c>
      <x:c r="L216" s="133" t="n">
        <x:f>(('Assumptions'!$B$17*(1+G216)+'Assumptions'!$B$18)*(1-H216-'Assumptions'!$B$20)-SUM('Assumptions'!$B$21:$B$25)*(1+I216))-(('Assumptions'!$B$17*(1+G216)+'Assumptions'!$B$18)*(1-H216-'Assumptions'!$B$20)*'Assumptions'!$B$26)</x:f>
        <x:v>193176.8717034031</x:v>
      </x:c>
      <x:c r="M216" s="133" t="n">
        <x:f>'Assumptions'!$B$10*'Assumptions'!$B$33</x:f>
        <x:v>1950000</x:v>
      </x:c>
      <x:c r="N216" s="133" t="n">
        <x:f>-PMT(K216/12,'Assumptions'!$B$35*12,M216)*12</x:f>
        <x:v>153893.5546481374</x:v>
      </x:c>
      <x:c r="O216" s="133" t="n">
        <x:f>(L216*(1+'Assumptions'!$B$29)^('Assumptions'!$B$14/12)/J216)*(1-'Assumptions'!$B$42)-'Debt Schedule'!$F$9</x:f>
        <x:v>2942046.310129578</x:v>
      </x:c>
      <x:c r="P216" s="132" t="n">
        <x:f>((O216+(L216-N216-'Assumptions'!$B$27-'Assumptions'!$B$28)*('Assumptions'!$B$14/12))/ABS('Monthly Cash Flow'!$S$5))^(1/('Assumptions'!$B$14/12))-1</x:f>
        <x:v>0.17815825692533527</x:v>
      </x:c>
      <x:c r="Q216" s="133" t="n">
        <x:f>-ABS('Monthly Cash Flow'!$S$5)+((L216-N216-'Assumptions'!$B$27-'Assumptions'!$B$28)*(1-(1+'Assumptions'!$B$43)^-('Assumptions'!$B$14/12))/'Assumptions'!$B$43)+(O216/(1+'Assumptions'!$B$43)^('Assumptions'!$B$14/12))</x:f>
        <x:v>529562.4951622032</x:v>
      </x:c>
    </x:row>
    <x:row r="217">
      <x:c r="A217" s="131" t="n">
        <x:f>210</x:f>
        <x:v>210</x:v>
      </x:c>
      <x:c r="B217" s="131" t="n">
        <x:f>MOD(ABS(SIN((A217+1)*12.9898+78.233)*43758.5453),1)</x:f>
        <x:v>0.9311545959862997</x:v>
      </x:c>
      <x:c r="C217" s="131" t="n">
        <x:f>MOD(ABS(SIN((A217+2)*12.9898+78.233)*43758.5453),1)</x:f>
        <x:v>0.950342125732277</x:v>
      </x:c>
      <x:c r="D217" s="131" t="n">
        <x:f>MOD(ABS(SIN((A217+3)*12.9898+78.233)*43758.5453),1)</x:f>
        <x:v>0.7462230690216529</x:v>
      </x:c>
      <x:c r="E217" s="131" t="n">
        <x:f>MOD(ABS(SIN((A217+4)*12.9898+78.233)*43758.5453),1)</x:f>
        <x:v>0.45870996525263763</x:v>
      </x:c>
      <x:c r="F217" s="131" t="n">
        <x:f>MOD(ABS(SIN((A217+5)*12.9898+78.233)*43758.5453),1)</x:f>
        <x:v>0.4564028755576146</x:v>
      </x:c>
      <x:c r="G217" s="132" t="n">
        <x:f>IF(B217&lt;(('Assumptions'!$C$47-'Assumptions'!$B$47)/('Assumptions'!$D$47-'Assumptions'!$B$47)),'Assumptions'!$B$47+SQRT(B217*('Assumptions'!$D$47-'Assumptions'!$B$47)*('Assumptions'!$C$47-'Assumptions'!$B$47)),'Assumptions'!$D$47-SQRT((1-B217)*('Assumptions'!$D$47-'Assumptions'!$B$47)*('Assumptions'!$D$47-'Assumptions'!$C$47)))</x:f>
        <x:v>0.06681074776046914</x:v>
      </x:c>
      <x:c r="H217" s="132" t="n">
        <x:f>IF(C217&lt;(('Assumptions'!$C$48-'Assumptions'!$B$48)/('Assumptions'!$D$48-'Assumptions'!$B$48)),'Assumptions'!$B$48+SQRT(C217*('Assumptions'!$D$48-'Assumptions'!$B$48)*('Assumptions'!$C$48-'Assumptions'!$B$48)),'Assumptions'!$D$48-SQRT((1-C217)*('Assumptions'!$D$48-'Assumptions'!$B$48)*('Assumptions'!$D$48-'Assumptions'!$C$48)))</x:f>
        <x:v>0.11909571112053889</x:v>
      </x:c>
      <x:c r="I217" s="132" t="n">
        <x:f>IF(D217&lt;(('Assumptions'!$C$49-'Assumptions'!$B$49)/('Assumptions'!$D$49-'Assumptions'!$B$49)),'Assumptions'!$B$49+SQRT(D217*('Assumptions'!$D$49-'Assumptions'!$B$49)*('Assumptions'!$C$49-'Assumptions'!$B$49)),'Assumptions'!$D$49-SQRT((1-D217)*('Assumptions'!$D$49-'Assumptions'!$B$49)*('Assumptions'!$D$49-'Assumptions'!$C$49)))</x:f>
        <x:v>0.0759622953547836</x:v>
      </x:c>
      <x:c r="J217" s="132" t="n">
        <x:f>IF(E217&lt;(('Assumptions'!$C$50-'Assumptions'!$B$50)/('Assumptions'!$D$50-'Assumptions'!$B$50)),'Assumptions'!$B$50+SQRT(E217*('Assumptions'!$D$50-'Assumptions'!$B$50)*('Assumptions'!$C$50-'Assumptions'!$B$50)),'Assumptions'!$D$50-SQRT((1-E217)*('Assumptions'!$D$50-'Assumptions'!$B$50)*('Assumptions'!$D$50-'Assumptions'!$C$50)))</x:f>
        <x:v>0.06766153079702772</x:v>
      </x:c>
      <x:c r="K217" s="132" t="n">
        <x:f>IF(F217&lt;(('Assumptions'!$C$51-'Assumptions'!$B$51)/('Assumptions'!$D$51-'Assumptions'!$B$51)),'Assumptions'!$B$51+SQRT(F217*('Assumptions'!$D$51-'Assumptions'!$B$51)*('Assumptions'!$C$51-'Assumptions'!$B$51)),'Assumptions'!$D$51-SQRT((1-F217)*('Assumptions'!$D$51-'Assumptions'!$B$51)*('Assumptions'!$D$51-'Assumptions'!$C$51)))</x:f>
        <x:v>0.06882575763326462</x:v>
      </x:c>
      <x:c r="L217" s="133" t="n">
        <x:f>(('Assumptions'!$B$17*(1+G217)+'Assumptions'!$B$18)*(1-H217-'Assumptions'!$B$20)-SUM('Assumptions'!$B$21:$B$25)*(1+I217))-(('Assumptions'!$B$17*(1+G217)+'Assumptions'!$B$18)*(1-H217-'Assumptions'!$B$20)*'Assumptions'!$B$26)</x:f>
        <x:v>200571.5001288404</x:v>
      </x:c>
      <x:c r="M217" s="133" t="n">
        <x:f>'Assumptions'!$B$10*'Assumptions'!$B$33</x:f>
        <x:v>1950000</x:v>
      </x:c>
      <x:c r="N217" s="133" t="n">
        <x:f>-PMT(K217/12,'Assumptions'!$B$35*12,M217)*12</x:f>
        <x:v>153839.81178038783</x:v>
      </x:c>
      <x:c r="O217" s="133" t="n">
        <x:f>(L217*(1+'Assumptions'!$B$29)^('Assumptions'!$B$14/12)/J217)*(1-'Assumptions'!$B$42)-'Debt Schedule'!$F$9</x:f>
        <x:v>3230289.0159241813</x:v>
      </x:c>
      <x:c r="P217" s="132" t="n">
        <x:f>((O217+(L217-N217-'Assumptions'!$B$27-'Assumptions'!$B$28)*('Assumptions'!$B$14/12))/ABS('Monthly Cash Flow'!$S$5))^(1/('Assumptions'!$B$14/12))-1</x:f>
        <x:v>0.20317339710100413</x:v>
      </x:c>
      <x:c r="Q217" s="133" t="n">
        <x:f>-ABS('Monthly Cash Flow'!$S$5)+((L217-N217-'Assumptions'!$B$27-'Assumptions'!$B$28)*(1-(1+'Assumptions'!$B$43)^-('Assumptions'!$B$14/12))/'Assumptions'!$B$43)+(O217/(1+'Assumptions'!$B$43)^('Assumptions'!$B$14/12))</x:f>
        <x:v>736773.7247581934</x:v>
      </x:c>
    </x:row>
    <x:row r="218">
      <x:c r="A218" s="131" t="n">
        <x:f>211</x:f>
        <x:v>211</x:v>
      </x:c>
      <x:c r="B218" s="131" t="n">
        <x:f>MOD(ABS(SIN((A218+1)*12.9898+78.233)*43758.5453),1)</x:f>
        <x:v>0.950342125732277</x:v>
      </x:c>
      <x:c r="C218" s="131" t="n">
        <x:f>MOD(ABS(SIN((A218+2)*12.9898+78.233)*43758.5453),1)</x:f>
        <x:v>0.7462230690216529</x:v>
      </x:c>
      <x:c r="D218" s="131" t="n">
        <x:f>MOD(ABS(SIN((A218+3)*12.9898+78.233)*43758.5453),1)</x:f>
        <x:v>0.45870996525263763</x:v>
      </x:c>
      <x:c r="E218" s="131" t="n">
        <x:f>MOD(ABS(SIN((A218+4)*12.9898+78.233)*43758.5453),1)</x:f>
        <x:v>0.4564028755576146</x:v>
      </x:c>
      <x:c r="F218" s="131" t="n">
        <x:f>MOD(ABS(SIN((A218+5)*12.9898+78.233)*43758.5453),1)</x:f>
        <x:v>0.4145557226993333</x:v>
      </x:c>
      <x:c r="G218" s="132" t="n">
        <x:f>IF(B218&lt;(('Assumptions'!$C$47-'Assumptions'!$B$47)/('Assumptions'!$D$47-'Assumptions'!$B$47)),'Assumptions'!$B$47+SQRT(B218*('Assumptions'!$D$47-'Assumptions'!$B$47)*('Assumptions'!$C$47-'Assumptions'!$B$47)),'Assumptions'!$D$47-SQRT((1-B218)*('Assumptions'!$D$47-'Assumptions'!$B$47)*('Assumptions'!$D$47-'Assumptions'!$C$47)))</x:f>
        <x:v>0.07181266262515086</x:v>
      </x:c>
      <x:c r="H218" s="132" t="n">
        <x:f>IF(C218&lt;(('Assumptions'!$C$48-'Assumptions'!$B$48)/('Assumptions'!$D$48-'Assumptions'!$B$48)),'Assumptions'!$B$48+SQRT(C218*('Assumptions'!$D$48-'Assumptions'!$B$48)*('Assumptions'!$C$48-'Assumptions'!$B$48)),'Assumptions'!$D$48-SQRT((1-C218)*('Assumptions'!$D$48-'Assumptions'!$B$48)*('Assumptions'!$D$48-'Assumptions'!$C$48)))</x:f>
        <x:v>0.09274286305107499</x:v>
      </x:c>
      <x:c r="I218" s="132" t="n">
        <x:f>IF(D218&lt;(('Assumptions'!$C$49-'Assumptions'!$B$49)/('Assumptions'!$D$49-'Assumptions'!$B$49)),'Assumptions'!$B$49+SQRT(D218*('Assumptions'!$D$49-'Assumptions'!$B$49)*('Assumptions'!$C$49-'Assumptions'!$B$49)),'Assumptions'!$D$49-SQRT((1-D218)*('Assumptions'!$D$49-'Assumptions'!$B$49)*('Assumptions'!$D$49-'Assumptions'!$C$49)))</x:f>
        <x:v>0.041871073479188614</x:v>
      </x:c>
      <x:c r="J218" s="132" t="n">
        <x:f>IF(E218&lt;(('Assumptions'!$C$50-'Assumptions'!$B$50)/('Assumptions'!$D$50-'Assumptions'!$B$50)),'Assumptions'!$B$50+SQRT(E218*('Assumptions'!$D$50-'Assumptions'!$B$50)*('Assumptions'!$C$50-'Assumptions'!$B$50)),'Assumptions'!$D$50-SQRT((1-E218)*('Assumptions'!$D$50-'Assumptions'!$B$50)*('Assumptions'!$D$50-'Assumptions'!$C$50)))</x:f>
        <x:v>0.06763526420624279</x:v>
      </x:c>
      <x:c r="K218" s="132" t="n">
        <x:f>IF(F218&lt;(('Assumptions'!$C$51-'Assumptions'!$B$51)/('Assumptions'!$D$51-'Assumptions'!$B$51)),'Assumptions'!$B$51+SQRT(F218*('Assumptions'!$D$51-'Assumptions'!$B$51)*('Assumptions'!$C$51-'Assumptions'!$B$51)),'Assumptions'!$D$51-SQRT((1-F218)*('Assumptions'!$D$51-'Assumptions'!$B$51)*('Assumptions'!$D$51-'Assumptions'!$C$51)))</x:f>
        <x:v>0.06821473686679455</x:v>
      </x:c>
      <x:c r="L218" s="133" t="n">
        <x:f>(('Assumptions'!$B$17*(1+G218)+'Assumptions'!$B$18)*(1-H218-'Assumptions'!$B$20)-SUM('Assumptions'!$B$21:$B$25)*(1+I218))-(('Assumptions'!$B$17*(1+G218)+'Assumptions'!$B$18)*(1-H218-'Assumptions'!$B$20)*'Assumptions'!$B$26)</x:f>
        <x:v>216589.45155407052</x:v>
      </x:c>
      <x:c r="M218" s="133" t="n">
        <x:f>'Assumptions'!$B$10*'Assumptions'!$B$33</x:f>
        <x:v>1950000</x:v>
      </x:c>
      <x:c r="N218" s="133" t="n">
        <x:f>-PMT(K218/12,'Assumptions'!$B$35*12,M218)*12</x:f>
        <x:v>152885.35483822835</x:v>
      </x:c>
      <x:c r="O218" s="133" t="n">
        <x:f>(L218*(1+'Assumptions'!$B$29)^('Assumptions'!$B$14/12)/J218)*(1-'Assumptions'!$B$42)-'Debt Schedule'!$F$9</x:f>
        <x:v>3489619.6025282242</x:v>
      </x:c>
      <x:c r="P218" s="132" t="n">
        <x:f>((O218+(L218-N218-'Assumptions'!$B$27-'Assumptions'!$B$28)*('Assumptions'!$B$14/12))/ABS('Monthly Cash Flow'!$S$5))^(1/('Assumptions'!$B$14/12))-1</x:f>
        <x:v>0.22754173677278744</x:v>
      </x:c>
      <x:c r="Q218" s="133" t="n">
        <x:f>-ABS('Monthly Cash Flow'!$S$5)+((L218-N218-'Assumptions'!$B$27-'Assumptions'!$B$28)*(1-(1+'Assumptions'!$B$43)^-('Assumptions'!$B$14/12))/'Assumptions'!$B$43)+(O218/(1+'Assumptions'!$B$43)^('Assumptions'!$B$14/12))</x:f>
        <x:v>962136.3967861803</x:v>
      </x:c>
    </x:row>
    <x:row r="219">
      <x:c r="A219" s="131" t="n">
        <x:f>212</x:f>
        <x:v>212</x:v>
      </x:c>
      <x:c r="B219" s="131" t="n">
        <x:f>MOD(ABS(SIN((A219+1)*12.9898+78.233)*43758.5453),1)</x:f>
        <x:v>0.7462230690216529</x:v>
      </x:c>
      <x:c r="C219" s="131" t="n">
        <x:f>MOD(ABS(SIN((A219+2)*12.9898+78.233)*43758.5453),1)</x:f>
        <x:v>0.45870996525263763</x:v>
      </x:c>
      <x:c r="D219" s="131" t="n">
        <x:f>MOD(ABS(SIN((A219+3)*12.9898+78.233)*43758.5453),1)</x:f>
        <x:v>0.4564028755576146</x:v>
      </x:c>
      <x:c r="E219" s="131" t="n">
        <x:f>MOD(ABS(SIN((A219+4)*12.9898+78.233)*43758.5453),1)</x:f>
        <x:v>0.4145557226993333</x:v>
      </x:c>
      <x:c r="F219" s="131" t="n">
        <x:f>MOD(ABS(SIN((A219+5)*12.9898+78.233)*43758.5453),1)</x:f>
        <x:v>0.40971153706414043</x:v>
      </x:c>
      <x:c r="G219" s="132" t="n">
        <x:f>IF(B219&lt;(('Assumptions'!$C$47-'Assumptions'!$B$47)/('Assumptions'!$D$47-'Assumptions'!$B$47)),'Assumptions'!$B$47+SQRT(B219*('Assumptions'!$D$47-'Assumptions'!$B$47)*('Assumptions'!$C$47-'Assumptions'!$B$47)),'Assumptions'!$D$47-SQRT((1-B219)*('Assumptions'!$D$47-'Assumptions'!$B$47)*('Assumptions'!$D$47-'Assumptions'!$C$47)))</x:f>
        <x:v>0.03627848953725632</x:v>
      </x:c>
      <x:c r="H219" s="132" t="n">
        <x:f>IF(C219&lt;(('Assumptions'!$C$48-'Assumptions'!$B$48)/('Assumptions'!$D$48-'Assumptions'!$B$48)),'Assumptions'!$B$48+SQRT(C219*('Assumptions'!$D$48-'Assumptions'!$B$48)*('Assumptions'!$C$48-'Assumptions'!$B$48)),'Assumptions'!$D$48-SQRT((1-C219)*('Assumptions'!$D$48-'Assumptions'!$B$48)*('Assumptions'!$D$48-'Assumptions'!$C$48)))</x:f>
        <x:v>0.07098295641092131</x:v>
      </x:c>
      <x:c r="I219" s="132" t="n">
        <x:f>IF(D219&lt;(('Assumptions'!$C$49-'Assumptions'!$B$49)/('Assumptions'!$D$49-'Assumptions'!$B$49)),'Assumptions'!$B$49+SQRT(D219*('Assumptions'!$D$49-'Assumptions'!$B$49)*('Assumptions'!$C$49-'Assumptions'!$B$49)),'Assumptions'!$D$49-SQRT((1-D219)*('Assumptions'!$D$49-'Assumptions'!$B$49)*('Assumptions'!$D$49-'Assumptions'!$C$49)))</x:f>
        <x:v>0.041640884610682036</x:v>
      </x:c>
      <x:c r="J219" s="132" t="n">
        <x:f>IF(E219&lt;(('Assumptions'!$C$50-'Assumptions'!$B$50)/('Assumptions'!$D$50-'Assumptions'!$B$50)),'Assumptions'!$B$50+SQRT(E219*('Assumptions'!$D$50-'Assumptions'!$B$50)*('Assumptions'!$C$50-'Assumptions'!$B$50)),'Assumptions'!$D$50-SQRT((1-E219)*('Assumptions'!$D$50-'Assumptions'!$B$50)*('Assumptions'!$D$50-'Assumptions'!$C$50)))</x:f>
        <x:v>0.06715790026907247</x:v>
      </x:c>
      <x:c r="K219" s="132" t="n">
        <x:f>IF(F219&lt;(('Assumptions'!$C$51-'Assumptions'!$B$51)/('Assumptions'!$D$51-'Assumptions'!$B$51)),'Assumptions'!$B$51+SQRT(F219*('Assumptions'!$D$51-'Assumptions'!$B$51)*('Assumptions'!$C$51-'Assumptions'!$B$51)),'Assumptions'!$D$51-SQRT((1-F219)*('Assumptions'!$D$51-'Assumptions'!$B$51)*('Assumptions'!$D$51-'Assumptions'!$C$51)))</x:f>
        <x:v>0.06814543614364696</x:v>
      </x:c>
      <x:c r="L219" s="133" t="n">
        <x:f>(('Assumptions'!$B$17*(1+G219)+'Assumptions'!$B$18)*(1-H219-'Assumptions'!$B$20)-SUM('Assumptions'!$B$21:$B$25)*(1+I219))-(('Assumptions'!$B$17*(1+G219)+'Assumptions'!$B$18)*(1-H219-'Assumptions'!$B$20)*'Assumptions'!$B$26)</x:f>
        <x:v>213768.6474659194</x:v>
      </x:c>
      <x:c r="M219" s="133" t="n">
        <x:f>'Assumptions'!$B$10*'Assumptions'!$B$33</x:f>
        <x:v>1950000</x:v>
      </x:c>
      <x:c r="N219" s="133" t="n">
        <x:f>-PMT(K219/12,'Assumptions'!$B$35*12,M219)*12</x:f>
        <x:v>152777.2545859428</x:v>
      </x:c>
      <x:c r="O219" s="133" t="n">
        <x:f>(L219*(1+'Assumptions'!$B$29)^('Assumptions'!$B$14/12)/J219)*(1-'Assumptions'!$B$42)-'Debt Schedule'!$F$9</x:f>
        <x:v>3468653.172862354</x:v>
      </x:c>
      <x:c r="P219" s="132" t="n">
        <x:f>((O219+(L219-N219-'Assumptions'!$B$27-'Assumptions'!$B$28)*('Assumptions'!$B$14/12))/ABS('Monthly Cash Flow'!$S$5))^(1/('Assumptions'!$B$14/12))-1</x:f>
        <x:v>0.2251831726474678</x:v>
      </x:c>
      <x:c r="Q219" s="133" t="n">
        <x:f>-ABS('Monthly Cash Flow'!$S$5)+((L219-N219-'Assumptions'!$B$27-'Assumptions'!$B$28)*(1-(1+'Assumptions'!$B$43)^-('Assumptions'!$B$14/12))/'Assumptions'!$B$43)+(O219/(1+'Assumptions'!$B$43)^('Assumptions'!$B$14/12))</x:f>
        <x:v>938834.6117278985</x:v>
      </x:c>
    </x:row>
    <x:row r="220">
      <x:c r="A220" s="131" t="n">
        <x:f>213</x:f>
        <x:v>213</x:v>
      </x:c>
      <x:c r="B220" s="131" t="n">
        <x:f>MOD(ABS(SIN((A220+1)*12.9898+78.233)*43758.5453),1)</x:f>
        <x:v>0.45870996525263763</x:v>
      </x:c>
      <x:c r="C220" s="131" t="n">
        <x:f>MOD(ABS(SIN((A220+2)*12.9898+78.233)*43758.5453),1)</x:f>
        <x:v>0.4564028755576146</x:v>
      </x:c>
      <x:c r="D220" s="131" t="n">
        <x:f>MOD(ABS(SIN((A220+3)*12.9898+78.233)*43758.5453),1)</x:f>
        <x:v>0.4145557226993333</x:v>
      </x:c>
      <x:c r="E220" s="131" t="n">
        <x:f>MOD(ABS(SIN((A220+4)*12.9898+78.233)*43758.5453),1)</x:f>
        <x:v>0.40971153706414043</x:v>
      </x:c>
      <x:c r="F220" s="131" t="n">
        <x:f>MOD(ABS(SIN((A220+5)*12.9898+78.233)*43758.5453),1)</x:f>
        <x:v>0.9389913191189407</x:v>
      </x:c>
      <x:c r="G220" s="132" t="n">
        <x:f>IF(B220&lt;(('Assumptions'!$C$47-'Assumptions'!$B$47)/('Assumptions'!$D$47-'Assumptions'!$B$47)),'Assumptions'!$B$47+SQRT(B220*('Assumptions'!$D$47-'Assumptions'!$B$47)*('Assumptions'!$C$47-'Assumptions'!$B$47)),'Assumptions'!$D$47-SQRT((1-B220)*('Assumptions'!$D$47-'Assumptions'!$B$47)*('Assumptions'!$D$47-'Assumptions'!$C$47)))</x:f>
        <x:v>0.004923968501307191</x:v>
      </x:c>
      <x:c r="H220" s="132" t="n">
        <x:f>IF(C220&lt;(('Assumptions'!$C$48-'Assumptions'!$B$48)/('Assumptions'!$D$48-'Assumptions'!$B$48)),'Assumptions'!$B$48+SQRT(C220*('Assumptions'!$D$48-'Assumptions'!$B$48)*('Assumptions'!$C$48-'Assumptions'!$B$48)),'Assumptions'!$D$48-SQRT((1-C220)*('Assumptions'!$D$48-'Assumptions'!$B$48)*('Assumptions'!$D$48-'Assumptions'!$C$48)))</x:f>
        <x:v>0.07083603036918</x:v>
      </x:c>
      <x:c r="I220" s="132" t="n">
        <x:f>IF(D220&lt;(('Assumptions'!$C$49-'Assumptions'!$B$49)/('Assumptions'!$D$49-'Assumptions'!$B$49)),'Assumptions'!$B$49+SQRT(D220*('Assumptions'!$D$49-'Assumptions'!$B$49)*('Assumptions'!$C$49-'Assumptions'!$B$49)),'Assumptions'!$D$49-SQRT((1-D220)*('Assumptions'!$D$49-'Assumptions'!$B$49)*('Assumptions'!$D$49-'Assumptions'!$C$49)))</x:f>
        <x:v>0.037547359347615133</x:v>
      </x:c>
      <x:c r="J220" s="132" t="n">
        <x:f>IF(E220&lt;(('Assumptions'!$C$50-'Assumptions'!$B$50)/('Assumptions'!$D$50-'Assumptions'!$B$50)),'Assumptions'!$B$50+SQRT(E220*('Assumptions'!$D$50-'Assumptions'!$B$50)*('Assumptions'!$C$50-'Assumptions'!$B$50)),'Assumptions'!$D$50-SQRT((1-E220)*('Assumptions'!$D$50-'Assumptions'!$B$50)*('Assumptions'!$D$50-'Assumptions'!$C$50)))</x:f>
        <x:v>0.067101306986001</x:v>
      </x:c>
      <x:c r="K220" s="132" t="n">
        <x:f>IF(F220&lt;(('Assumptions'!$C$51-'Assumptions'!$B$51)/('Assumptions'!$D$51-'Assumptions'!$B$51)),'Assumptions'!$B$51+SQRT(F220*('Assumptions'!$D$51-'Assumptions'!$B$51)*('Assumptions'!$C$51-'Assumptions'!$B$51)),'Assumptions'!$D$51-SQRT((1-F220)*('Assumptions'!$D$51-'Assumptions'!$B$51)*('Assumptions'!$D$51-'Assumptions'!$C$51)))</x:f>
        <x:v>0.07958147366214671</x:v>
      </x:c>
      <x:c r="L220" s="133" t="n">
        <x:f>(('Assumptions'!$B$17*(1+G220)+'Assumptions'!$B$18)*(1-H220-'Assumptions'!$B$20)-SUM('Assumptions'!$B$21:$B$25)*(1+I220))-(('Assumptions'!$B$17*(1+G220)+'Assumptions'!$B$18)*(1-H220-'Assumptions'!$B$20)*'Assumptions'!$B$26)</x:f>
        <x:v>204379.41696222243</x:v>
      </x:c>
      <x:c r="M220" s="133" t="n">
        <x:f>'Assumptions'!$B$10*'Assumptions'!$B$33</x:f>
        <x:v>1950000</x:v>
      </x:c>
      <x:c r="N220" s="133" t="n">
        <x:f>-PMT(K220/12,'Assumptions'!$B$35*12,M220)*12</x:f>
        <x:v>171018.6767825656</x:v>
      </x:c>
      <x:c r="O220" s="133" t="n">
        <x:f>(L220*(1+'Assumptions'!$B$29)^('Assumptions'!$B$14/12)/J220)*(1-'Assumptions'!$B$42)-'Debt Schedule'!$F$9</x:f>
        <x:v>3319098.5965001686</x:v>
      </x:c>
      <x:c r="P220" s="132" t="n">
        <x:f>((O220+(L220-N220-'Assumptions'!$B$27-'Assumptions'!$B$28)*('Assumptions'!$B$14/12))/ABS('Monthly Cash Flow'!$S$5))^(1/('Assumptions'!$B$14/12))-1</x:f>
        <x:v>0.20478768114134316</x:v>
      </x:c>
      <x:c r="Q220" s="133" t="n">
        <x:f>-ABS('Monthly Cash Flow'!$S$5)+((L220-N220-'Assumptions'!$B$27-'Assumptions'!$B$28)*(1-(1+'Assumptions'!$B$43)^-('Assumptions'!$B$14/12))/'Assumptions'!$B$43)+(O220/(1+'Assumptions'!$B$43)^('Assumptions'!$B$14/12))</x:f>
        <x:v>741231.0736170469</x:v>
      </x:c>
    </x:row>
    <x:row r="221">
      <x:c r="A221" s="131" t="n">
        <x:f>214</x:f>
        <x:v>214</x:v>
      </x:c>
      <x:c r="B221" s="131" t="n">
        <x:f>MOD(ABS(SIN((A221+1)*12.9898+78.233)*43758.5453),1)</x:f>
        <x:v>0.4564028755576146</x:v>
      </x:c>
      <x:c r="C221" s="131" t="n">
        <x:f>MOD(ABS(SIN((A221+2)*12.9898+78.233)*43758.5453),1)</x:f>
        <x:v>0.4145557226993333</x:v>
      </x:c>
      <x:c r="D221" s="131" t="n">
        <x:f>MOD(ABS(SIN((A221+3)*12.9898+78.233)*43758.5453),1)</x:f>
        <x:v>0.40971153706414043</x:v>
      </x:c>
      <x:c r="E221" s="131" t="n">
        <x:f>MOD(ABS(SIN((A221+4)*12.9898+78.233)*43758.5453),1)</x:f>
        <x:v>0.9389913191189407</x:v>
      </x:c>
      <x:c r="F221" s="131" t="n">
        <x:f>MOD(ABS(SIN((A221+5)*12.9898+78.233)*43758.5453),1)</x:f>
        <x:v>0.11120449544978328</x:v>
      </x:c>
      <x:c r="G221" s="132" t="n">
        <x:f>IF(B221&lt;(('Assumptions'!$C$47-'Assumptions'!$B$47)/('Assumptions'!$D$47-'Assumptions'!$B$47)),'Assumptions'!$B$47+SQRT(B221*('Assumptions'!$D$47-'Assumptions'!$B$47)*('Assumptions'!$C$47-'Assumptions'!$B$47)),'Assumptions'!$D$47-SQRT((1-B221)*('Assumptions'!$D$47-'Assumptions'!$B$47)*('Assumptions'!$D$47-'Assumptions'!$C$47)))</x:f>
        <x:v>0.00465977743805282</x:v>
      </x:c>
      <x:c r="H221" s="132" t="n">
        <x:f>IF(C221&lt;(('Assumptions'!$C$48-'Assumptions'!$B$48)/('Assumptions'!$D$48-'Assumptions'!$B$48)),'Assumptions'!$B$48+SQRT(C221*('Assumptions'!$D$48-'Assumptions'!$B$48)*('Assumptions'!$C$48-'Assumptions'!$B$48)),'Assumptions'!$D$48-SQRT((1-C221)*('Assumptions'!$D$48-'Assumptions'!$B$48)*('Assumptions'!$D$48-'Assumptions'!$C$48)))</x:f>
        <x:v>0.0682231956670829</x:v>
      </x:c>
      <x:c r="I221" s="132" t="n">
        <x:f>IF(D221&lt;(('Assumptions'!$C$49-'Assumptions'!$B$49)/('Assumptions'!$D$49-'Assumptions'!$B$49)),'Assumptions'!$B$49+SQRT(D221*('Assumptions'!$D$49-'Assumptions'!$B$49)*('Assumptions'!$C$49-'Assumptions'!$B$49)),'Assumptions'!$D$49-SQRT((1-D221)*('Assumptions'!$D$49-'Assumptions'!$B$49)*('Assumptions'!$D$49-'Assumptions'!$C$49)))</x:f>
        <x:v>0.03708308010127727</x:v>
      </x:c>
      <x:c r="J221" s="132" t="n">
        <x:f>IF(E221&lt;(('Assumptions'!$C$50-'Assumptions'!$B$50)/('Assumptions'!$D$50-'Assumptions'!$B$50)),'Assumptions'!$B$50+SQRT(E221*('Assumptions'!$D$50-'Assumptions'!$B$50)*('Assumptions'!$C$50-'Assumptions'!$B$50)),'Assumptions'!$D$50-SQRT((1-E221)*('Assumptions'!$D$50-'Assumptions'!$B$50)*('Assumptions'!$D$50-'Assumptions'!$C$50)))</x:f>
        <x:v>0.0758576949052734</x:v>
      </x:c>
      <x:c r="K221" s="132" t="n">
        <x:f>IF(F221&lt;(('Assumptions'!$C$51-'Assumptions'!$B$51)/('Assumptions'!$D$51-'Assumptions'!$B$51)),'Assumptions'!$B$51+SQRT(F221*('Assumptions'!$D$51-'Assumptions'!$B$51)*('Assumptions'!$C$51-'Assumptions'!$B$51)),'Assumptions'!$D$51-SQRT((1-F221)*('Assumptions'!$D$51-'Assumptions'!$B$51)*('Assumptions'!$D$51-'Assumptions'!$C$51)))</x:f>
        <x:v>0.06303003040214884</x:v>
      </x:c>
      <x:c r="L221" s="133" t="n">
        <x:f>(('Assumptions'!$B$17*(1+G221)+'Assumptions'!$B$18)*(1-H221-'Assumptions'!$B$20)-SUM('Assumptions'!$B$21:$B$25)*(1+I221))-(('Assumptions'!$B$17*(1+G221)+'Assumptions'!$B$18)*(1-H221-'Assumptions'!$B$20)*'Assumptions'!$B$26)</x:f>
        <x:v>205306.34561915553</x:v>
      </x:c>
      <x:c r="M221" s="133" t="n">
        <x:f>'Assumptions'!$B$10*'Assumptions'!$B$33</x:f>
        <x:v>1950000</x:v>
      </x:c>
      <x:c r="N221" s="133" t="n">
        <x:f>-PMT(K221/12,'Assumptions'!$B$35*12,M221)*12</x:f>
        <x:v>144885.44219658084</x:v>
      </x:c>
      <x:c r="O221" s="133" t="n">
        <x:f>(L221*(1+'Assumptions'!$B$29)^('Assumptions'!$B$14/12)/J221)*(1-'Assumptions'!$B$42)-'Debt Schedule'!$F$9</x:f>
        <x:v>2949284.7708990416</x:v>
      </x:c>
      <x:c r="P221" s="132" t="n">
        <x:f>((O221+(L221-N221-'Assumptions'!$B$27-'Assumptions'!$B$28)*('Assumptions'!$B$14/12))/ABS('Monthly Cash Flow'!$S$5))^(1/('Assumptions'!$B$14/12))-1</x:f>
        <x:v>0.18707760689421438</x:v>
      </x:c>
      <x:c r="Q221" s="133" t="n">
        <x:f>-ABS('Monthly Cash Flow'!$S$5)+((L221-N221-'Assumptions'!$B$27-'Assumptions'!$B$28)*(1-(1+'Assumptions'!$B$43)^-('Assumptions'!$B$14/12))/'Assumptions'!$B$43)+(O221/(1+'Assumptions'!$B$43)^('Assumptions'!$B$14/12))</x:f>
        <x:v>614185.0925385135</x:v>
      </x:c>
    </x:row>
    <x:row r="222">
      <x:c r="A222" s="131" t="n">
        <x:f>215</x:f>
        <x:v>215</x:v>
      </x:c>
      <x:c r="B222" s="131" t="n">
        <x:f>MOD(ABS(SIN((A222+1)*12.9898+78.233)*43758.5453),1)</x:f>
        <x:v>0.4145557226993333</x:v>
      </x:c>
      <x:c r="C222" s="131" t="n">
        <x:f>MOD(ABS(SIN((A222+2)*12.9898+78.233)*43758.5453),1)</x:f>
        <x:v>0.40971153706414043</x:v>
      </x:c>
      <x:c r="D222" s="131" t="n">
        <x:f>MOD(ABS(SIN((A222+3)*12.9898+78.233)*43758.5453),1)</x:f>
        <x:v>0.9389913191189407</x:v>
      </x:c>
      <x:c r="E222" s="131" t="n">
        <x:f>MOD(ABS(SIN((A222+4)*12.9898+78.233)*43758.5453),1)</x:f>
        <x:v>0.11120449544978328</x:v>
      </x:c>
      <x:c r="F222" s="131" t="n">
        <x:f>MOD(ABS(SIN((A222+5)*12.9898+78.233)*43758.5453),1)</x:f>
        <x:v>0.8213861856929725</x:v>
      </x:c>
      <x:c r="G222" s="132" t="n">
        <x:f>IF(B222&lt;(('Assumptions'!$C$47-'Assumptions'!$B$47)/('Assumptions'!$D$47-'Assumptions'!$B$47)),'Assumptions'!$B$47+SQRT(B222*('Assumptions'!$D$47-'Assumptions'!$B$47)*('Assumptions'!$C$47-'Assumptions'!$B$47)),'Assumptions'!$D$47-SQRT((1-B222)*('Assumptions'!$D$47-'Assumptions'!$B$47)*('Assumptions'!$D$47-'Assumptions'!$C$47)))</x:f>
        <x:v>-0.00025363492946724187</x:v>
      </x:c>
      <x:c r="H222" s="132" t="n">
        <x:f>IF(C222&lt;(('Assumptions'!$C$48-'Assumptions'!$B$48)/('Assumptions'!$D$48-'Assumptions'!$B$48)),'Assumptions'!$B$48+SQRT(C222*('Assumptions'!$D$48-'Assumptions'!$B$48)*('Assumptions'!$C$48-'Assumptions'!$B$48)),'Assumptions'!$D$48-SQRT((1-C222)*('Assumptions'!$D$48-'Assumptions'!$B$48)*('Assumptions'!$D$48-'Assumptions'!$C$48)))</x:f>
        <x:v>0.0679268533097412</x:v>
      </x:c>
      <x:c r="I222" s="132" t="n">
        <x:f>IF(D222&lt;(('Assumptions'!$C$49-'Assumptions'!$B$49)/('Assumptions'!$D$49-'Assumptions'!$B$49)),'Assumptions'!$B$49+SQRT(D222*('Assumptions'!$D$49-'Assumptions'!$B$49)*('Assumptions'!$C$49-'Assumptions'!$B$49)),'Assumptions'!$D$49-SQRT((1-D222)*('Assumptions'!$D$49-'Assumptions'!$B$49)*('Assumptions'!$D$49-'Assumptions'!$C$49)))</x:f>
        <x:v>0.11369865695279471</x:v>
      </x:c>
      <x:c r="J222" s="132" t="n">
        <x:f>IF(E222&lt;(('Assumptions'!$C$50-'Assumptions'!$B$50)/('Assumptions'!$D$50-'Assumptions'!$B$50)),'Assumptions'!$B$50+SQRT(E222*('Assumptions'!$D$50-'Assumptions'!$B$50)*('Assumptions'!$C$50-'Assumptions'!$B$50)),'Assumptions'!$D$50-SQRT((1-E222)*('Assumptions'!$D$50-'Assumptions'!$B$50)*('Assumptions'!$D$50-'Assumptions'!$C$50)))</x:f>
        <x:v>0.06250210070632342</x:v>
      </x:c>
      <x:c r="K222" s="132" t="n">
        <x:f>IF(F222&lt;(('Assumptions'!$C$51-'Assumptions'!$B$51)/('Assumptions'!$D$51-'Assumptions'!$B$51)),'Assumptions'!$B$51+SQRT(F222*('Assumptions'!$D$51-'Assumptions'!$B$51)*('Assumptions'!$C$51-'Assumptions'!$B$51)),'Assumptions'!$D$51-SQRT((1-F222)*('Assumptions'!$D$51-'Assumptions'!$B$51)*('Assumptions'!$D$51-'Assumptions'!$C$51)))</x:f>
        <x:v>0.07572865176280942</x:v>
      </x:c>
      <x:c r="L222" s="133" t="n">
        <x:f>(('Assumptions'!$B$17*(1+G222)+'Assumptions'!$B$18)*(1-H222-'Assumptions'!$B$20)-SUM('Assumptions'!$B$21:$B$25)*(1+I222))-(('Assumptions'!$B$17*(1+G222)+'Assumptions'!$B$18)*(1-H222-'Assumptions'!$B$20)*'Assumptions'!$B$26)</x:f>
        <x:v>194195.04723758853</x:v>
      </x:c>
      <x:c r="M222" s="133" t="n">
        <x:f>'Assumptions'!$B$10*'Assumptions'!$B$33</x:f>
        <x:v>1950000</x:v>
      </x:c>
      <x:c r="N222" s="133" t="n">
        <x:f>-PMT(K222/12,'Assumptions'!$B$35*12,M222)*12</x:f>
        <x:v>164785.30893525592</x:v>
      </x:c>
      <x:c r="O222" s="133" t="n">
        <x:f>(L222*(1+'Assumptions'!$B$29)^('Assumptions'!$B$14/12)/J222)*(1-'Assumptions'!$B$42)-'Debt Schedule'!$F$9</x:f>
        <x:v>3385770.465493979</x:v>
      </x:c>
      <x:c r="P222" s="132" t="n">
        <x:f>((O222+(L222-N222-'Assumptions'!$B$27-'Assumptions'!$B$28)*('Assumptions'!$B$14/12))/ABS('Monthly Cash Flow'!$S$5))^(1/('Assumptions'!$B$14/12))-1</x:f>
        <x:v>0.20820864487287638</x:v>
      </x:c>
      <x:c r="Q222" s="133" t="n">
        <x:f>-ABS('Monthly Cash Flow'!$S$5)+((L222-N222-'Assumptions'!$B$27-'Assumptions'!$B$28)*(1-(1+'Assumptions'!$B$43)^-('Assumptions'!$B$14/12))/'Assumptions'!$B$43)+(O222/(1+'Assumptions'!$B$43)^('Assumptions'!$B$14/12))</x:f>
        <x:v>767651.653081042</x:v>
      </x:c>
    </x:row>
    <x:row r="223">
      <x:c r="A223" s="131" t="n">
        <x:f>216</x:f>
        <x:v>216</x:v>
      </x:c>
      <x:c r="B223" s="131" t="n">
        <x:f>MOD(ABS(SIN((A223+1)*12.9898+78.233)*43758.5453),1)</x:f>
        <x:v>0.40971153706414043</x:v>
      </x:c>
      <x:c r="C223" s="131" t="n">
        <x:f>MOD(ABS(SIN((A223+2)*12.9898+78.233)*43758.5453),1)</x:f>
        <x:v>0.9389913191189407</x:v>
      </x:c>
      <x:c r="D223" s="131" t="n">
        <x:f>MOD(ABS(SIN((A223+3)*12.9898+78.233)*43758.5453),1)</x:f>
        <x:v>0.11120449544978328</x:v>
      </x:c>
      <x:c r="E223" s="131" t="n">
        <x:f>MOD(ABS(SIN((A223+4)*12.9898+78.233)*43758.5453),1)</x:f>
        <x:v>0.8213861856929725</x:v>
      </x:c>
      <x:c r="F223" s="131" t="n">
        <x:f>MOD(ABS(SIN((A223+5)*12.9898+78.233)*43758.5453),1)</x:f>
        <x:v>0.7653878461642307</x:v>
      </x:c>
      <x:c r="G223" s="132" t="n">
        <x:f>IF(B223&lt;(('Assumptions'!$C$47-'Assumptions'!$B$47)/('Assumptions'!$D$47-'Assumptions'!$B$47)),'Assumptions'!$B$47+SQRT(B223*('Assumptions'!$D$47-'Assumptions'!$B$47)*('Assumptions'!$C$47-'Assumptions'!$B$47)),'Assumptions'!$D$47-SQRT((1-B223)*('Assumptions'!$D$47-'Assumptions'!$B$47)*('Assumptions'!$D$47-'Assumptions'!$C$47)))</x:f>
        <x:v>-0.0008381278437152029</x:v>
      </x:c>
      <x:c r="H223" s="132" t="n">
        <x:f>IF(C223&lt;(('Assumptions'!$C$48-'Assumptions'!$B$48)/('Assumptions'!$D$48-'Assumptions'!$B$48)),'Assumptions'!$B$48+SQRT(C223*('Assumptions'!$D$48-'Assumptions'!$B$48)*('Assumptions'!$C$48-'Assumptions'!$B$48)),'Assumptions'!$D$48-SQRT((1-C223)*('Assumptions'!$D$48-'Assumptions'!$B$48)*('Assumptions'!$D$48-'Assumptions'!$C$48)))</x:f>
        <x:v>0.11682940674576239</x:v>
      </x:c>
      <x:c r="I223" s="132" t="n">
        <x:f>IF(D223&lt;(('Assumptions'!$C$49-'Assumptions'!$B$49)/('Assumptions'!$D$49-'Assumptions'!$B$49)),'Assumptions'!$B$49+SQRT(D223*('Assumptions'!$D$49-'Assumptions'!$B$49)*('Assumptions'!$C$49-'Assumptions'!$B$49)),'Assumptions'!$D$49-SQRT((1-D223)*('Assumptions'!$D$49-'Assumptions'!$B$49)*('Assumptions'!$D$49-'Assumptions'!$C$49)))</x:f>
        <x:v>0.004655570271713309</x:v>
      </x:c>
      <x:c r="J223" s="132" t="n">
        <x:f>IF(E223&lt;(('Assumptions'!$C$50-'Assumptions'!$B$50)/('Assumptions'!$D$50-'Assumptions'!$B$50)),'Assumptions'!$B$50+SQRT(E223*('Assumptions'!$D$50-'Assumptions'!$B$50)*('Assumptions'!$C$50-'Assumptions'!$B$50)),'Assumptions'!$D$50-SQRT((1-E223)*('Assumptions'!$D$50-'Assumptions'!$B$50)*('Assumptions'!$D$50-'Assumptions'!$C$50)))</x:f>
        <x:v>0.07291232511511346</x:v>
      </x:c>
      <x:c r="K223" s="132" t="n">
        <x:f>IF(F223&lt;(('Assumptions'!$C$51-'Assumptions'!$B$51)/('Assumptions'!$D$51-'Assumptions'!$B$51)),'Assumptions'!$B$51+SQRT(F223*('Assumptions'!$D$51-'Assumptions'!$B$51)*('Assumptions'!$C$51-'Assumptions'!$B$51)),'Assumptions'!$D$51-SQRT((1-F223)*('Assumptions'!$D$51-'Assumptions'!$B$51)*('Assumptions'!$D$51-'Assumptions'!$C$51)))</x:f>
        <x:v>0.07437422477964718</x:v>
      </x:c>
      <x:c r="L223" s="133" t="n">
        <x:f>(('Assumptions'!$B$17*(1+G223)+'Assumptions'!$B$18)*(1-H223-'Assumptions'!$B$20)-SUM('Assumptions'!$B$21:$B$25)*(1+I223))-(('Assumptions'!$B$17*(1+G223)+'Assumptions'!$B$18)*(1-H223-'Assumptions'!$B$20)*'Assumptions'!$B$26)</x:f>
        <x:v>190016.6230663607</x:v>
      </x:c>
      <x:c r="M223" s="133" t="n">
        <x:f>'Assumptions'!$B$10*'Assumptions'!$B$33</x:f>
        <x:v>1950000</x:v>
      </x:c>
      <x:c r="N223" s="133" t="n">
        <x:f>-PMT(K223/12,'Assumptions'!$B$35*12,M223)*12</x:f>
        <x:v>162614.67511514097</x:v>
      </x:c>
      <x:c r="O223" s="133" t="n">
        <x:f>(L223*(1+'Assumptions'!$B$29)^('Assumptions'!$B$14/12)/J223)*(1-'Assumptions'!$B$42)-'Debt Schedule'!$F$9</x:f>
        <x:v>2839910.3140867255</x:v>
      </x:c>
      <x:c r="P223" s="132" t="n">
        <x:f>((O223+(L223-N223-'Assumptions'!$B$27-'Assumptions'!$B$28)*('Assumptions'!$B$14/12))/ABS('Monthly Cash Flow'!$S$5))^(1/('Assumptions'!$B$14/12))-1</x:f>
        <x:v>0.16490970759607348</x:v>
      </x:c>
      <x:c r="Q223" s="133" t="n">
        <x:f>-ABS('Monthly Cash Flow'!$S$5)+((L223-N223-'Assumptions'!$B$27-'Assumptions'!$B$28)*(1-(1+'Assumptions'!$B$43)^-('Assumptions'!$B$14/12))/'Assumptions'!$B$43)+(O223/(1+'Assumptions'!$B$43)^('Assumptions'!$B$14/12))</x:f>
        <x:v>421104.34056523466</x:v>
      </x:c>
    </x:row>
    <x:row r="224">
      <x:c r="A224" s="131" t="n">
        <x:f>217</x:f>
        <x:v>217</x:v>
      </x:c>
      <x:c r="B224" s="131" t="n">
        <x:f>MOD(ABS(SIN((A224+1)*12.9898+78.233)*43758.5453),1)</x:f>
        <x:v>0.9389913191189407</x:v>
      </x:c>
      <x:c r="C224" s="131" t="n">
        <x:f>MOD(ABS(SIN((A224+2)*12.9898+78.233)*43758.5453),1)</x:f>
        <x:v>0.11120449544978328</x:v>
      </x:c>
      <x:c r="D224" s="131" t="n">
        <x:f>MOD(ABS(SIN((A224+3)*12.9898+78.233)*43758.5453),1)</x:f>
        <x:v>0.8213861856929725</x:v>
      </x:c>
      <x:c r="E224" s="131" t="n">
        <x:f>MOD(ABS(SIN((A224+4)*12.9898+78.233)*43758.5453),1)</x:f>
        <x:v>0.7653878461642307</x:v>
      </x:c>
      <x:c r="F224" s="131" t="n">
        <x:f>MOD(ABS(SIN((A224+5)*12.9898+78.233)*43758.5453),1)</x:f>
        <x:v>0.9853341265879862</x:v>
      </x:c>
      <x:c r="G224" s="132" t="n">
        <x:f>IF(B224&lt;(('Assumptions'!$C$47-'Assumptions'!$B$47)/('Assumptions'!$D$47-'Assumptions'!$B$47)),'Assumptions'!$B$47+SQRT(B224*('Assumptions'!$D$47-'Assumptions'!$B$47)*('Assumptions'!$C$47-'Assumptions'!$B$47)),'Assumptions'!$D$47-SQRT((1-B224)*('Assumptions'!$D$47-'Assumptions'!$B$47)*('Assumptions'!$D$47-'Assumptions'!$C$47)))</x:f>
        <x:v>0.06875677842960257</x:v>
      </x:c>
      <x:c r="H224" s="132" t="n">
        <x:f>IF(C224&lt;(('Assumptions'!$C$48-'Assumptions'!$B$48)/('Assumptions'!$D$48-'Assumptions'!$B$48)),'Assumptions'!$B$48+SQRT(C224*('Assumptions'!$D$48-'Assumptions'!$B$48)*('Assumptions'!$C$48-'Assumptions'!$B$48)),'Assumptions'!$D$48-SQRT((1-C224)*('Assumptions'!$D$48-'Assumptions'!$B$48)*('Assumptions'!$D$48-'Assumptions'!$C$48)))</x:f>
        <x:v>0.04915658724784466</x:v>
      </x:c>
      <x:c r="I224" s="132" t="n">
        <x:f>IF(D224&lt;(('Assumptions'!$C$49-'Assumptions'!$B$49)/('Assumptions'!$D$49-'Assumptions'!$B$49)),'Assumptions'!$B$49+SQRT(D224*('Assumptions'!$D$49-'Assumptions'!$B$49)*('Assumptions'!$C$49-'Assumptions'!$B$49)),'Assumptions'!$D$49-SQRT((1-D224)*('Assumptions'!$D$49-'Assumptions'!$B$49)*('Assumptions'!$D$49-'Assumptions'!$C$49)))</x:f>
        <x:v>0.08788672936455694</x:v>
      </x:c>
      <x:c r="J224" s="132" t="n">
        <x:f>IF(E224&lt;(('Assumptions'!$C$50-'Assumptions'!$B$50)/('Assumptions'!$D$50-'Assumptions'!$B$50)),'Assumptions'!$B$50+SQRT(E224*('Assumptions'!$D$50-'Assumptions'!$B$50)*('Assumptions'!$C$50-'Assumptions'!$B$50)),'Assumptions'!$D$50-SQRT((1-E224)*('Assumptions'!$D$50-'Assumptions'!$B$50)*('Assumptions'!$D$50-'Assumptions'!$C$50)))</x:f>
        <x:v>0.0718769052531495</x:v>
      </x:c>
      <x:c r="K224" s="132" t="n">
        <x:f>IF(F224&lt;(('Assumptions'!$C$51-'Assumptions'!$B$51)/('Assumptions'!$D$51-'Assumptions'!$B$51)),'Assumptions'!$B$51+SQRT(F224*('Assumptions'!$D$51-'Assumptions'!$B$51)*('Assumptions'!$C$51-'Assumptions'!$B$51)),'Assumptions'!$D$51-SQRT((1-F224)*('Assumptions'!$D$51-'Assumptions'!$B$51)*('Assumptions'!$D$51-'Assumptions'!$C$51)))</x:f>
        <x:v>0.08234331944345362</x:v>
      </x:c>
      <x:c r="L224" s="133" t="n">
        <x:f>(('Assumptions'!$B$17*(1+G224)+'Assumptions'!$B$18)*(1-H224-'Assumptions'!$B$20)-SUM('Assumptions'!$B$21:$B$25)*(1+I224))-(('Assumptions'!$B$17*(1+G224)+'Assumptions'!$B$18)*(1-H224-'Assumptions'!$B$20)*'Assumptions'!$B$26)</x:f>
        <x:v>226696.17325011358</x:v>
      </x:c>
      <x:c r="M224" s="133" t="n">
        <x:f>'Assumptions'!$B$10*'Assumptions'!$B$33</x:f>
        <x:v>1950000</x:v>
      </x:c>
      <x:c r="N224" s="133" t="n">
        <x:f>-PMT(K224/12,'Assumptions'!$B$35*12,M224)*12</x:f>
        <x:v>175538.70549534814</x:v>
      </x:c>
      <x:c r="O224" s="133" t="n">
        <x:f>(L224*(1+'Assumptions'!$B$29)^('Assumptions'!$B$14/12)/J224)*(1-'Assumptions'!$B$42)-'Debt Schedule'!$F$9</x:f>
        <x:v>3436915.038819658</x:v>
      </x:c>
      <x:c r="P224" s="132" t="n">
        <x:f>((O224+(L224-N224-'Assumptions'!$B$27-'Assumptions'!$B$28)*('Assumptions'!$B$14/12))/ABS('Monthly Cash Flow'!$S$5))^(1/('Assumptions'!$B$14/12))-1</x:f>
        <x:v>0.21958452482335455</x:v>
      </x:c>
      <x:c r="Q224" s="133" t="n">
        <x:f>-ABS('Monthly Cash Flow'!$S$5)+((L224-N224-'Assumptions'!$B$27-'Assumptions'!$B$28)*(1-(1+'Assumptions'!$B$43)^-('Assumptions'!$B$14/12))/'Assumptions'!$B$43)+(O224/(1+'Assumptions'!$B$43)^('Assumptions'!$B$14/12))</x:f>
        <x:v>881849.4142906752</x:v>
      </x:c>
    </x:row>
    <x:row r="225">
      <x:c r="A225" s="131" t="n">
        <x:f>218</x:f>
        <x:v>218</x:v>
      </x:c>
      <x:c r="B225" s="131" t="n">
        <x:f>MOD(ABS(SIN((A225+1)*12.9898+78.233)*43758.5453),1)</x:f>
        <x:v>0.11120449544978328</x:v>
      </x:c>
      <x:c r="C225" s="131" t="n">
        <x:f>MOD(ABS(SIN((A225+2)*12.9898+78.233)*43758.5453),1)</x:f>
        <x:v>0.8213861856929725</x:v>
      </x:c>
      <x:c r="D225" s="131" t="n">
        <x:f>MOD(ABS(SIN((A225+3)*12.9898+78.233)*43758.5453),1)</x:f>
        <x:v>0.7653878461642307</x:v>
      </x:c>
      <x:c r="E225" s="131" t="n">
        <x:f>MOD(ABS(SIN((A225+4)*12.9898+78.233)*43758.5453),1)</x:f>
        <x:v>0.9853341265879862</x:v>
      </x:c>
      <x:c r="F225" s="131" t="n">
        <x:f>MOD(ABS(SIN((A225+5)*12.9898+78.233)*43758.5453),1)</x:f>
        <x:v>0.7871215775885503</x:v>
      </x:c>
      <x:c r="G225" s="132" t="n">
        <x:f>IF(B225&lt;(('Assumptions'!$C$47-'Assumptions'!$B$47)/('Assumptions'!$D$47-'Assumptions'!$B$47)),'Assumptions'!$B$47+SQRT(B225*('Assumptions'!$D$47-'Assumptions'!$B$47)*('Assumptions'!$C$47-'Assumptions'!$B$47)),'Assumptions'!$D$47-SQRT((1-B225)*('Assumptions'!$D$47-'Assumptions'!$B$47)*('Assumptions'!$D$47-'Assumptions'!$C$47)))</x:f>
        <x:v>-0.04833852604895212</x:v>
      </x:c>
      <x:c r="H225" s="132" t="n">
        <x:f>IF(C225&lt;(('Assumptions'!$C$48-'Assumptions'!$B$48)/('Assumptions'!$D$48-'Assumptions'!$B$48)),'Assumptions'!$B$48+SQRT(C225*('Assumptions'!$D$48-'Assumptions'!$B$48)*('Assumptions'!$C$48-'Assumptions'!$B$48)),'Assumptions'!$D$48-SQRT((1-C225)*('Assumptions'!$D$48-'Assumptions'!$B$48)*('Assumptions'!$D$48-'Assumptions'!$C$48)))</x:f>
        <x:v>0.10035404729481404</x:v>
      </x:c>
      <x:c r="I225" s="132" t="n">
        <x:f>IF(D225&lt;(('Assumptions'!$C$49-'Assumptions'!$B$49)/('Assumptions'!$D$49-'Assumptions'!$B$49)),'Assumptions'!$B$49+SQRT(D225*('Assumptions'!$D$49-'Assumptions'!$B$49)*('Assumptions'!$C$49-'Assumptions'!$B$49)),'Assumptions'!$D$49-SQRT((1-D225)*('Assumptions'!$D$49-'Assumptions'!$B$49)*('Assumptions'!$D$49-'Assumptions'!$C$49)))</x:f>
        <x:v>0.07881276432637227</x:v>
      </x:c>
      <x:c r="J225" s="132" t="n">
        <x:f>IF(E225&lt;(('Assumptions'!$C$50-'Assumptions'!$B$50)/('Assumptions'!$D$50-'Assumptions'!$B$50)),'Assumptions'!$B$50+SQRT(E225*('Assumptions'!$D$50-'Assumptions'!$B$50)*('Assumptions'!$C$50-'Assumptions'!$B$50)),'Assumptions'!$D$50-SQRT((1-E225)*('Assumptions'!$D$50-'Assumptions'!$B$50)*('Assumptions'!$D$50-'Assumptions'!$C$50)))</x:f>
        <x:v>0.07796904532371378</x:v>
      </x:c>
      <x:c r="K225" s="132" t="n">
        <x:f>IF(F225&lt;(('Assumptions'!$C$51-'Assumptions'!$B$51)/('Assumptions'!$D$51-'Assumptions'!$B$51)),'Assumptions'!$B$51+SQRT(F225*('Assumptions'!$D$51-'Assumptions'!$B$51)*('Assumptions'!$C$51-'Assumptions'!$B$51)),'Assumptions'!$D$51-SQRT((1-F225)*('Assumptions'!$D$51-'Assumptions'!$B$51)*('Assumptions'!$D$51-'Assumptions'!$C$51)))</x:f>
        <x:v>0.07487835286203327</x:v>
      </x:c>
      <x:c r="L225" s="133" t="n">
        <x:f>(('Assumptions'!$B$17*(1+G225)+'Assumptions'!$B$18)*(1-H225-'Assumptions'!$B$20)-SUM('Assumptions'!$B$21:$B$25)*(1+I225))-(('Assumptions'!$B$17*(1+G225)+'Assumptions'!$B$18)*(1-H225-'Assumptions'!$B$20)*'Assumptions'!$B$26)</x:f>
        <x:v>172042.07245768083</x:v>
      </x:c>
      <x:c r="M225" s="133" t="n">
        <x:f>'Assumptions'!$B$10*'Assumptions'!$B$33</x:f>
        <x:v>1950000</x:v>
      </x:c>
      <x:c r="N225" s="133" t="n">
        <x:f>-PMT(K225/12,'Assumptions'!$B$35*12,M225)*12</x:f>
        <x:v>163421.32155995877</x:v>
      </x:c>
      <x:c r="O225" s="133" t="n">
        <x:f>(L225*(1+'Assumptions'!$B$29)^('Assumptions'!$B$14/12)/J225)*(1-'Assumptions'!$B$42)-'Debt Schedule'!$F$9</x:f>
        <x:v>2404509.1055471674</x:v>
      </x:c>
      <x:c r="P225" s="132" t="n">
        <x:f>((O225+(L225-N225-'Assumptions'!$B$27-'Assumptions'!$B$28)*('Assumptions'!$B$14/12))/ABS('Monthly Cash Flow'!$S$5))^(1/('Assumptions'!$B$14/12))-1</x:f>
        <x:v>0.11666753674247965</x:v>
      </x:c>
      <x:c r="Q225" s="133" t="n">
        <x:f>-ABS('Monthly Cash Flow'!$S$5)+((L225-N225-'Assumptions'!$B$27-'Assumptions'!$B$28)*(1-(1+'Assumptions'!$B$43)^-('Assumptions'!$B$14/12))/'Assumptions'!$B$43)+(O225/(1+'Assumptions'!$B$43)^('Assumptions'!$B$14/12))</x:f>
        <x:v>79558.93279324519</x:v>
      </x:c>
    </x:row>
    <x:row r="226">
      <x:c r="A226" s="131" t="n">
        <x:f>219</x:f>
        <x:v>219</x:v>
      </x:c>
      <x:c r="B226" s="131" t="n">
        <x:f>MOD(ABS(SIN((A226+1)*12.9898+78.233)*43758.5453),1)</x:f>
        <x:v>0.8213861856929725</x:v>
      </x:c>
      <x:c r="C226" s="131" t="n">
        <x:f>MOD(ABS(SIN((A226+2)*12.9898+78.233)*43758.5453),1)</x:f>
        <x:v>0.7653878461642307</x:v>
      </x:c>
      <x:c r="D226" s="131" t="n">
        <x:f>MOD(ABS(SIN((A226+3)*12.9898+78.233)*43758.5453),1)</x:f>
        <x:v>0.9853341265879862</x:v>
      </x:c>
      <x:c r="E226" s="131" t="n">
        <x:f>MOD(ABS(SIN((A226+4)*12.9898+78.233)*43758.5453),1)</x:f>
        <x:v>0.7871215775885503</x:v>
      </x:c>
      <x:c r="F226" s="131" t="n">
        <x:f>MOD(ABS(SIN((A226+5)*12.9898+78.233)*43758.5453),1)</x:f>
        <x:v>0.15673661571054254</x:v>
      </x:c>
      <x:c r="G226" s="132" t="n">
        <x:f>IF(B226&lt;(('Assumptions'!$C$47-'Assumptions'!$B$47)/('Assumptions'!$D$47-'Assumptions'!$B$47)),'Assumptions'!$B$47+SQRT(B226*('Assumptions'!$D$47-'Assumptions'!$B$47)*('Assumptions'!$C$47-'Assumptions'!$B$47)),'Assumptions'!$D$47-SQRT((1-B226)*('Assumptions'!$D$47-'Assumptions'!$B$47)*('Assumptions'!$D$47-'Assumptions'!$C$47)))</x:f>
        <x:v>0.04654140827787885</x:v>
      </x:c>
      <x:c r="H226" s="132" t="n">
        <x:f>IF(C226&lt;(('Assumptions'!$C$48-'Assumptions'!$B$48)/('Assumptions'!$D$48-'Assumptions'!$B$48)),'Assumptions'!$B$48+SQRT(C226*('Assumptions'!$D$48-'Assumptions'!$B$48)*('Assumptions'!$C$48-'Assumptions'!$B$48)),'Assumptions'!$D$48-SQRT((1-C226)*('Assumptions'!$D$48-'Assumptions'!$B$48)*('Assumptions'!$D$48-'Assumptions'!$C$48)))</x:f>
        <x:v>0.09456227389321986</x:v>
      </x:c>
      <x:c r="I226" s="132" t="n">
        <x:f>IF(D226&lt;(('Assumptions'!$C$49-'Assumptions'!$B$49)/('Assumptions'!$D$49-'Assumptions'!$B$49)),'Assumptions'!$B$49+SQRT(D226*('Assumptions'!$D$49-'Assumptions'!$B$49)*('Assumptions'!$C$49-'Assumptions'!$B$49)),'Assumptions'!$D$49-SQRT((1-D226)*('Assumptions'!$D$49-'Assumptions'!$B$49)*('Assumptions'!$D$49-'Assumptions'!$C$49)))</x:f>
        <x:v>0.13220160496843894</x:v>
      </x:c>
      <x:c r="J226" s="132" t="n">
        <x:f>IF(E226&lt;(('Assumptions'!$C$50-'Assumptions'!$B$50)/('Assumptions'!$D$50-'Assumptions'!$B$50)),'Assumptions'!$B$50+SQRT(E226*('Assumptions'!$D$50-'Assumptions'!$B$50)*('Assumptions'!$C$50-'Assumptions'!$B$50)),'Assumptions'!$D$50-SQRT((1-E226)*('Assumptions'!$D$50-'Assumptions'!$B$50)*('Assumptions'!$D$50-'Assumptions'!$C$50)))</x:f>
        <x:v>0.07226229644511886</x:v>
      </x:c>
      <x:c r="K226" s="132" t="n">
        <x:f>IF(F226&lt;(('Assumptions'!$C$51-'Assumptions'!$B$51)/('Assumptions'!$D$51-'Assumptions'!$B$51)),'Assumptions'!$B$51+SQRT(F226*('Assumptions'!$D$51-'Assumptions'!$B$51)*('Assumptions'!$C$51-'Assumptions'!$B$51)),'Assumptions'!$D$51-SQRT((1-F226)*('Assumptions'!$D$51-'Assumptions'!$B$51)*('Assumptions'!$D$51-'Assumptions'!$C$51)))</x:f>
        <x:v>0.06406525470339113</x:v>
      </x:c>
      <x:c r="L226" s="133" t="n">
        <x:f>(('Assumptions'!$B$17*(1+G226)+'Assumptions'!$B$18)*(1-H226-'Assumptions'!$B$20)-SUM('Assumptions'!$B$21:$B$25)*(1+I226))-(('Assumptions'!$B$17*(1+G226)+'Assumptions'!$B$18)*(1-H226-'Assumptions'!$B$20)*'Assumptions'!$B$26)</x:f>
        <x:v>196681.89659864607</x:v>
      </x:c>
      <x:c r="M226" s="133" t="n">
        <x:f>'Assumptions'!$B$10*'Assumptions'!$B$33</x:f>
        <x:v>1950000</x:v>
      </x:c>
      <x:c r="N226" s="133" t="n">
        <x:f>-PMT(K226/12,'Assumptions'!$B$35*12,M226)*12</x:f>
        <x:v>146468.37750406336</x:v>
      </x:c>
      <x:c r="O226" s="133" t="n">
        <x:f>(L226*(1+'Assumptions'!$B$29)^('Assumptions'!$B$14/12)/J226)*(1-'Assumptions'!$B$42)-'Debt Schedule'!$F$9</x:f>
        <x:v>2965968.98712016</x:v>
      </x:c>
      <x:c r="P226" s="132" t="n">
        <x:f>((O226+(L226-N226-'Assumptions'!$B$27-'Assumptions'!$B$28)*('Assumptions'!$B$14/12))/ABS('Monthly Cash Flow'!$S$5))^(1/('Assumptions'!$B$14/12))-1</x:f>
        <x:v>0.18439265180480846</x:v>
      </x:c>
      <x:c r="Q226" s="133" t="n">
        <x:f>-ABS('Monthly Cash Flow'!$S$5)+((L226-N226-'Assumptions'!$B$27-'Assumptions'!$B$28)*(1-(1+'Assumptions'!$B$43)^-('Assumptions'!$B$14/12))/'Assumptions'!$B$43)+(O226/(1+'Assumptions'!$B$43)^('Assumptions'!$B$14/12))</x:f>
        <x:v>585850.6606879162</x:v>
      </x:c>
    </x:row>
    <x:row r="227">
      <x:c r="A227" s="131" t="n">
        <x:f>220</x:f>
        <x:v>220</x:v>
      </x:c>
      <x:c r="B227" s="131" t="n">
        <x:f>MOD(ABS(SIN((A227+1)*12.9898+78.233)*43758.5453),1)</x:f>
        <x:v>0.7653878461642307</x:v>
      </x:c>
      <x:c r="C227" s="131" t="n">
        <x:f>MOD(ABS(SIN((A227+2)*12.9898+78.233)*43758.5453),1)</x:f>
        <x:v>0.9853341265879862</x:v>
      </x:c>
      <x:c r="D227" s="131" t="n">
        <x:f>MOD(ABS(SIN((A227+3)*12.9898+78.233)*43758.5453),1)</x:f>
        <x:v>0.7871215775885503</x:v>
      </x:c>
      <x:c r="E227" s="131" t="n">
        <x:f>MOD(ABS(SIN((A227+4)*12.9898+78.233)*43758.5453),1)</x:f>
        <x:v>0.15673661571054254</x:v>
      </x:c>
      <x:c r="F227" s="131" t="n">
        <x:f>MOD(ABS(SIN((A227+5)*12.9898+78.233)*43758.5453),1)</x:f>
        <x:v>0.4124361184949521</x:v>
      </x:c>
      <x:c r="G227" s="132" t="n">
        <x:f>IF(B227&lt;(('Assumptions'!$C$47-'Assumptions'!$B$47)/('Assumptions'!$D$47-'Assumptions'!$B$47)),'Assumptions'!$B$47+SQRT(B227*('Assumptions'!$D$47-'Assumptions'!$B$47)*('Assumptions'!$C$47-'Assumptions'!$B$47)),'Assumptions'!$D$47-SQRT((1-B227)*('Assumptions'!$D$47-'Assumptions'!$B$47)*('Assumptions'!$D$47-'Assumptions'!$C$47)))</x:f>
        <x:v>0.038731782616332734</x:v>
      </x:c>
      <x:c r="H227" s="132" t="n">
        <x:f>IF(C227&lt;(('Assumptions'!$C$48-'Assumptions'!$B$48)/('Assumptions'!$D$48-'Assumptions'!$B$48)),'Assumptions'!$B$48+SQRT(C227*('Assumptions'!$D$48-'Assumptions'!$B$48)*('Assumptions'!$C$48-'Assumptions'!$B$48)),'Assumptions'!$D$48-SQRT((1-C227)*('Assumptions'!$D$48-'Assumptions'!$B$48)*('Assumptions'!$D$48-'Assumptions'!$C$48)))</x:f>
        <x:v>0.12863955608148517</x:v>
      </x:c>
      <x:c r="I227" s="132" t="n">
        <x:f>IF(D227&lt;(('Assumptions'!$C$49-'Assumptions'!$B$49)/('Assumptions'!$D$49-'Assumptions'!$B$49)),'Assumptions'!$B$49+SQRT(D227*('Assumptions'!$D$49-'Assumptions'!$B$49)*('Assumptions'!$C$49-'Assumptions'!$B$49)),'Assumptions'!$D$49-SQRT((1-D227)*('Assumptions'!$D$49-'Assumptions'!$B$49)*('Assumptions'!$D$49-'Assumptions'!$C$49)))</x:f>
        <x:v>0.08219016351525898</x:v>
      </x:c>
      <x:c r="J227" s="132" t="n">
        <x:f>IF(E227&lt;(('Assumptions'!$C$50-'Assumptions'!$B$50)/('Assumptions'!$D$50-'Assumptions'!$B$50)),'Assumptions'!$B$50+SQRT(E227*('Assumptions'!$D$50-'Assumptions'!$B$50)*('Assumptions'!$C$50-'Assumptions'!$B$50)),'Assumptions'!$D$50-SQRT((1-E227)*('Assumptions'!$D$50-'Assumptions'!$B$50)*('Assumptions'!$D$50-'Assumptions'!$C$50)))</x:f>
        <x:v>0.06343849631934483</x:v>
      </x:c>
      <x:c r="K227" s="132" t="n">
        <x:f>IF(F227&lt;(('Assumptions'!$C$51-'Assumptions'!$B$51)/('Assumptions'!$D$51-'Assumptions'!$B$51)),'Assumptions'!$B$51+SQRT(F227*('Assumptions'!$D$51-'Assumptions'!$B$51)*('Assumptions'!$C$51-'Assumptions'!$B$51)),'Assumptions'!$D$51-SQRT((1-F227)*('Assumptions'!$D$51-'Assumptions'!$B$51)*('Assumptions'!$D$51-'Assumptions'!$C$51)))</x:f>
        <x:v>0.06818437875146136</x:v>
      </x:c>
      <x:c r="L227" s="133" t="n">
        <x:f>(('Assumptions'!$B$17*(1+G227)+'Assumptions'!$B$18)*(1-H227-'Assumptions'!$B$20)-SUM('Assumptions'!$B$21:$B$25)*(1+I227))-(('Assumptions'!$B$17*(1+G227)+'Assumptions'!$B$18)*(1-H227-'Assumptions'!$B$20)*'Assumptions'!$B$26)</x:f>
        <x:v>187744.43328802407</x:v>
      </x:c>
      <x:c r="M227" s="133" t="n">
        <x:f>'Assumptions'!$B$10*'Assumptions'!$B$33</x:f>
        <x:v>1950000</x:v>
      </x:c>
      <x:c r="N227" s="133" t="n">
        <x:f>-PMT(K227/12,'Assumptions'!$B$35*12,M227)*12</x:f>
        <x:v>152837.99623819973</x:v>
      </x:c>
      <x:c r="O227" s="133" t="n">
        <x:f>(L227*(1+'Assumptions'!$B$29)^('Assumptions'!$B$14/12)/J227)*(1-'Assumptions'!$B$42)-'Debt Schedule'!$F$9</x:f>
        <x:v>3224988.4648711043</x:v>
      </x:c>
      <x:c r="P227" s="132" t="n">
        <x:f>((O227+(L227-N227-'Assumptions'!$B$27-'Assumptions'!$B$28)*('Assumptions'!$B$14/12))/ABS('Monthly Cash Flow'!$S$5))^(1/('Assumptions'!$B$14/12))-1</x:f>
        <x:v>0.19838557437895088</x:v>
      </x:c>
      <x:c r="Q227" s="133" t="n">
        <x:f>-ABS('Monthly Cash Flow'!$S$5)+((L227-N227-'Assumptions'!$B$27-'Assumptions'!$B$28)*(1-(1+'Assumptions'!$B$43)^-('Assumptions'!$B$14/12))/'Assumptions'!$B$43)+(O227/(1+'Assumptions'!$B$43)^('Assumptions'!$B$14/12))</x:f>
        <x:v>688655.4934176041</x:v>
      </x:c>
    </x:row>
    <x:row r="228">
      <x:c r="A228" s="131" t="n">
        <x:f>221</x:f>
        <x:v>221</x:v>
      </x:c>
      <x:c r="B228" s="131" t="n">
        <x:f>MOD(ABS(SIN((A228+1)*12.9898+78.233)*43758.5453),1)</x:f>
        <x:v>0.9853341265879862</x:v>
      </x:c>
      <x:c r="C228" s="131" t="n">
        <x:f>MOD(ABS(SIN((A228+2)*12.9898+78.233)*43758.5453),1)</x:f>
        <x:v>0.7871215775885503</x:v>
      </x:c>
      <x:c r="D228" s="131" t="n">
        <x:f>MOD(ABS(SIN((A228+3)*12.9898+78.233)*43758.5453),1)</x:f>
        <x:v>0.15673661571054254</x:v>
      </x:c>
      <x:c r="E228" s="131" t="n">
        <x:f>MOD(ABS(SIN((A228+4)*12.9898+78.233)*43758.5453),1)</x:f>
        <x:v>0.4124361184949521</x:v>
      </x:c>
      <x:c r="F228" s="131" t="n">
        <x:f>MOD(ABS(SIN((A228+5)*12.9898+78.233)*43758.5453),1)</x:f>
        <x:v>0.6114808102429379</x:v>
      </x:c>
      <x:c r="G228" s="132" t="n">
        <x:f>IF(B228&lt;(('Assumptions'!$C$47-'Assumptions'!$B$47)/('Assumptions'!$D$47-'Assumptions'!$B$47)),'Assumptions'!$B$47+SQRT(B228*('Assumptions'!$D$47-'Assumptions'!$B$47)*('Assumptions'!$C$47-'Assumptions'!$B$47)),'Assumptions'!$D$47-SQRT((1-B228)*('Assumptions'!$D$47-'Assumptions'!$B$47)*('Assumptions'!$D$47-'Assumptions'!$C$47)))</x:f>
        <x:v>0.08468158054523184</x:v>
      </x:c>
      <x:c r="H228" s="132" t="n">
        <x:f>IF(C228&lt;(('Assumptions'!$C$48-'Assumptions'!$B$48)/('Assumptions'!$D$48-'Assumptions'!$B$48)),'Assumptions'!$B$48+SQRT(C228*('Assumptions'!$D$48-'Assumptions'!$B$48)*('Assumptions'!$C$48-'Assumptions'!$B$48)),'Assumptions'!$D$48-SQRT((1-C228)*('Assumptions'!$D$48-'Assumptions'!$B$48)*('Assumptions'!$D$48-'Assumptions'!$C$48)))</x:f>
        <x:v>0.0967180162513228</x:v>
      </x:c>
      <x:c r="I228" s="132" t="n">
        <x:f>IF(D228&lt;(('Assumptions'!$C$49-'Assumptions'!$B$49)/('Assumptions'!$D$49-'Assumptions'!$B$49)),'Assumptions'!$B$49+SQRT(D228*('Assumptions'!$D$49-'Assumptions'!$B$49)*('Assumptions'!$C$49-'Assumptions'!$B$49)),'Assumptions'!$D$49-SQRT((1-D228)*('Assumptions'!$D$49-'Assumptions'!$B$49)*('Assumptions'!$D$49-'Assumptions'!$C$49)))</x:f>
        <x:v>0.011143109382664058</x:v>
      </x:c>
      <x:c r="J228" s="132" t="n">
        <x:f>IF(E228&lt;(('Assumptions'!$C$50-'Assumptions'!$B$50)/('Assumptions'!$D$50-'Assumptions'!$B$50)),'Assumptions'!$B$50+SQRT(E228*('Assumptions'!$D$50-'Assumptions'!$B$50)*('Assumptions'!$C$50-'Assumptions'!$B$50)),'Assumptions'!$D$50-SQRT((1-E228)*('Assumptions'!$D$50-'Assumptions'!$B$50)*('Assumptions'!$D$50-'Assumptions'!$C$50)))</x:f>
        <x:v>0.06713317842985192</x:v>
      </x:c>
      <x:c r="K228" s="132" t="n">
        <x:f>IF(F228&lt;(('Assumptions'!$C$51-'Assumptions'!$B$51)/('Assumptions'!$D$51-'Assumptions'!$B$51)),'Assumptions'!$B$51+SQRT(F228*('Assumptions'!$D$51-'Assumptions'!$B$51)*('Assumptions'!$C$51-'Assumptions'!$B$51)),'Assumptions'!$D$51-SQRT((1-F228)*('Assumptions'!$D$51-'Assumptions'!$B$51)*('Assumptions'!$D$51-'Assumptions'!$C$51)))</x:f>
        <x:v>0.0713261249065751</x:v>
      </x:c>
      <x:c r="L228" s="133" t="n">
        <x:f>(('Assumptions'!$B$17*(1+G228)+'Assumptions'!$B$18)*(1-H228-'Assumptions'!$B$20)-SUM('Assumptions'!$B$21:$B$25)*(1+I228))-(('Assumptions'!$B$17*(1+G228)+'Assumptions'!$B$18)*(1-H228-'Assumptions'!$B$20)*'Assumptions'!$B$26)</x:f>
        <x:v>222892.88413712243</x:v>
      </x:c>
      <x:c r="M228" s="133" t="n">
        <x:f>'Assumptions'!$B$10*'Assumptions'!$B$33</x:f>
        <x:v>1950000</x:v>
      </x:c>
      <x:c r="N228" s="133" t="n">
        <x:f>-PMT(K228/12,'Assumptions'!$B$35*12,M228)*12</x:f>
        <x:v>157770.3846539129</x:v>
      </x:c>
      <x:c r="O228" s="133" t="n">
        <x:f>(L228*(1+'Assumptions'!$B$29)^('Assumptions'!$B$14/12)/J228)*(1-'Assumptions'!$B$42)-'Debt Schedule'!$F$9</x:f>
        <x:v>3618036.7307403875</x:v>
      </x:c>
      <x:c r="P228" s="132" t="n">
        <x:f>((O228+(L228-N228-'Assumptions'!$B$27-'Assumptions'!$B$28)*('Assumptions'!$B$14/12))/ABS('Monthly Cash Flow'!$S$5))^(1/('Assumptions'!$B$14/12))-1</x:f>
        <x:v>0.2366266995319466</x:v>
      </x:c>
      <x:c r="Q228" s="133" t="n">
        <x:f>-ABS('Monthly Cash Flow'!$S$5)+((L228-N228-'Assumptions'!$B$27-'Assumptions'!$B$28)*(1-(1+'Assumptions'!$B$43)^-('Assumptions'!$B$14/12))/'Assumptions'!$B$43)+(O228/(1+'Assumptions'!$B$43)^('Assumptions'!$B$14/12))</x:f>
        <x:v>1047250.1923833622</x:v>
      </x:c>
    </x:row>
    <x:row r="229">
      <x:c r="A229" s="131" t="n">
        <x:f>222</x:f>
        <x:v>222</x:v>
      </x:c>
      <x:c r="B229" s="131" t="n">
        <x:f>MOD(ABS(SIN((A229+1)*12.9898+78.233)*43758.5453),1)</x:f>
        <x:v>0.7871215775885503</x:v>
      </x:c>
      <x:c r="C229" s="131" t="n">
        <x:f>MOD(ABS(SIN((A229+2)*12.9898+78.233)*43758.5453),1)</x:f>
        <x:v>0.15673661571054254</x:v>
      </x:c>
      <x:c r="D229" s="131" t="n">
        <x:f>MOD(ABS(SIN((A229+3)*12.9898+78.233)*43758.5453),1)</x:f>
        <x:v>0.4124361184949521</x:v>
      </x:c>
      <x:c r="E229" s="131" t="n">
        <x:f>MOD(ABS(SIN((A229+4)*12.9898+78.233)*43758.5453),1)</x:f>
        <x:v>0.6114808102429379</x:v>
      </x:c>
      <x:c r="F229" s="131" t="n">
        <x:f>MOD(ABS(SIN((A229+5)*12.9898+78.233)*43758.5453),1)</x:f>
        <x:v>0.4970595174963819</x:v>
      </x:c>
      <x:c r="G229" s="132" t="n">
        <x:f>IF(B229&lt;(('Assumptions'!$C$47-'Assumptions'!$B$47)/('Assumptions'!$D$47-'Assumptions'!$B$47)),'Assumptions'!$B$47+SQRT(B229*('Assumptions'!$D$47-'Assumptions'!$B$47)*('Assumptions'!$C$47-'Assumptions'!$B$47)),'Assumptions'!$D$47-SQRT((1-B229)*('Assumptions'!$D$47-'Assumptions'!$B$47)*('Assumptions'!$D$47-'Assumptions'!$C$47)))</x:f>
        <x:v>0.041638585019011104</x:v>
      </x:c>
      <x:c r="H229" s="132" t="n">
        <x:f>IF(C229&lt;(('Assumptions'!$C$48-'Assumptions'!$B$48)/('Assumptions'!$D$48-'Assumptions'!$B$48)),'Assumptions'!$B$48+SQRT(C229*('Assumptions'!$D$48-'Assumptions'!$B$48)*('Assumptions'!$C$48-'Assumptions'!$B$48)),'Assumptions'!$D$48-SQRT((1-C229)*('Assumptions'!$D$48-'Assumptions'!$B$48)*('Assumptions'!$D$48-'Assumptions'!$C$48)))</x:f>
        <x:v>0.052742709421807914</x:v>
      </x:c>
      <x:c r="I229" s="132" t="n">
        <x:f>IF(D229&lt;(('Assumptions'!$C$49-'Assumptions'!$B$49)/('Assumptions'!$D$49-'Assumptions'!$B$49)),'Assumptions'!$B$49+SQRT(D229*('Assumptions'!$D$49-'Assumptions'!$B$49)*('Assumptions'!$C$49-'Assumptions'!$B$49)),'Assumptions'!$D$49-SQRT((1-D229)*('Assumptions'!$D$49-'Assumptions'!$B$49)*('Assumptions'!$D$49-'Assumptions'!$C$49)))</x:f>
        <x:v>0.03734397556939516</x:v>
      </x:c>
      <x:c r="J229" s="132" t="n">
        <x:f>IF(E229&lt;(('Assumptions'!$C$50-'Assumptions'!$B$50)/('Assumptions'!$D$50-'Assumptions'!$B$50)),'Assumptions'!$B$50+SQRT(E229*('Assumptions'!$D$50-'Assumptions'!$B$50)*('Assumptions'!$C$50-'Assumptions'!$B$50)),'Assumptions'!$D$50-SQRT((1-E229)*('Assumptions'!$D$50-'Assumptions'!$B$50)*('Assumptions'!$D$50-'Assumptions'!$C$50)))</x:f>
        <x:v>0.06954672194385064</x:v>
      </x:c>
      <x:c r="K229" s="132" t="n">
        <x:f>IF(F229&lt;(('Assumptions'!$C$51-'Assumptions'!$B$51)/('Assumptions'!$D$51-'Assumptions'!$B$51)),'Assumptions'!$B$51+SQRT(F229*('Assumptions'!$D$51-'Assumptions'!$B$51)*('Assumptions'!$C$51-'Assumptions'!$B$51)),'Assumptions'!$D$51-SQRT((1-F229)*('Assumptions'!$D$51-'Assumptions'!$B$51)*('Assumptions'!$D$51-'Assumptions'!$C$51)))</x:f>
        <x:v>0.06944236177291468</x:v>
      </x:c>
      <x:c r="L229" s="133" t="n">
        <x:f>(('Assumptions'!$B$17*(1+G229)+'Assumptions'!$B$18)*(1-H229-'Assumptions'!$B$20)-SUM('Assumptions'!$B$21:$B$25)*(1+I229))-(('Assumptions'!$B$17*(1+G229)+'Assumptions'!$B$18)*(1-H229-'Assumptions'!$B$20)*'Assumptions'!$B$26)</x:f>
        <x:v>222893.99356925525</x:v>
      </x:c>
      <x:c r="M229" s="133" t="n">
        <x:f>'Assumptions'!$B$10*'Assumptions'!$B$33</x:f>
        <x:v>1950000</x:v>
      </x:c>
      <x:c r="N229" s="133" t="n">
        <x:f>-PMT(K229/12,'Assumptions'!$B$35*12,M229)*12</x:f>
        <x:v>154805.4234356825</x:v>
      </x:c>
      <x:c r="O229" s="133" t="n">
        <x:f>(L229*(1+'Assumptions'!$B$29)^('Assumptions'!$B$14/12)/J229)*(1-'Assumptions'!$B$42)-'Debt Schedule'!$F$9</x:f>
        <x:v>3492494.07577266</x:v>
      </x:c>
      <x:c r="P229" s="132" t="n">
        <x:f>((O229+(L229-N229-'Assumptions'!$B$27-'Assumptions'!$B$28)*('Assumptions'!$B$14/12))/ABS('Monthly Cash Flow'!$S$5))^(1/('Assumptions'!$B$14/12))-1</x:f>
        <x:v>0.2292243667271685</x:v>
      </x:c>
      <x:c r="Q229" s="133" t="n">
        <x:f>-ABS('Monthly Cash Flow'!$S$5)+((L229-N229-'Assumptions'!$B$27-'Assumptions'!$B$28)*(1-(1+'Assumptions'!$B$43)^-('Assumptions'!$B$14/12))/'Assumptions'!$B$43)+(O229/(1+'Assumptions'!$B$43)^('Assumptions'!$B$14/12))</x:f>
        <x:v>980541.8223389697</x:v>
      </x:c>
    </x:row>
    <x:row r="230">
      <x:c r="A230" s="131" t="n">
        <x:f>223</x:f>
        <x:v>223</x:v>
      </x:c>
      <x:c r="B230" s="131" t="n">
        <x:f>MOD(ABS(SIN((A230+1)*12.9898+78.233)*43758.5453),1)</x:f>
        <x:v>0.15673661571054254</x:v>
      </x:c>
      <x:c r="C230" s="131" t="n">
        <x:f>MOD(ABS(SIN((A230+2)*12.9898+78.233)*43758.5453),1)</x:f>
        <x:v>0.4124361184949521</x:v>
      </x:c>
      <x:c r="D230" s="131" t="n">
        <x:f>MOD(ABS(SIN((A230+3)*12.9898+78.233)*43758.5453),1)</x:f>
        <x:v>0.6114808102429379</x:v>
      </x:c>
      <x:c r="E230" s="131" t="n">
        <x:f>MOD(ABS(SIN((A230+4)*12.9898+78.233)*43758.5453),1)</x:f>
        <x:v>0.4970595174963819</x:v>
      </x:c>
      <x:c r="F230" s="131" t="n">
        <x:f>MOD(ABS(SIN((A230+5)*12.9898+78.233)*43758.5453),1)</x:f>
        <x:v>0.5139554213674273</x:v>
      </x:c>
      <x:c r="G230" s="132" t="n">
        <x:f>IF(B230&lt;(('Assumptions'!$C$47-'Assumptions'!$B$47)/('Assumptions'!$D$47-'Assumptions'!$B$47)),'Assumptions'!$B$47+SQRT(B230*('Assumptions'!$D$47-'Assumptions'!$B$47)*('Assumptions'!$C$47-'Assumptions'!$B$47)),'Assumptions'!$D$47-SQRT((1-B230)*('Assumptions'!$D$47-'Assumptions'!$B$47)*('Assumptions'!$D$47-'Assumptions'!$C$47)))</x:f>
        <x:v>-0.038667473743102504</x:v>
      </x:c>
      <x:c r="H230" s="132" t="n">
        <x:f>IF(C230&lt;(('Assumptions'!$C$48-'Assumptions'!$B$48)/('Assumptions'!$D$48-'Assumptions'!$B$48)),'Assumptions'!$B$48+SQRT(C230*('Assumptions'!$D$48-'Assumptions'!$B$48)*('Assumptions'!$C$48-'Assumptions'!$B$48)),'Assumptions'!$D$48-SQRT((1-C230)*('Assumptions'!$D$48-'Assumptions'!$B$48)*('Assumptions'!$D$48-'Assumptions'!$C$48)))</x:f>
        <x:v>0.06809337890538576</x:v>
      </x:c>
      <x:c r="I230" s="132" t="n">
        <x:f>IF(D230&lt;(('Assumptions'!$C$49-'Assumptions'!$B$49)/('Assumptions'!$D$49-'Assumptions'!$B$49)),'Assumptions'!$B$49+SQRT(D230*('Assumptions'!$D$49-'Assumptions'!$B$49)*('Assumptions'!$C$49-'Assumptions'!$B$49)),'Assumptions'!$D$49-SQRT((1-D230)*('Assumptions'!$D$49-'Assumptions'!$B$49)*('Assumptions'!$D$49-'Assumptions'!$C$49)))</x:f>
        <x:v>0.05839206094037186</x:v>
      </x:c>
      <x:c r="J230" s="132" t="n">
        <x:f>IF(E230&lt;(('Assumptions'!$C$50-'Assumptions'!$B$50)/('Assumptions'!$D$50-'Assumptions'!$B$50)),'Assumptions'!$B$50+SQRT(E230*('Assumptions'!$D$50-'Assumptions'!$B$50)*('Assumptions'!$C$50-'Assumptions'!$B$50)),'Assumptions'!$D$50-SQRT((1-E230)*('Assumptions'!$D$50-'Assumptions'!$B$50)*('Assumptions'!$D$50-'Assumptions'!$C$50)))</x:f>
        <x:v>0.068106640058245</x:v>
      </x:c>
      <x:c r="K230" s="132" t="n">
        <x:f>IF(F230&lt;(('Assumptions'!$C$51-'Assumptions'!$B$51)/('Assumptions'!$D$51-'Assumptions'!$B$51)),'Assumptions'!$B$51+SQRT(F230*('Assumptions'!$D$51-'Assumptions'!$B$51)*('Assumptions'!$C$51-'Assumptions'!$B$51)),'Assumptions'!$D$51-SQRT((1-F230)*('Assumptions'!$D$51-'Assumptions'!$B$51)*('Assumptions'!$D$51-'Assumptions'!$C$51)))</x:f>
        <x:v>0.06970591769778502</x:v>
      </x:c>
      <x:c r="L230" s="133" t="n">
        <x:f>(('Assumptions'!$B$17*(1+G230)+'Assumptions'!$B$18)*(1-H230-'Assumptions'!$B$20)-SUM('Assumptions'!$B$21:$B$25)*(1+I230))-(('Assumptions'!$B$17*(1+G230)+'Assumptions'!$B$18)*(1-H230-'Assumptions'!$B$20)*'Assumptions'!$B$26)</x:f>
        <x:v>188864.1952819428</x:v>
      </x:c>
      <x:c r="M230" s="133" t="n">
        <x:f>'Assumptions'!$B$10*'Assumptions'!$B$33</x:f>
        <x:v>1950000</x:v>
      </x:c>
      <x:c r="N230" s="133" t="n">
        <x:f>-PMT(K230/12,'Assumptions'!$B$35*12,M230)*12</x:f>
        <x:v>155218.89746592747</x:v>
      </x:c>
      <x:c r="O230" s="133" t="n">
        <x:f>(L230*(1+'Assumptions'!$B$29)^('Assumptions'!$B$14/12)/J230)*(1-'Assumptions'!$B$42)-'Debt Schedule'!$F$9</x:f>
        <x:v>3021858.7067082915</x:v>
      </x:c>
      <x:c r="P230" s="132" t="n">
        <x:f>((O230+(L230-N230-'Assumptions'!$B$27-'Assumptions'!$B$28)*('Assumptions'!$B$14/12))/ABS('Monthly Cash Flow'!$S$5))^(1/('Assumptions'!$B$14/12))-1</x:f>
        <x:v>0.18226899835512067</x:v>
      </x:c>
      <x:c r="Q230" s="133" t="n">
        <x:f>-ABS('Monthly Cash Flow'!$S$5)+((L230-N230-'Assumptions'!$B$27-'Assumptions'!$B$28)*(1-(1+'Assumptions'!$B$43)^-('Assumptions'!$B$14/12))/'Assumptions'!$B$43)+(O230/(1+'Assumptions'!$B$43)^('Assumptions'!$B$14/12))</x:f>
        <x:v>557747.1853045593</x:v>
      </x:c>
    </x:row>
    <x:row r="231">
      <x:c r="A231" s="131" t="n">
        <x:f>224</x:f>
        <x:v>224</x:v>
      </x:c>
      <x:c r="B231" s="131" t="n">
        <x:f>MOD(ABS(SIN((A231+1)*12.9898+78.233)*43758.5453),1)</x:f>
        <x:v>0.4124361184949521</x:v>
      </x:c>
      <x:c r="C231" s="131" t="n">
        <x:f>MOD(ABS(SIN((A231+2)*12.9898+78.233)*43758.5453),1)</x:f>
        <x:v>0.6114808102429379</x:v>
      </x:c>
      <x:c r="D231" s="131" t="n">
        <x:f>MOD(ABS(SIN((A231+3)*12.9898+78.233)*43758.5453),1)</x:f>
        <x:v>0.4970595174963819</x:v>
      </x:c>
      <x:c r="E231" s="131" t="n">
        <x:f>MOD(ABS(SIN((A231+4)*12.9898+78.233)*43758.5453),1)</x:f>
        <x:v>0.5139554213674273</x:v>
      </x:c>
      <x:c r="F231" s="131" t="n">
        <x:f>MOD(ABS(SIN((A231+5)*12.9898+78.233)*43758.5453),1)</x:f>
        <x:v>0.2538437829389295</x:v>
      </x:c>
      <x:c r="G231" s="132" t="n">
        <x:f>IF(B231&lt;(('Assumptions'!$C$47-'Assumptions'!$B$47)/('Assumptions'!$D$47-'Assumptions'!$B$47)),'Assumptions'!$B$47+SQRT(B231*('Assumptions'!$D$47-'Assumptions'!$B$47)*('Assumptions'!$C$47-'Assumptions'!$B$47)),'Assumptions'!$D$47-SQRT((1-B231)*('Assumptions'!$D$47-'Assumptions'!$B$47)*('Assumptions'!$D$47-'Assumptions'!$C$47)))</x:f>
        <x:v>-0.0005089609870373851</x:v>
      </x:c>
      <x:c r="H231" s="132" t="n">
        <x:f>IF(C231&lt;(('Assumptions'!$C$48-'Assumptions'!$B$48)/('Assumptions'!$D$48-'Assumptions'!$B$48)),'Assumptions'!$B$48+SQRT(C231*('Assumptions'!$D$48-'Assumptions'!$B$48)*('Assumptions'!$C$48-'Assumptions'!$B$48)),'Assumptions'!$D$48-SQRT((1-C231)*('Assumptions'!$D$48-'Assumptions'!$B$48)*('Assumptions'!$D$48-'Assumptions'!$C$48)))</x:f>
        <x:v>0.08152805057241425</x:v>
      </x:c>
      <x:c r="I231" s="132" t="n">
        <x:f>IF(D231&lt;(('Assumptions'!$C$49-'Assumptions'!$B$49)/('Assumptions'!$D$49-'Assumptions'!$B$49)),'Assumptions'!$B$49+SQRT(D231*('Assumptions'!$D$49-'Assumptions'!$B$49)*('Assumptions'!$C$49-'Assumptions'!$B$49)),'Assumptions'!$D$49-SQRT((1-D231)*('Assumptions'!$D$49-'Assumptions'!$B$49)*('Assumptions'!$D$49-'Assumptions'!$C$49)))</x:f>
        <x:v>0.04577181560595929</x:v>
      </x:c>
      <x:c r="J231" s="132" t="n">
        <x:f>IF(E231&lt;(('Assumptions'!$C$50-'Assumptions'!$B$50)/('Assumptions'!$D$50-'Assumptions'!$B$50)),'Assumptions'!$B$50+SQRT(E231*('Assumptions'!$D$50-'Assumptions'!$B$50)*('Assumptions'!$C$50-'Assumptions'!$B$50)),'Assumptions'!$D$50-SQRT((1-E231)*('Assumptions'!$D$50-'Assumptions'!$B$50)*('Assumptions'!$D$50-'Assumptions'!$C$50)))</x:f>
        <x:v>0.06830812086359037</x:v>
      </x:c>
      <x:c r="K231" s="132" t="n">
        <x:f>IF(F231&lt;(('Assumptions'!$C$51-'Assumptions'!$B$51)/('Assumptions'!$D$51-'Assumptions'!$B$51)),'Assumptions'!$B$51+SQRT(F231*('Assumptions'!$D$51-'Assumptions'!$B$51)*('Assumptions'!$C$51-'Assumptions'!$B$51)),'Assumptions'!$D$51-SQRT((1-F231)*('Assumptions'!$D$51-'Assumptions'!$B$51)*('Assumptions'!$D$51-'Assumptions'!$C$51)))</x:f>
        <x:v>0.06585506076029407</x:v>
      </x:c>
      <x:c r="L231" s="133" t="n">
        <x:f>(('Assumptions'!$B$17*(1+G231)+'Assumptions'!$B$18)*(1-H231-'Assumptions'!$B$20)-SUM('Assumptions'!$B$21:$B$25)*(1+I231))-(('Assumptions'!$B$17*(1+G231)+'Assumptions'!$B$18)*(1-H231-'Assumptions'!$B$20)*'Assumptions'!$B$26)</x:f>
        <x:v>197739.25482673701</x:v>
      </x:c>
      <x:c r="M231" s="133" t="n">
        <x:f>'Assumptions'!$B$10*'Assumptions'!$B$33</x:f>
        <x:v>1950000</x:v>
      </x:c>
      <x:c r="N231" s="133" t="n">
        <x:f>-PMT(K231/12,'Assumptions'!$B$35*12,M231)*12</x:f>
        <x:v>149222.2184226155</x:v>
      </x:c>
      <x:c r="O231" s="133" t="n">
        <x:f>(L231*(1+'Assumptions'!$B$29)^('Assumptions'!$B$14/12)/J231)*(1-'Assumptions'!$B$42)-'Debt Schedule'!$F$9</x:f>
        <x:v>3154529.057047599</x:v>
      </x:c>
      <x:c r="P231" s="132" t="n">
        <x:f>((O231+(L231-N231-'Assumptions'!$B$27-'Assumptions'!$B$28)*('Assumptions'!$B$14/12))/ABS('Monthly Cash Flow'!$S$5))^(1/('Assumptions'!$B$14/12))-1</x:f>
        <x:v>0.19820525510107045</x:v>
      </x:c>
      <x:c r="Q231" s="133" t="n">
        <x:f>-ABS('Monthly Cash Flow'!$S$5)+((L231-N231-'Assumptions'!$B$27-'Assumptions'!$B$28)*(1-(1+'Assumptions'!$B$43)^-('Assumptions'!$B$14/12))/'Assumptions'!$B$43)+(O231/(1+'Assumptions'!$B$43)^('Assumptions'!$B$14/12))</x:f>
        <x:v>696500.6246458576</x:v>
      </x:c>
    </x:row>
    <x:row r="232">
      <x:c r="A232" s="131" t="n">
        <x:f>225</x:f>
        <x:v>225</x:v>
      </x:c>
      <x:c r="B232" s="131" t="n">
        <x:f>MOD(ABS(SIN((A232+1)*12.9898+78.233)*43758.5453),1)</x:f>
        <x:v>0.6114808102429379</x:v>
      </x:c>
      <x:c r="C232" s="131" t="n">
        <x:f>MOD(ABS(SIN((A232+2)*12.9898+78.233)*43758.5453),1)</x:f>
        <x:v>0.4970595174963819</x:v>
      </x:c>
      <x:c r="D232" s="131" t="n">
        <x:f>MOD(ABS(SIN((A232+3)*12.9898+78.233)*43758.5453),1)</x:f>
        <x:v>0.5139554213674273</x:v>
      </x:c>
      <x:c r="E232" s="131" t="n">
        <x:f>MOD(ABS(SIN((A232+4)*12.9898+78.233)*43758.5453),1)</x:f>
        <x:v>0.2538437829389295</x:v>
      </x:c>
      <x:c r="F232" s="131" t="n">
        <x:f>MOD(ABS(SIN((A232+5)*12.9898+78.233)*43758.5453),1)</x:f>
        <x:v>0.7752564174861618</x:v>
      </x:c>
      <x:c r="G232" s="132" t="n">
        <x:f>IF(B232&lt;(('Assumptions'!$C$47-'Assumptions'!$B$47)/('Assumptions'!$D$47-'Assumptions'!$B$47)),'Assumptions'!$B$47+SQRT(B232*('Assumptions'!$D$47-'Assumptions'!$B$47)*('Assumptions'!$C$47-'Assumptions'!$B$47)),'Assumptions'!$D$47-SQRT((1-B232)*('Assumptions'!$D$47-'Assumptions'!$B$47)*('Assumptions'!$D$47-'Assumptions'!$C$47)))</x:f>
        <x:v>0.021156439475928074</x:v>
      </x:c>
      <x:c r="H232" s="132" t="n">
        <x:f>IF(C232&lt;(('Assumptions'!$C$48-'Assumptions'!$B$48)/('Assumptions'!$D$48-'Assumptions'!$B$48)),'Assumptions'!$B$48+SQRT(C232*('Assumptions'!$D$48-'Assumptions'!$B$48)*('Assumptions'!$C$48-'Assumptions'!$B$48)),'Assumptions'!$D$48-SQRT((1-C232)*('Assumptions'!$D$48-'Assumptions'!$B$48)*('Assumptions'!$D$48-'Assumptions'!$C$48)))</x:f>
        <x:v>0.07347274057927954</x:v>
      </x:c>
      <x:c r="I232" s="132" t="n">
        <x:f>IF(D232&lt;(('Assumptions'!$C$49-'Assumptions'!$B$49)/('Assumptions'!$D$49-'Assumptions'!$B$49)),'Assumptions'!$B$49+SQRT(D232*('Assumptions'!$D$49-'Assumptions'!$B$49)*('Assumptions'!$C$49-'Assumptions'!$B$49)),'Assumptions'!$D$49-SQRT((1-D232)*('Assumptions'!$D$49-'Assumptions'!$B$49)*('Assumptions'!$D$49-'Assumptions'!$C$49)))</x:f>
        <x:v>0.047537504917830695</x:v>
      </x:c>
      <x:c r="J232" s="132" t="n">
        <x:f>IF(E232&lt;(('Assumptions'!$C$50-'Assumptions'!$B$50)/('Assumptions'!$D$50-'Assumptions'!$B$50)),'Assumptions'!$B$50+SQRT(E232*('Assumptions'!$D$50-'Assumptions'!$B$50)*('Assumptions'!$C$50-'Assumptions'!$B$50)),'Assumptions'!$D$50-SQRT((1-E232)*('Assumptions'!$D$50-'Assumptions'!$B$50)*('Assumptions'!$D$50-'Assumptions'!$C$50)))</x:f>
        <x:v>0.06505743681159552</x:v>
      </x:c>
      <x:c r="K232" s="132" t="n">
        <x:f>IF(F232&lt;(('Assumptions'!$C$51-'Assumptions'!$B$51)/('Assumptions'!$D$51-'Assumptions'!$B$51)),'Assumptions'!$B$51+SQRT(F232*('Assumptions'!$D$51-'Assumptions'!$B$51)*('Assumptions'!$C$51-'Assumptions'!$B$51)),'Assumptions'!$D$51-SQRT((1-F232)*('Assumptions'!$D$51-'Assumptions'!$B$51)*('Assumptions'!$D$51-'Assumptions'!$C$51)))</x:f>
        <x:v>0.07460010340989948</x:v>
      </x:c>
      <x:c r="L232" s="133" t="n">
        <x:f>(('Assumptions'!$B$17*(1+G232)+'Assumptions'!$B$18)*(1-H232-'Assumptions'!$B$20)-SUM('Assumptions'!$B$21:$B$25)*(1+I232))-(('Assumptions'!$B$17*(1+G232)+'Assumptions'!$B$18)*(1-H232-'Assumptions'!$B$20)*'Assumptions'!$B$26)</x:f>
        <x:v>207301.02700577013</x:v>
      </x:c>
      <x:c r="M232" s="133" t="n">
        <x:f>'Assumptions'!$B$10*'Assumptions'!$B$33</x:f>
        <x:v>1950000</x:v>
      </x:c>
      <x:c r="N232" s="133" t="n">
        <x:f>-PMT(K232/12,'Assumptions'!$B$35*12,M232)*12</x:f>
        <x:v>162975.91096632867</x:v>
      </x:c>
      <x:c r="O232" s="133" t="n">
        <x:f>(L232*(1+'Assumptions'!$B$29)^('Assumptions'!$B$14/12)/J232)*(1-'Assumptions'!$B$42)-'Debt Schedule'!$F$9</x:f>
        <x:v>3472309.9292512704</x:v>
      </x:c>
      <x:c r="P232" s="132" t="n">
        <x:f>((O232+(L232-N232-'Assumptions'!$B$27-'Assumptions'!$B$28)*('Assumptions'!$B$14/12))/ABS('Monthly Cash Flow'!$S$5))^(1/('Assumptions'!$B$14/12))-1</x:f>
        <x:v>0.21967062985161845</x:v>
      </x:c>
      <x:c r="Q232" s="133" t="n">
        <x:f>-ABS('Monthly Cash Flow'!$S$5)+((L232-N232-'Assumptions'!$B$27-'Assumptions'!$B$28)*(1-(1+'Assumptions'!$B$43)^-('Assumptions'!$B$14/12))/'Assumptions'!$B$43)+(O232/(1+'Assumptions'!$B$43)^('Assumptions'!$B$14/12))</x:f>
        <x:v>877926.8680006105</x:v>
      </x:c>
    </x:row>
    <x:row r="233">
      <x:c r="A233" s="131" t="n">
        <x:f>226</x:f>
        <x:v>226</x:v>
      </x:c>
      <x:c r="B233" s="131" t="n">
        <x:f>MOD(ABS(SIN((A233+1)*12.9898+78.233)*43758.5453),1)</x:f>
        <x:v>0.4970595174963819</x:v>
      </x:c>
      <x:c r="C233" s="131" t="n">
        <x:f>MOD(ABS(SIN((A233+2)*12.9898+78.233)*43758.5453),1)</x:f>
        <x:v>0.5139554213674273</x:v>
      </x:c>
      <x:c r="D233" s="131" t="n">
        <x:f>MOD(ABS(SIN((A233+3)*12.9898+78.233)*43758.5453),1)</x:f>
        <x:v>0.2538437829389295</x:v>
      </x:c>
      <x:c r="E233" s="131" t="n">
        <x:f>MOD(ABS(SIN((A233+4)*12.9898+78.233)*43758.5453),1)</x:f>
        <x:v>0.7752564174861618</x:v>
      </x:c>
      <x:c r="F233" s="131" t="n">
        <x:f>MOD(ABS(SIN((A233+5)*12.9898+78.233)*43758.5453),1)</x:f>
        <x:v>0.5926404895781161</x:v>
      </x:c>
      <x:c r="G233" s="132" t="n">
        <x:f>IF(B233&lt;(('Assumptions'!$C$47-'Assumptions'!$B$47)/('Assumptions'!$D$47-'Assumptions'!$B$47)),'Assumptions'!$B$47+SQRT(B233*('Assumptions'!$D$47-'Assumptions'!$B$47)*('Assumptions'!$C$47-'Assumptions'!$B$47)),'Assumptions'!$D$47-SQRT((1-B233)*('Assumptions'!$D$47-'Assumptions'!$B$47)*('Assumptions'!$D$47-'Assumptions'!$C$47)))</x:f>
        <x:v>0.009221922799011212</x:v>
      </x:c>
      <x:c r="H233" s="132" t="n">
        <x:f>IF(C233&lt;(('Assumptions'!$C$48-'Assumptions'!$B$48)/('Assumptions'!$D$48-'Assumptions'!$B$48)),'Assumptions'!$B$48+SQRT(C233*('Assumptions'!$D$48-'Assumptions'!$B$48)*('Assumptions'!$C$48-'Assumptions'!$B$48)),'Assumptions'!$D$48-SQRT((1-C233)*('Assumptions'!$D$48-'Assumptions'!$B$48)*('Assumptions'!$D$48-'Assumptions'!$C$48)))</x:f>
        <x:v>0.07459975311998708</x:v>
      </x:c>
      <x:c r="I233" s="132" t="n">
        <x:f>IF(D233&lt;(('Assumptions'!$C$49-'Assumptions'!$B$49)/('Assumptions'!$D$49-'Assumptions'!$B$49)),'Assumptions'!$B$49+SQRT(D233*('Assumptions'!$D$49-'Assumptions'!$B$49)*('Assumptions'!$C$49-'Assumptions'!$B$49)),'Assumptions'!$D$49-SQRT((1-D233)*('Assumptions'!$D$49-'Assumptions'!$B$49)*('Assumptions'!$D$49-'Assumptions'!$C$49)))</x:f>
        <x:v>0.022359458130699165</x:v>
      </x:c>
      <x:c r="J233" s="132" t="n">
        <x:f>IF(E233&lt;(('Assumptions'!$C$50-'Assumptions'!$B$50)/('Assumptions'!$D$50-'Assumptions'!$B$50)),'Assumptions'!$B$50+SQRT(E233*('Assumptions'!$D$50-'Assumptions'!$B$50)*('Assumptions'!$C$50-'Assumptions'!$B$50)),'Assumptions'!$D$50-SQRT((1-E233)*('Assumptions'!$D$50-'Assumptions'!$B$50)*('Assumptions'!$D$50-'Assumptions'!$C$50)))</x:f>
        <x:v>0.07204958286742029</x:v>
      </x:c>
      <x:c r="K233" s="132" t="n">
        <x:f>IF(F233&lt;(('Assumptions'!$C$51-'Assumptions'!$B$51)/('Assumptions'!$D$51-'Assumptions'!$B$51)),'Assumptions'!$B$51+SQRT(F233*('Assumptions'!$D$51-'Assumptions'!$B$51)*('Assumptions'!$C$51-'Assumptions'!$B$51)),'Assumptions'!$D$51-SQRT((1-F233)*('Assumptions'!$D$51-'Assumptions'!$B$51)*('Assumptions'!$D$51-'Assumptions'!$C$51)))</x:f>
        <x:v>0.07099850849407352</x:v>
      </x:c>
      <x:c r="L233" s="133" t="n">
        <x:f>(('Assumptions'!$B$17*(1+G233)+'Assumptions'!$B$18)*(1-H233-'Assumptions'!$B$20)-SUM('Assumptions'!$B$21:$B$25)*(1+I233))-(('Assumptions'!$B$17*(1+G233)+'Assumptions'!$B$18)*(1-H233-'Assumptions'!$B$20)*'Assumptions'!$B$26)</x:f>
        <x:v>206280.61880398364</x:v>
      </x:c>
      <x:c r="M233" s="133" t="n">
        <x:f>'Assumptions'!$B$10*'Assumptions'!$B$33</x:f>
        <x:v>1950000</x:v>
      </x:c>
      <x:c r="N233" s="133" t="n">
        <x:f>-PMT(K233/12,'Assumptions'!$B$35*12,M233)*12</x:f>
        <x:v>157253.12519673264</x:v>
      </x:c>
      <x:c r="O233" s="133" t="n">
        <x:f>(L233*(1+'Assumptions'!$B$29)^('Assumptions'!$B$14/12)/J233)*(1-'Assumptions'!$B$42)-'Debt Schedule'!$F$9</x:f>
        <x:v>3119901.8517435947</x:v>
      </x:c>
      <x:c r="P233" s="132" t="n">
        <x:f>((O233+(L233-N233-'Assumptions'!$B$27-'Assumptions'!$B$28)*('Assumptions'!$B$14/12))/ABS('Monthly Cash Flow'!$S$5))^(1/('Assumptions'!$B$14/12))-1</x:f>
        <x:v>0.19579135949069126</x:v>
      </x:c>
      <x:c r="Q233" s="133" t="n">
        <x:f>-ABS('Monthly Cash Flow'!$S$5)+((L233-N233-'Assumptions'!$B$27-'Assumptions'!$B$28)*(1-(1+'Assumptions'!$B$43)^-('Assumptions'!$B$14/12))/'Assumptions'!$B$43)+(O233/(1+'Assumptions'!$B$43)^('Assumptions'!$B$14/12))</x:f>
        <x:v>676934.8889266266</x:v>
      </x:c>
    </x:row>
    <x:row r="234">
      <x:c r="A234" s="131" t="n">
        <x:f>227</x:f>
        <x:v>227</x:v>
      </x:c>
      <x:c r="B234" s="131" t="n">
        <x:f>MOD(ABS(SIN((A234+1)*12.9898+78.233)*43758.5453),1)</x:f>
        <x:v>0.5139554213674273</x:v>
      </x:c>
      <x:c r="C234" s="131" t="n">
        <x:f>MOD(ABS(SIN((A234+2)*12.9898+78.233)*43758.5453),1)</x:f>
        <x:v>0.2538437829389295</x:v>
      </x:c>
      <x:c r="D234" s="131" t="n">
        <x:f>MOD(ABS(SIN((A234+3)*12.9898+78.233)*43758.5453),1)</x:f>
        <x:v>0.7752564174861618</x:v>
      </x:c>
      <x:c r="E234" s="131" t="n">
        <x:f>MOD(ABS(SIN((A234+4)*12.9898+78.233)*43758.5453),1)</x:f>
        <x:v>0.5926404895781161</x:v>
      </x:c>
      <x:c r="F234" s="131" t="n">
        <x:f>MOD(ABS(SIN((A234+5)*12.9898+78.233)*43758.5453),1)</x:f>
        <x:v>0.40362529118647217</x:v>
      </x:c>
      <x:c r="G234" s="132" t="n">
        <x:f>IF(B234&lt;(('Assumptions'!$C$47-'Assumptions'!$B$47)/('Assumptions'!$D$47-'Assumptions'!$B$47)),'Assumptions'!$B$47+SQRT(B234*('Assumptions'!$D$47-'Assumptions'!$B$47)*('Assumptions'!$C$47-'Assumptions'!$B$47)),'Assumptions'!$D$47-SQRT((1-B234)*('Assumptions'!$D$47-'Assumptions'!$B$47)*('Assumptions'!$D$47-'Assumptions'!$C$47)))</x:f>
        <x:v>0.011062730530174952</x:v>
      </x:c>
      <x:c r="H234" s="132" t="n">
        <x:f>IF(C234&lt;(('Assumptions'!$C$48-'Assumptions'!$B$48)/('Assumptions'!$D$48-'Assumptions'!$B$48)),'Assumptions'!$B$48+SQRT(C234*('Assumptions'!$D$48-'Assumptions'!$B$48)*('Assumptions'!$C$48-'Assumptions'!$B$48)),'Assumptions'!$D$48-SQRT((1-C234)*('Assumptions'!$D$48-'Assumptions'!$B$48)*('Assumptions'!$D$48-'Assumptions'!$C$48)))</x:f>
        <x:v>0.058942779474308746</x:v>
      </x:c>
      <x:c r="I234" s="132" t="n">
        <x:f>IF(D234&lt;(('Assumptions'!$C$49-'Assumptions'!$B$49)/('Assumptions'!$D$49-'Assumptions'!$B$49)),'Assumptions'!$B$49+SQRT(D234*('Assumptions'!$D$49-'Assumptions'!$B$49)*('Assumptions'!$C$49-'Assumptions'!$B$49)),'Assumptions'!$D$49-SQRT((1-D234)*('Assumptions'!$D$49-'Assumptions'!$B$49)*('Assumptions'!$D$49-'Assumptions'!$C$49)))</x:f>
        <x:v>0.08032603511856883</x:v>
      </x:c>
      <x:c r="J234" s="132" t="n">
        <x:f>IF(E234&lt;(('Assumptions'!$C$50-'Assumptions'!$B$50)/('Assumptions'!$D$50-'Assumptions'!$B$50)),'Assumptions'!$B$50+SQRT(E234*('Assumptions'!$D$50-'Assumptions'!$B$50)*('Assumptions'!$C$50-'Assumptions'!$B$50)),'Assumptions'!$D$50-SQRT((1-E234)*('Assumptions'!$D$50-'Assumptions'!$B$50)*('Assumptions'!$D$50-'Assumptions'!$C$50)))</x:f>
        <x:v>0.0692962687671002</x:v>
      </x:c>
      <x:c r="K234" s="132" t="n">
        <x:f>IF(F234&lt;(('Assumptions'!$C$51-'Assumptions'!$B$51)/('Assumptions'!$D$51-'Assumptions'!$B$51)),'Assumptions'!$B$51+SQRT(F234*('Assumptions'!$D$51-'Assumptions'!$B$51)*('Assumptions'!$C$51-'Assumptions'!$B$51)),'Assumptions'!$D$51-SQRT((1-F234)*('Assumptions'!$D$51-'Assumptions'!$B$51)*('Assumptions'!$D$51-'Assumptions'!$C$51)))</x:f>
        <x:v>0.06805876838548891</x:v>
      </x:c>
      <x:c r="L234" s="133" t="n">
        <x:f>(('Assumptions'!$B$17*(1+G234)+'Assumptions'!$B$18)*(1-H234-'Assumptions'!$B$20)-SUM('Assumptions'!$B$21:$B$25)*(1+I234))-(('Assumptions'!$B$17*(1+G234)+'Assumptions'!$B$18)*(1-H234-'Assumptions'!$B$20)*'Assumptions'!$B$26)</x:f>
        <x:v>205300.65590340956</x:v>
      </x:c>
      <x:c r="M234" s="133" t="n">
        <x:f>'Assumptions'!$B$10*'Assumptions'!$B$33</x:f>
        <x:v>1950000</x:v>
      </x:c>
      <x:c r="N234" s="133" t="n">
        <x:f>-PMT(K234/12,'Assumptions'!$B$35*12,M234)*12</x:f>
        <x:v>152642.10777651388</x:v>
      </x:c>
      <x:c r="O234" s="133" t="n">
        <x:f>(L234*(1+'Assumptions'!$B$29)^('Assumptions'!$B$14/12)/J234)*(1-'Assumptions'!$B$42)-'Debt Schedule'!$F$9</x:f>
        <x:v>3228452.961991035</x:v>
      </x:c>
      <x:c r="P234" s="132" t="n">
        <x:f>((O234+(L234-N234-'Assumptions'!$B$27-'Assumptions'!$B$28)*('Assumptions'!$B$14/12))/ABS('Monthly Cash Flow'!$S$5))^(1/('Assumptions'!$B$14/12))-1</x:f>
        <x:v>0.2052158776927362</x:v>
      </x:c>
      <x:c r="Q234" s="133" t="n">
        <x:f>-ABS('Monthly Cash Flow'!$S$5)+((L234-N234-'Assumptions'!$B$27-'Assumptions'!$B$28)*(1-(1+'Assumptions'!$B$43)^-('Assumptions'!$B$14/12))/'Assumptions'!$B$43)+(O234/(1+'Assumptions'!$B$43)^('Assumptions'!$B$14/12))</x:f>
        <x:v>758101.1413530775</x:v>
      </x:c>
    </x:row>
    <x:row r="235">
      <x:c r="A235" s="131" t="n">
        <x:f>228</x:f>
        <x:v>228</x:v>
      </x:c>
      <x:c r="B235" s="131" t="n">
        <x:f>MOD(ABS(SIN((A235+1)*12.9898+78.233)*43758.5453),1)</x:f>
        <x:v>0.2538437829389295</x:v>
      </x:c>
      <x:c r="C235" s="131" t="n">
        <x:f>MOD(ABS(SIN((A235+2)*12.9898+78.233)*43758.5453),1)</x:f>
        <x:v>0.7752564174861618</x:v>
      </x:c>
      <x:c r="D235" s="131" t="n">
        <x:f>MOD(ABS(SIN((A235+3)*12.9898+78.233)*43758.5453),1)</x:f>
        <x:v>0.5926404895781161</x:v>
      </x:c>
      <x:c r="E235" s="131" t="n">
        <x:f>MOD(ABS(SIN((A235+4)*12.9898+78.233)*43758.5453),1)</x:f>
        <x:v>0.40362529118647217</x:v>
      </x:c>
      <x:c r="F235" s="131" t="n">
        <x:f>MOD(ABS(SIN((A235+5)*12.9898+78.233)*43758.5453),1)</x:f>
        <x:v>0.2166953332707635</x:v>
      </x:c>
      <x:c r="G235" s="132" t="n">
        <x:f>IF(B235&lt;(('Assumptions'!$C$47-'Assumptions'!$B$47)/('Assumptions'!$D$47-'Assumptions'!$B$47)),'Assumptions'!$B$47+SQRT(B235*('Assumptions'!$D$47-'Assumptions'!$B$47)*('Assumptions'!$C$47-'Assumptions'!$B$47)),'Assumptions'!$D$47-SQRT((1-B235)*('Assumptions'!$D$47-'Assumptions'!$B$47)*('Assumptions'!$D$47-'Assumptions'!$C$47)))</x:f>
        <x:v>-0.02194712823646841</x:v>
      </x:c>
      <x:c r="H235" s="132" t="n">
        <x:f>IF(C235&lt;(('Assumptions'!$C$48-'Assumptions'!$B$48)/('Assumptions'!$D$48-'Assumptions'!$B$48)),'Assumptions'!$B$48+SQRT(C235*('Assumptions'!$D$48-'Assumptions'!$B$48)*('Assumptions'!$C$48-'Assumptions'!$B$48)),'Assumptions'!$D$48-SQRT((1-C235)*('Assumptions'!$D$48-'Assumptions'!$B$48)*('Assumptions'!$D$48-'Assumptions'!$C$48)))</x:f>
        <x:v>0.09552817154510312</x:v>
      </x:c>
      <x:c r="I235" s="132" t="n">
        <x:f>IF(D235&lt;(('Assumptions'!$C$49-'Assumptions'!$B$49)/('Assumptions'!$D$49-'Assumptions'!$B$49)),'Assumptions'!$B$49+SQRT(D235*('Assumptions'!$D$49-'Assumptions'!$B$49)*('Assumptions'!$C$49-'Assumptions'!$B$49)),'Assumptions'!$D$49-SQRT((1-D235)*('Assumptions'!$D$49-'Assumptions'!$B$49)*('Assumptions'!$D$49-'Assumptions'!$C$49)))</x:f>
        <x:v>0.05619719926829107</x:v>
      </x:c>
      <x:c r="J235" s="132" t="n">
        <x:f>IF(E235&lt;(('Assumptions'!$C$50-'Assumptions'!$B$50)/('Assumptions'!$D$50-'Assumptions'!$B$50)),'Assumptions'!$B$50+SQRT(E235*('Assumptions'!$D$50-'Assumptions'!$B$50)*('Assumptions'!$C$50-'Assumptions'!$B$50)),'Assumptions'!$D$50-SQRT((1-E235)*('Assumptions'!$D$50-'Assumptions'!$B$50)*('Assumptions'!$D$50-'Assumptions'!$C$50)))</x:f>
        <x:v>0.06702972667587881</x:v>
      </x:c>
      <x:c r="K235" s="132" t="n">
        <x:f>IF(F235&lt;(('Assumptions'!$C$51-'Assumptions'!$B$51)/('Assumptions'!$D$51-'Assumptions'!$B$51)),'Assumptions'!$B$51+SQRT(F235*('Assumptions'!$D$51-'Assumptions'!$B$51)*('Assumptions'!$C$51-'Assumptions'!$B$51)),'Assumptions'!$D$51-SQRT((1-F235)*('Assumptions'!$D$51-'Assumptions'!$B$51)*('Assumptions'!$D$51-'Assumptions'!$C$51)))</x:f>
        <x:v>0.06521953474306968</x:v>
      </x:c>
      <x:c r="L235" s="133" t="n">
        <x:f>(('Assumptions'!$B$17*(1+G235)+'Assumptions'!$B$18)*(1-H235-'Assumptions'!$B$20)-SUM('Assumptions'!$B$21:$B$25)*(1+I235))-(('Assumptions'!$B$17*(1+G235)+'Assumptions'!$B$18)*(1-H235-'Assumptions'!$B$20)*'Assumptions'!$B$26)</x:f>
        <x:v>184720.58601571675</x:v>
      </x:c>
      <x:c r="M235" s="133" t="n">
        <x:f>'Assumptions'!$B$10*'Assumptions'!$B$33</x:f>
        <x:v>1950000</x:v>
      </x:c>
      <x:c r="N235" s="133" t="n">
        <x:f>-PMT(K235/12,'Assumptions'!$B$35*12,M235)*12</x:f>
        <x:v>148241.92167736436</x:v>
      </x:c>
      <x:c r="O235" s="133" t="n">
        <x:f>(L235*(1+'Assumptions'!$B$29)^('Assumptions'!$B$14/12)/J235)*(1-'Assumptions'!$B$42)-'Debt Schedule'!$F$9</x:f>
        <x:v>3003044.9049780946</x:v>
      </x:c>
      <x:c r="P235" s="132" t="n">
        <x:f>((O235+(L235-N235-'Assumptions'!$B$27-'Assumptions'!$B$28)*('Assumptions'!$B$14/12))/ABS('Monthly Cash Flow'!$S$5))^(1/('Assumptions'!$B$14/12))-1</x:f>
        <x:v>0.1819012907026336</x:v>
      </x:c>
      <x:c r="Q235" s="133" t="n">
        <x:f>-ABS('Monthly Cash Flow'!$S$5)+((L235-N235-'Assumptions'!$B$27-'Assumptions'!$B$28)*(1-(1+'Assumptions'!$B$43)^-('Assumptions'!$B$14/12))/'Assumptions'!$B$43)+(O235/(1+'Assumptions'!$B$43)^('Assumptions'!$B$14/12))</x:f>
        <x:v>556805.9829682328</x:v>
      </x:c>
    </x:row>
    <x:row r="236">
      <x:c r="A236" s="131" t="n">
        <x:f>229</x:f>
        <x:v>229</x:v>
      </x:c>
      <x:c r="B236" s="131" t="n">
        <x:f>MOD(ABS(SIN((A236+1)*12.9898+78.233)*43758.5453),1)</x:f>
        <x:v>0.7752564174861618</x:v>
      </x:c>
      <x:c r="C236" s="131" t="n">
        <x:f>MOD(ABS(SIN((A236+2)*12.9898+78.233)*43758.5453),1)</x:f>
        <x:v>0.5926404895781161</x:v>
      </x:c>
      <x:c r="D236" s="131" t="n">
        <x:f>MOD(ABS(SIN((A236+3)*12.9898+78.233)*43758.5453),1)</x:f>
        <x:v>0.40362529118647217</x:v>
      </x:c>
      <x:c r="E236" s="131" t="n">
        <x:f>MOD(ABS(SIN((A236+4)*12.9898+78.233)*43758.5453),1)</x:f>
        <x:v>0.2166953332707635</x:v>
      </x:c>
      <x:c r="F236" s="131" t="n">
        <x:f>MOD(ABS(SIN((A236+5)*12.9898+78.233)*43758.5453),1)</x:f>
        <x:v>0.8099444686376955</x:v>
      </x:c>
      <x:c r="G236" s="132" t="n">
        <x:f>IF(B236&lt;(('Assumptions'!$C$47-'Assumptions'!$B$47)/('Assumptions'!$D$47-'Assumptions'!$B$47)),'Assumptions'!$B$47+SQRT(B236*('Assumptions'!$D$47-'Assumptions'!$B$47)*('Assumptions'!$C$47-'Assumptions'!$B$47)),'Assumptions'!$D$47-SQRT((1-B236)*('Assumptions'!$D$47-'Assumptions'!$B$47)*('Assumptions'!$D$47-'Assumptions'!$C$47)))</x:f>
        <x:v>0.04003419874443925</x:v>
      </x:c>
      <x:c r="H236" s="132" t="n">
        <x:f>IF(C236&lt;(('Assumptions'!$C$48-'Assumptions'!$B$48)/('Assumptions'!$D$48-'Assumptions'!$B$48)),'Assumptions'!$B$48+SQRT(C236*('Assumptions'!$D$48-'Assumptions'!$B$48)*('Assumptions'!$C$48-'Assumptions'!$B$48)),'Assumptions'!$D$48-SQRT((1-C236)*('Assumptions'!$D$48-'Assumptions'!$B$48)*('Assumptions'!$D$48-'Assumptions'!$C$48)))</x:f>
        <x:v>0.08012710386399721</x:v>
      </x:c>
      <x:c r="I236" s="132" t="n">
        <x:f>IF(D236&lt;(('Assumptions'!$C$49-'Assumptions'!$B$49)/('Assumptions'!$D$49-'Assumptions'!$B$49)),'Assumptions'!$B$49+SQRT(D236*('Assumptions'!$D$49-'Assumptions'!$B$49)*('Assumptions'!$C$49-'Assumptions'!$B$49)),'Assumptions'!$D$49-SQRT((1-D236)*('Assumptions'!$D$49-'Assumptions'!$B$49)*('Assumptions'!$D$49-'Assumptions'!$C$49)))</x:f>
        <x:v>0.03650245064155702</x:v>
      </x:c>
      <x:c r="J236" s="132" t="n">
        <x:f>IF(E236&lt;(('Assumptions'!$C$50-'Assumptions'!$B$50)/('Assumptions'!$D$50-'Assumptions'!$B$50)),'Assumptions'!$B$50+SQRT(E236*('Assumptions'!$D$50-'Assumptions'!$B$50)*('Assumptions'!$C$50-'Assumptions'!$B$50)),'Assumptions'!$D$50-SQRT((1-E236)*('Assumptions'!$D$50-'Assumptions'!$B$50)*('Assumptions'!$D$50-'Assumptions'!$C$50)))</x:f>
        <x:v>0.06448258189969311</x:v>
      </x:c>
      <x:c r="K236" s="132" t="n">
        <x:f>IF(F236&lt;(('Assumptions'!$C$51-'Assumptions'!$B$51)/('Assumptions'!$D$51-'Assumptions'!$B$51)),'Assumptions'!$B$51+SQRT(F236*('Assumptions'!$D$51-'Assumptions'!$B$51)*('Assumptions'!$C$51-'Assumptions'!$B$51)),'Assumptions'!$D$51-SQRT((1-F236)*('Assumptions'!$D$51-'Assumptions'!$B$51)*('Assumptions'!$D$51-'Assumptions'!$C$51)))</x:f>
        <x:v>0.07543630696497901</x:v>
      </x:c>
      <x:c r="L236" s="133" t="n">
        <x:f>(('Assumptions'!$B$17*(1+G236)+'Assumptions'!$B$18)*(1-H236-'Assumptions'!$B$20)-SUM('Assumptions'!$B$21:$B$25)*(1+I236))-(('Assumptions'!$B$17*(1+G236)+'Assumptions'!$B$18)*(1-H236-'Assumptions'!$B$20)*'Assumptions'!$B$26)</x:f>
        <x:v>212164.20455126025</x:v>
      </x:c>
      <x:c r="M236" s="133" t="n">
        <x:f>'Assumptions'!$B$10*'Assumptions'!$B$33</x:f>
        <x:v>1950000</x:v>
      </x:c>
      <x:c r="N236" s="133" t="n">
        <x:f>-PMT(K236/12,'Assumptions'!$B$35*12,M236)*12</x:f>
        <x:v>164315.86580498645</x:v>
      </x:c>
      <x:c r="O236" s="133" t="n">
        <x:f>(L236*(1+'Assumptions'!$B$29)^('Assumptions'!$B$14/12)/J236)*(1-'Assumptions'!$B$42)-'Debt Schedule'!$F$9</x:f>
        <x:v>3585450.0131610413</x:v>
      </x:c>
      <x:c r="P236" s="132" t="n">
        <x:f>((O236+(L236-N236-'Assumptions'!$B$27-'Assumptions'!$B$28)*('Assumptions'!$B$14/12))/ABS('Monthly Cash Flow'!$S$5))^(1/('Assumptions'!$B$14/12))-1</x:f>
        <x:v>0.2286658963441235</x:v>
      </x:c>
      <x:c r="Q236" s="133" t="n">
        <x:f>-ABS('Monthly Cash Flow'!$S$5)+((L236-N236-'Assumptions'!$B$27-'Assumptions'!$B$28)*(1-(1+'Assumptions'!$B$43)^-('Assumptions'!$B$14/12))/'Assumptions'!$B$43)+(O236/(1+'Assumptions'!$B$43)^('Assumptions'!$B$14/12))</x:f>
        <x:v>961533.7446156288</x:v>
      </x:c>
    </x:row>
    <x:row r="237">
      <x:c r="A237" s="131" t="n">
        <x:f>230</x:f>
        <x:v>230</x:v>
      </x:c>
      <x:c r="B237" s="131" t="n">
        <x:f>MOD(ABS(SIN((A237+1)*12.9898+78.233)*43758.5453),1)</x:f>
        <x:v>0.5926404895781161</x:v>
      </x:c>
      <x:c r="C237" s="131" t="n">
        <x:f>MOD(ABS(SIN((A237+2)*12.9898+78.233)*43758.5453),1)</x:f>
        <x:v>0.40362529118647217</x:v>
      </x:c>
      <x:c r="D237" s="131" t="n">
        <x:f>MOD(ABS(SIN((A237+3)*12.9898+78.233)*43758.5453),1)</x:f>
        <x:v>0.2166953332707635</x:v>
      </x:c>
      <x:c r="E237" s="131" t="n">
        <x:f>MOD(ABS(SIN((A237+4)*12.9898+78.233)*43758.5453),1)</x:f>
        <x:v>0.8099444686376955</x:v>
      </x:c>
      <x:c r="F237" s="131" t="n">
        <x:f>MOD(ABS(SIN((A237+5)*12.9898+78.233)*43758.5453),1)</x:f>
        <x:v>0.5384004424777231</x:v>
      </x:c>
      <x:c r="G237" s="132" t="n">
        <x:f>IF(B237&lt;(('Assumptions'!$C$47-'Assumptions'!$B$47)/('Assumptions'!$D$47-'Assumptions'!$B$47)),'Assumptions'!$B$47+SQRT(B237*('Assumptions'!$D$47-'Assumptions'!$B$47)*('Assumptions'!$C$47-'Assumptions'!$B$47)),'Assumptions'!$D$47-SQRT((1-B237)*('Assumptions'!$D$47-'Assumptions'!$B$47)*('Assumptions'!$D$47-'Assumptions'!$C$47)))</x:f>
        <x:v>0.01926177824380612</x:v>
      </x:c>
      <x:c r="H237" s="132" t="n">
        <x:f>IF(C237&lt;(('Assumptions'!$C$48-'Assumptions'!$B$48)/('Assumptions'!$D$48-'Assumptions'!$B$48)),'Assumptions'!$B$48+SQRT(C237*('Assumptions'!$D$48-'Assumptions'!$B$48)*('Assumptions'!$C$48-'Assumptions'!$B$48)),'Assumptions'!$D$48-SQRT((1-C237)*('Assumptions'!$D$48-'Assumptions'!$B$48)*('Assumptions'!$D$48-'Assumptions'!$C$48)))</x:f>
        <x:v>0.0675562463868758</x:v>
      </x:c>
      <x:c r="I237" s="132" t="n">
        <x:f>IF(D237&lt;(('Assumptions'!$C$49-'Assumptions'!$B$49)/('Assumptions'!$D$49-'Assumptions'!$B$49)),'Assumptions'!$B$49+SQRT(D237*('Assumptions'!$D$49-'Assumptions'!$B$49)*('Assumptions'!$C$49-'Assumptions'!$B$49)),'Assumptions'!$D$49-SQRT((1-D237)*('Assumptions'!$D$49-'Assumptions'!$B$49)*('Assumptions'!$D$49-'Assumptions'!$C$49)))</x:f>
        <x:v>0.01837674647311708</x:v>
      </x:c>
      <x:c r="J237" s="132" t="n">
        <x:f>IF(E237&lt;(('Assumptions'!$C$50-'Assumptions'!$B$50)/('Assumptions'!$D$50-'Assumptions'!$B$50)),'Assumptions'!$B$50+SQRT(E237*('Assumptions'!$D$50-'Assumptions'!$B$50)*('Assumptions'!$C$50-'Assumptions'!$B$50)),'Assumptions'!$D$50-SQRT((1-E237)*('Assumptions'!$D$50-'Assumptions'!$B$50)*('Assumptions'!$D$50-'Assumptions'!$C$50)))</x:f>
        <x:v>0.07268883605739496</x:v>
      </x:c>
      <x:c r="K237" s="132" t="n">
        <x:f>IF(F237&lt;(('Assumptions'!$C$51-'Assumptions'!$B$51)/('Assumptions'!$D$51-'Assumptions'!$B$51)),'Assumptions'!$B$51+SQRT(F237*('Assumptions'!$D$51-'Assumptions'!$B$51)*('Assumptions'!$C$51-'Assumptions'!$B$51)),'Assumptions'!$D$51-SQRT((1-F237)*('Assumptions'!$D$51-'Assumptions'!$B$51)*('Assumptions'!$D$51-'Assumptions'!$C$51)))</x:f>
        <x:v>0.07009547763067882</x:v>
      </x:c>
      <x:c r="L237" s="133" t="n">
        <x:f>(('Assumptions'!$B$17*(1+G237)+'Assumptions'!$B$18)*(1-H237-'Assumptions'!$B$20)-SUM('Assumptions'!$B$21:$B$25)*(1+I237))-(('Assumptions'!$B$17*(1+G237)+'Assumptions'!$B$18)*(1-H237-'Assumptions'!$B$20)*'Assumptions'!$B$26)</x:f>
        <x:v>212561.50792317808</x:v>
      </x:c>
      <x:c r="M237" s="133" t="n">
        <x:f>'Assumptions'!$B$10*'Assumptions'!$B$33</x:f>
        <x:v>1950000</x:v>
      </x:c>
      <x:c r="N237" s="133" t="n">
        <x:f>-PMT(K237/12,'Assumptions'!$B$35*12,M237)*12</x:f>
        <x:v>155830.85931064363</x:v>
      </x:c>
      <x:c r="O237" s="133" t="n">
        <x:f>(L237*(1+'Assumptions'!$B$29)^('Assumptions'!$B$14/12)/J237)*(1-'Assumptions'!$B$42)-'Debt Schedule'!$F$9</x:f>
        <x:v>3186624.455326138</x:v>
      </x:c>
      <x:c r="P237" s="132" t="n">
        <x:f>((O237+(L237-N237-'Assumptions'!$B$27-'Assumptions'!$B$28)*('Assumptions'!$B$14/12))/ABS('Monthly Cash Flow'!$S$5))^(1/('Assumptions'!$B$14/12))-1</x:f>
        <x:v>0.2036397327627757</x:v>
      </x:c>
      <x:c r="Q237" s="133" t="n">
        <x:f>-ABS('Monthly Cash Flow'!$S$5)+((L237-N237-'Assumptions'!$B$27-'Assumptions'!$B$28)*(1-(1+'Assumptions'!$B$43)^-('Assumptions'!$B$14/12))/'Assumptions'!$B$43)+(O237/(1+'Assumptions'!$B$43)^('Assumptions'!$B$14/12))</x:f>
        <x:v>747565.3942977821</x:v>
      </x:c>
    </x:row>
    <x:row r="238">
      <x:c r="A238" s="131" t="n">
        <x:f>231</x:f>
        <x:v>231</x:v>
      </x:c>
      <x:c r="B238" s="131" t="n">
        <x:f>MOD(ABS(SIN((A238+1)*12.9898+78.233)*43758.5453),1)</x:f>
        <x:v>0.40362529118647217</x:v>
      </x:c>
      <x:c r="C238" s="131" t="n">
        <x:f>MOD(ABS(SIN((A238+2)*12.9898+78.233)*43758.5453),1)</x:f>
        <x:v>0.2166953332707635</x:v>
      </x:c>
      <x:c r="D238" s="131" t="n">
        <x:f>MOD(ABS(SIN((A238+3)*12.9898+78.233)*43758.5453),1)</x:f>
        <x:v>0.8099444686376955</x:v>
      </x:c>
      <x:c r="E238" s="131" t="n">
        <x:f>MOD(ABS(SIN((A238+4)*12.9898+78.233)*43758.5453),1)</x:f>
        <x:v>0.5384004424777231</x:v>
      </x:c>
      <x:c r="F238" s="131" t="n">
        <x:f>MOD(ABS(SIN((A238+5)*12.9898+78.233)*43758.5453),1)</x:f>
        <x:v>0.764820023534412</x:v>
      </x:c>
      <x:c r="G238" s="132" t="n">
        <x:f>IF(B238&lt;(('Assumptions'!$C$47-'Assumptions'!$B$47)/('Assumptions'!$D$47-'Assumptions'!$B$47)),'Assumptions'!$B$47+SQRT(B238*('Assumptions'!$D$47-'Assumptions'!$B$47)*('Assumptions'!$C$47-'Assumptions'!$B$47)),'Assumptions'!$D$47-SQRT((1-B238)*('Assumptions'!$D$47-'Assumptions'!$B$47)*('Assumptions'!$D$47-'Assumptions'!$C$47)))</x:f>
        <x:v>-0.0015774061077674512</x:v>
      </x:c>
      <x:c r="H238" s="132" t="n">
        <x:f>IF(C238&lt;(('Assumptions'!$C$48-'Assumptions'!$B$48)/('Assumptions'!$D$48-'Assumptions'!$B$48)),'Assumptions'!$B$48+SQRT(C238*('Assumptions'!$D$48-'Assumptions'!$B$48)*('Assumptions'!$C$48-'Assumptions'!$B$48)),'Assumptions'!$D$48-SQRT((1-C238)*('Assumptions'!$D$48-'Assumptions'!$B$48)*('Assumptions'!$D$48-'Assumptions'!$C$48)))</x:f>
        <x:v>0.05674125277157971</x:v>
      </x:c>
      <x:c r="I238" s="132" t="n">
        <x:f>IF(D238&lt;(('Assumptions'!$C$49-'Assumptions'!$B$49)/('Assumptions'!$D$49-'Assumptions'!$B$49)),'Assumptions'!$B$49+SQRT(D238*('Assumptions'!$D$49-'Assumptions'!$B$49)*('Assumptions'!$C$49-'Assumptions'!$B$49)),'Assumptions'!$D$49-SQRT((1-D238)*('Assumptions'!$D$49-'Assumptions'!$B$49)*('Assumptions'!$D$49-'Assumptions'!$C$49)))</x:f>
        <x:v>0.08592816939226898</x:v>
      </x:c>
      <x:c r="J238" s="132" t="n">
        <x:f>IF(E238&lt;(('Assumptions'!$C$50-'Assumptions'!$B$50)/('Assumptions'!$D$50-'Assumptions'!$B$50)),'Assumptions'!$B$50+SQRT(E238*('Assumptions'!$D$50-'Assumptions'!$B$50)*('Assumptions'!$C$50-'Assumptions'!$B$50)),'Assumptions'!$D$50-SQRT((1-E238)*('Assumptions'!$D$50-'Assumptions'!$B$50)*('Assumptions'!$D$50-'Assumptions'!$C$50)))</x:f>
        <x:v>0.0686059280521343</x:v>
      </x:c>
      <x:c r="K238" s="132" t="n">
        <x:f>IF(F238&lt;(('Assumptions'!$C$51-'Assumptions'!$B$51)/('Assumptions'!$D$51-'Assumptions'!$B$51)),'Assumptions'!$B$51+SQRT(F238*('Assumptions'!$D$51-'Assumptions'!$B$51)*('Assumptions'!$C$51-'Assumptions'!$B$51)),'Assumptions'!$D$51-SQRT((1-F238)*('Assumptions'!$D$51-'Assumptions'!$B$51)*('Assumptions'!$D$51-'Assumptions'!$C$51)))</x:f>
        <x:v>0.0743613739762099</x:v>
      </x:c>
      <x:c r="L238" s="133" t="n">
        <x:f>(('Assumptions'!$B$17*(1+G238)+'Assumptions'!$B$18)*(1-H238-'Assumptions'!$B$20)-SUM('Assumptions'!$B$21:$B$25)*(1+I238))-(('Assumptions'!$B$17*(1+G238)+'Assumptions'!$B$18)*(1-H238-'Assumptions'!$B$20)*'Assumptions'!$B$26)</x:f>
        <x:v>201325.21739743254</x:v>
      </x:c>
      <x:c r="M238" s="133" t="n">
        <x:f>'Assumptions'!$B$10*'Assumptions'!$B$33</x:f>
        <x:v>1950000</x:v>
      </x:c>
      <x:c r="N238" s="133" t="n">
        <x:f>-PMT(K238/12,'Assumptions'!$B$35*12,M238)*12</x:f>
        <x:v>162594.13272232813</x:v>
      </x:c>
      <x:c r="O238" s="133" t="n">
        <x:f>(L238*(1+'Assumptions'!$B$29)^('Assumptions'!$B$14/12)/J238)*(1-'Assumptions'!$B$42)-'Debt Schedule'!$F$9</x:f>
        <x:v>3197794.1988196825</x:v>
      </x:c>
      <x:c r="P238" s="132" t="n">
        <x:f>((O238+(L238-N238-'Assumptions'!$B$27-'Assumptions'!$B$28)*('Assumptions'!$B$14/12))/ABS('Monthly Cash Flow'!$S$5))^(1/('Assumptions'!$B$14/12))-1</x:f>
        <x:v>0.19778036010893363</x:v>
      </x:c>
      <x:c r="Q238" s="133" t="n">
        <x:f>-ABS('Monthly Cash Flow'!$S$5)+((L238-N238-'Assumptions'!$B$27-'Assumptions'!$B$28)*(1-(1+'Assumptions'!$B$43)^-('Assumptions'!$B$14/12))/'Assumptions'!$B$43)+(O238/(1+'Assumptions'!$B$43)^('Assumptions'!$B$14/12))</x:f>
        <x:v>686268.4173768938</x:v>
      </x:c>
    </x:row>
    <x:row r="239">
      <x:c r="A239" s="131" t="n">
        <x:f>232</x:f>
        <x:v>232</x:v>
      </x:c>
      <x:c r="B239" s="131" t="n">
        <x:f>MOD(ABS(SIN((A239+1)*12.9898+78.233)*43758.5453),1)</x:f>
        <x:v>0.2166953332707635</x:v>
      </x:c>
      <x:c r="C239" s="131" t="n">
        <x:f>MOD(ABS(SIN((A239+2)*12.9898+78.233)*43758.5453),1)</x:f>
        <x:v>0.8099444686376955</x:v>
      </x:c>
      <x:c r="D239" s="131" t="n">
        <x:f>MOD(ABS(SIN((A239+3)*12.9898+78.233)*43758.5453),1)</x:f>
        <x:v>0.5384004424777231</x:v>
      </x:c>
      <x:c r="E239" s="131" t="n">
        <x:f>MOD(ABS(SIN((A239+4)*12.9898+78.233)*43758.5453),1)</x:f>
        <x:v>0.764820023534412</x:v>
      </x:c>
      <x:c r="F239" s="131" t="n">
        <x:f>MOD(ABS(SIN((A239+5)*12.9898+78.233)*43758.5453),1)</x:f>
        <x:v>0.25221167456402327</x:v>
      </x:c>
      <x:c r="G239" s="132" t="n">
        <x:f>IF(B239&lt;(('Assumptions'!$C$47-'Assumptions'!$B$47)/('Assumptions'!$D$47-'Assumptions'!$B$47)),'Assumptions'!$B$47+SQRT(B239*('Assumptions'!$D$47-'Assumptions'!$B$47)*('Assumptions'!$C$47-'Assumptions'!$B$47)),'Assumptions'!$D$47-SQRT((1-B239)*('Assumptions'!$D$47-'Assumptions'!$B$47)*('Assumptions'!$D$47-'Assumptions'!$C$47)))</x:f>
        <x:v>-0.027884204237224666</x:v>
      </x:c>
      <x:c r="H239" s="132" t="n">
        <x:f>IF(C239&lt;(('Assumptions'!$C$48-'Assumptions'!$B$48)/('Assumptions'!$D$48-'Assumptions'!$B$48)),'Assumptions'!$B$48+SQRT(C239*('Assumptions'!$D$48-'Assumptions'!$B$48)*('Assumptions'!$C$48-'Assumptions'!$B$48)),'Assumptions'!$D$48-SQRT((1-C239)*('Assumptions'!$D$48-'Assumptions'!$B$48)*('Assumptions'!$D$48-'Assumptions'!$C$48)))</x:f>
        <x:v>0.0991039283550574</x:v>
      </x:c>
      <x:c r="I239" s="132" t="n">
        <x:f>IF(D239&lt;(('Assumptions'!$C$49-'Assumptions'!$B$49)/('Assumptions'!$D$49-'Assumptions'!$B$49)),'Assumptions'!$B$49+SQRT(D239*('Assumptions'!$D$49-'Assumptions'!$B$49)*('Assumptions'!$C$49-'Assumptions'!$B$49)),'Assumptions'!$D$49-SQRT((1-D239)*('Assumptions'!$D$49-'Assumptions'!$B$49)*('Assumptions'!$D$49-'Assumptions'!$C$49)))</x:f>
        <x:v>0.050147356357073944</x:v>
      </x:c>
      <x:c r="J239" s="132" t="n">
        <x:f>IF(E239&lt;(('Assumptions'!$C$50-'Assumptions'!$B$50)/('Assumptions'!$D$50-'Assumptions'!$B$50)),'Assumptions'!$B$50+SQRT(E239*('Assumptions'!$D$50-'Assumptions'!$B$50)*('Assumptions'!$C$50-'Assumptions'!$B$50)),'Assumptions'!$D$50-SQRT((1-E239)*('Assumptions'!$D$50-'Assumptions'!$B$50)*('Assumptions'!$D$50-'Assumptions'!$C$50)))</x:f>
        <x:v>0.0718670811893302</x:v>
      </x:c>
      <x:c r="K239" s="132" t="n">
        <x:f>IF(F239&lt;(('Assumptions'!$C$51-'Assumptions'!$B$51)/('Assumptions'!$D$51-'Assumptions'!$B$51)),'Assumptions'!$B$51+SQRT(F239*('Assumptions'!$D$51-'Assumptions'!$B$51)*('Assumptions'!$C$51-'Assumptions'!$B$51)),'Assumptions'!$D$51-SQRT((1-F239)*('Assumptions'!$D$51-'Assumptions'!$B$51)*('Assumptions'!$D$51-'Assumptions'!$C$51)))</x:f>
        <x:v>0.06582815768973585</x:v>
      </x:c>
      <x:c r="L239" s="133" t="n">
        <x:f>(('Assumptions'!$B$17*(1+G239)+'Assumptions'!$B$18)*(1-H239-'Assumptions'!$B$20)-SUM('Assumptions'!$B$21:$B$25)*(1+I239))-(('Assumptions'!$B$17*(1+G239)+'Assumptions'!$B$18)*(1-H239-'Assumptions'!$B$20)*'Assumptions'!$B$26)</x:f>
        <x:v>182384.42925523428</x:v>
      </x:c>
      <x:c r="M239" s="133" t="n">
        <x:f>'Assumptions'!$B$10*'Assumptions'!$B$33</x:f>
        <x:v>1950000</x:v>
      </x:c>
      <x:c r="N239" s="133" t="n">
        <x:f>-PMT(K239/12,'Assumptions'!$B$35*12,M239)*12</x:f>
        <x:v>149180.66596508358</x:v>
      </x:c>
      <x:c r="O239" s="133" t="n">
        <x:f>(L239*(1+'Assumptions'!$B$29)^('Assumptions'!$B$14/12)/J239)*(1-'Assumptions'!$B$42)-'Debt Schedule'!$F$9</x:f>
        <x:v>2765487.684751096</x:v>
      </x:c>
      <x:c r="P239" s="132" t="n">
        <x:f>((O239+(L239-N239-'Assumptions'!$B$27-'Assumptions'!$B$28)*('Assumptions'!$B$14/12))/ABS('Monthly Cash Flow'!$S$5))^(1/('Assumptions'!$B$14/12))-1</x:f>
        <x:v>0.1610743656268112</x:v>
      </x:c>
      <x:c r="Q239" s="133" t="n">
        <x:f>-ABS('Monthly Cash Flow'!$S$5)+((L239-N239-'Assumptions'!$B$27-'Assumptions'!$B$28)*(1-(1+'Assumptions'!$B$43)^-('Assumptions'!$B$14/12))/'Assumptions'!$B$43)+(O239/(1+'Assumptions'!$B$43)^('Assumptions'!$B$14/12))</x:f>
        <x:v>396887.18791798525</x:v>
      </x:c>
    </x:row>
    <x:row r="240">
      <x:c r="A240" s="131" t="n">
        <x:f>233</x:f>
        <x:v>233</x:v>
      </x:c>
      <x:c r="B240" s="131" t="n">
        <x:f>MOD(ABS(SIN((A240+1)*12.9898+78.233)*43758.5453),1)</x:f>
        <x:v>0.8099444686376955</x:v>
      </x:c>
      <x:c r="C240" s="131" t="n">
        <x:f>MOD(ABS(SIN((A240+2)*12.9898+78.233)*43758.5453),1)</x:f>
        <x:v>0.5384004424777231</x:v>
      </x:c>
      <x:c r="D240" s="131" t="n">
        <x:f>MOD(ABS(SIN((A240+3)*12.9898+78.233)*43758.5453),1)</x:f>
        <x:v>0.764820023534412</x:v>
      </x:c>
      <x:c r="E240" s="131" t="n">
        <x:f>MOD(ABS(SIN((A240+4)*12.9898+78.233)*43758.5453),1)</x:f>
        <x:v>0.25221167456402327</x:v>
      </x:c>
      <x:c r="F240" s="131" t="n">
        <x:f>MOD(ABS(SIN((A240+5)*12.9898+78.233)*43758.5453),1)</x:f>
        <x:v>0.2748280403056924</x:v>
      </x:c>
      <x:c r="G240" s="132" t="n">
        <x:f>IF(B240&lt;(('Assumptions'!$C$47-'Assumptions'!$B$47)/('Assumptions'!$D$47-'Assumptions'!$B$47)),'Assumptions'!$B$47+SQRT(B240*('Assumptions'!$D$47-'Assumptions'!$B$47)*('Assumptions'!$C$47-'Assumptions'!$B$47)),'Assumptions'!$D$47-SQRT((1-B240)*('Assumptions'!$D$47-'Assumptions'!$B$47)*('Assumptions'!$D$47-'Assumptions'!$C$47)))</x:f>
        <x:v>0.04485574824338559</x:v>
      </x:c>
      <x:c r="H240" s="132" t="n">
        <x:f>IF(C240&lt;(('Assumptions'!$C$48-'Assumptions'!$B$48)/('Assumptions'!$D$48-'Assumptions'!$B$48)),'Assumptions'!$B$48+SQRT(C240*('Assumptions'!$D$48-'Assumptions'!$B$48)*('Assumptions'!$C$48-'Assumptions'!$B$48)),'Assumptions'!$D$48-SQRT((1-C240)*('Assumptions'!$D$48-'Assumptions'!$B$48)*('Assumptions'!$D$48-'Assumptions'!$C$48)))</x:f>
        <x:v>0.07626558146341934</x:v>
      </x:c>
      <x:c r="I240" s="132" t="n">
        <x:f>IF(D240&lt;(('Assumptions'!$C$49-'Assumptions'!$B$49)/('Assumptions'!$D$49-'Assumptions'!$B$49)),'Assumptions'!$B$49+SQRT(D240*('Assumptions'!$D$49-'Assumptions'!$B$49)*('Assumptions'!$C$49-'Assumptions'!$B$49)),'Assumptions'!$D$49-SQRT((1-D240)*('Assumptions'!$D$49-'Assumptions'!$B$49)*('Assumptions'!$D$49-'Assumptions'!$C$49)))</x:f>
        <x:v>0.07872667054460904</x:v>
      </x:c>
      <x:c r="J240" s="132" t="n">
        <x:f>IF(E240&lt;(('Assumptions'!$C$50-'Assumptions'!$B$50)/('Assumptions'!$D$50-'Assumptions'!$B$50)),'Assumptions'!$B$50+SQRT(E240*('Assumptions'!$D$50-'Assumptions'!$B$50)*('Assumptions'!$C$50-'Assumptions'!$B$50)),'Assumptions'!$D$50-SQRT((1-E240)*('Assumptions'!$D$50-'Assumptions'!$B$50)*('Assumptions'!$D$50-'Assumptions'!$C$50)))</x:f>
        <x:v>0.0650331020686637</x:v>
      </x:c>
      <x:c r="K240" s="132" t="n">
        <x:f>IF(F240&lt;(('Assumptions'!$C$51-'Assumptions'!$B$51)/('Assumptions'!$D$51-'Assumptions'!$B$51)),'Assumptions'!$B$51+SQRT(F240*('Assumptions'!$D$51-'Assumptions'!$B$51)*('Assumptions'!$C$51-'Assumptions'!$B$51)),'Assumptions'!$D$51-SQRT((1-F240)*('Assumptions'!$D$51-'Assumptions'!$B$51)*('Assumptions'!$D$51-'Assumptions'!$C$51)))</x:f>
        <x:v>0.06619354421879048</x:v>
      </x:c>
      <x:c r="L240" s="133" t="n">
        <x:f>(('Assumptions'!$B$17*(1+G240)+'Assumptions'!$B$18)*(1-H240-'Assumptions'!$B$20)-SUM('Assumptions'!$B$21:$B$25)*(1+I240))-(('Assumptions'!$B$17*(1+G240)+'Assumptions'!$B$18)*(1-H240-'Assumptions'!$B$20)*'Assumptions'!$B$26)</x:f>
        <x:v>209821.23021307884</x:v>
      </x:c>
      <x:c r="M240" s="133" t="n">
        <x:f>'Assumptions'!$B$10*'Assumptions'!$B$33</x:f>
        <x:v>1950000</x:v>
      </x:c>
      <x:c r="N240" s="133" t="n">
        <x:f>-PMT(K240/12,'Assumptions'!$B$35*12,M240)*12</x:f>
        <x:v>149745.42513512808</x:v>
      </x:c>
      <x:c r="O240" s="133" t="n">
        <x:f>(L240*(1+'Assumptions'!$B$29)^('Assumptions'!$B$14/12)/J240)*(1-'Assumptions'!$B$42)-'Debt Schedule'!$F$9</x:f>
        <x:v>3515838.648399679</x:v>
      </x:c>
      <x:c r="P240" s="132" t="n">
        <x:f>((O240+(L240-N240-'Assumptions'!$B$27-'Assumptions'!$B$28)*('Assumptions'!$B$14/12))/ABS('Monthly Cash Flow'!$S$5))^(1/('Assumptions'!$B$14/12))-1</x:f>
        <x:v>0.22809086781731303</x:v>
      </x:c>
      <x:c r="Q240" s="133" t="n">
        <x:f>-ABS('Monthly Cash Flow'!$S$5)+((L240-N240-'Assumptions'!$B$27-'Assumptions'!$B$28)*(1-(1+'Assumptions'!$B$43)^-('Assumptions'!$B$14/12))/'Assumptions'!$B$43)+(O240/(1+'Assumptions'!$B$43)^('Assumptions'!$B$14/12))</x:f>
        <x:v>964662.2815015586</x:v>
      </x:c>
    </x:row>
    <x:row r="241">
      <x:c r="A241" s="131" t="n">
        <x:f>234</x:f>
        <x:v>234</x:v>
      </x:c>
      <x:c r="B241" s="131" t="n">
        <x:f>MOD(ABS(SIN((A241+1)*12.9898+78.233)*43758.5453),1)</x:f>
        <x:v>0.5384004424777231</x:v>
      </x:c>
      <x:c r="C241" s="131" t="n">
        <x:f>MOD(ABS(SIN((A241+2)*12.9898+78.233)*43758.5453),1)</x:f>
        <x:v>0.764820023534412</x:v>
      </x:c>
      <x:c r="D241" s="131" t="n">
        <x:f>MOD(ABS(SIN((A241+3)*12.9898+78.233)*43758.5453),1)</x:f>
        <x:v>0.25221167456402327</x:v>
      </x:c>
      <x:c r="E241" s="131" t="n">
        <x:f>MOD(ABS(SIN((A241+4)*12.9898+78.233)*43758.5453),1)</x:f>
        <x:v>0.2748280403056924</x:v>
      </x:c>
      <x:c r="F241" s="131" t="n">
        <x:f>MOD(ABS(SIN((A241+5)*12.9898+78.233)*43758.5453),1)</x:f>
        <x:v>0.4145791839382582</x:v>
      </x:c>
      <x:c r="G241" s="132" t="n">
        <x:f>IF(B241&lt;(('Assumptions'!$C$47-'Assumptions'!$B$47)/('Assumptions'!$D$47-'Assumptions'!$B$47)),'Assumptions'!$B$47+SQRT(B241*('Assumptions'!$D$47-'Assumptions'!$B$47)*('Assumptions'!$C$47-'Assumptions'!$B$47)),'Assumptions'!$D$47-SQRT((1-B241)*('Assumptions'!$D$47-'Assumptions'!$B$47)*('Assumptions'!$D$47-'Assumptions'!$C$47)))</x:f>
        <x:v>0.013673262553097129</x:v>
      </x:c>
      <x:c r="H241" s="132" t="n">
        <x:f>IF(C241&lt;(('Assumptions'!$C$48-'Assumptions'!$B$48)/('Assumptions'!$D$48-'Assumptions'!$B$48)),'Assumptions'!$B$48+SQRT(C241*('Assumptions'!$D$48-'Assumptions'!$B$48)*('Assumptions'!$C$48-'Assumptions'!$B$48)),'Assumptions'!$D$48-SQRT((1-C241)*('Assumptions'!$D$48-'Assumptions'!$B$48)*('Assumptions'!$D$48-'Assumptions'!$C$48)))</x:f>
        <x:v>0.09450732154624028</x:v>
      </x:c>
      <x:c r="I241" s="132" t="n">
        <x:f>IF(D241&lt;(('Assumptions'!$C$49-'Assumptions'!$B$49)/('Assumptions'!$D$49-'Assumptions'!$B$49)),'Assumptions'!$B$49+SQRT(D241*('Assumptions'!$D$49-'Assumptions'!$B$49)*('Assumptions'!$C$49-'Assumptions'!$B$49)),'Assumptions'!$D$49-SQRT((1-D241)*('Assumptions'!$D$49-'Assumptions'!$B$49)*('Assumptions'!$D$49-'Assumptions'!$C$49)))</x:f>
        <x:v>0.02219086208611093</x:v>
      </x:c>
      <x:c r="J241" s="132" t="n">
        <x:f>IF(E241&lt;(('Assumptions'!$C$50-'Assumptions'!$B$50)/('Assumptions'!$D$50-'Assumptions'!$B$50)),'Assumptions'!$B$50+SQRT(E241*('Assumptions'!$D$50-'Assumptions'!$B$50)*('Assumptions'!$C$50-'Assumptions'!$B$50)),'Assumptions'!$D$50-SQRT((1-E241)*('Assumptions'!$D$50-'Assumptions'!$B$50)*('Assumptions'!$D$50-'Assumptions'!$C$50)))</x:f>
        <x:v>0.06536360661966129</x:v>
      </x:c>
      <x:c r="K241" s="132" t="n">
        <x:f>IF(F241&lt;(('Assumptions'!$C$51-'Assumptions'!$B$51)/('Assumptions'!$D$51-'Assumptions'!$B$51)),'Assumptions'!$B$51+SQRT(F241*('Assumptions'!$D$51-'Assumptions'!$B$51)*('Assumptions'!$C$51-'Assumptions'!$B$51)),'Assumptions'!$D$51-SQRT((1-F241)*('Assumptions'!$D$51-'Assumptions'!$B$51)*('Assumptions'!$D$51-'Assumptions'!$C$51)))</x:f>
        <x:v>0.06821507319855957</x:v>
      </x:c>
      <x:c r="L241" s="133" t="n">
        <x:f>(('Assumptions'!$B$17*(1+G241)+'Assumptions'!$B$18)*(1-H241-'Assumptions'!$B$20)-SUM('Assumptions'!$B$21:$B$25)*(1+I241))-(('Assumptions'!$B$17*(1+G241)+'Assumptions'!$B$18)*(1-H241-'Assumptions'!$B$20)*'Assumptions'!$B$26)</x:f>
        <x:v>200391.96686322615</x:v>
      </x:c>
      <x:c r="M241" s="133" t="n">
        <x:f>'Assumptions'!$B$10*'Assumptions'!$B$33</x:f>
        <x:v>1950000</x:v>
      </x:c>
      <x:c r="N241" s="133" t="n">
        <x:f>-PMT(K241/12,'Assumptions'!$B$35*12,M241)*12</x:f>
        <x:v>152885.87954853903</x:v>
      </x:c>
      <x:c r="O241" s="133" t="n">
        <x:f>(L241*(1+'Assumptions'!$B$29)^('Assumptions'!$B$14/12)/J241)*(1-'Assumptions'!$B$42)-'Debt Schedule'!$F$9</x:f>
        <x:v>3340860.0054802634</x:v>
      </x:c>
      <x:c r="P241" s="132" t="n">
        <x:f>((O241+(L241-N241-'Assumptions'!$B$27-'Assumptions'!$B$28)*('Assumptions'!$B$14/12))/ABS('Monthly Cash Flow'!$S$5))^(1/('Assumptions'!$B$14/12))-1</x:f>
        <x:v>0.21149480725994163</x:v>
      </x:c>
      <x:c r="Q241" s="133" t="n">
        <x:f>-ABS('Monthly Cash Flow'!$S$5)+((L241-N241-'Assumptions'!$B$27-'Assumptions'!$B$28)*(1-(1+'Assumptions'!$B$43)^-('Assumptions'!$B$14/12))/'Assumptions'!$B$43)+(O241/(1+'Assumptions'!$B$43)^('Assumptions'!$B$14/12))</x:f>
        <x:v>808365.1912407614</x:v>
      </x:c>
    </x:row>
    <x:row r="242">
      <x:c r="A242" s="131" t="n">
        <x:f>235</x:f>
        <x:v>235</x:v>
      </x:c>
      <x:c r="B242" s="131" t="n">
        <x:f>MOD(ABS(SIN((A242+1)*12.9898+78.233)*43758.5453),1)</x:f>
        <x:v>0.764820023534412</x:v>
      </x:c>
      <x:c r="C242" s="131" t="n">
        <x:f>MOD(ABS(SIN((A242+2)*12.9898+78.233)*43758.5453),1)</x:f>
        <x:v>0.25221167456402327</x:v>
      </x:c>
      <x:c r="D242" s="131" t="n">
        <x:f>MOD(ABS(SIN((A242+3)*12.9898+78.233)*43758.5453),1)</x:f>
        <x:v>0.2748280403056924</x:v>
      </x:c>
      <x:c r="E242" s="131" t="n">
        <x:f>MOD(ABS(SIN((A242+4)*12.9898+78.233)*43758.5453),1)</x:f>
        <x:v>0.4145791839382582</x:v>
      </x:c>
      <x:c r="F242" s="131" t="n">
        <x:f>MOD(ABS(SIN((A242+5)*12.9898+78.233)*43758.5453),1)</x:f>
        <x:v>0.03843945524567971</x:v>
      </x:c>
      <x:c r="G242" s="132" t="n">
        <x:f>IF(B242&lt;(('Assumptions'!$C$47-'Assumptions'!$B$47)/('Assumptions'!$D$47-'Assumptions'!$B$47)),'Assumptions'!$B$47+SQRT(B242*('Assumptions'!$D$47-'Assumptions'!$B$47)*('Assumptions'!$C$47-'Assumptions'!$B$47)),'Assumptions'!$D$47-SQRT((1-B242)*('Assumptions'!$D$47-'Assumptions'!$B$47)*('Assumptions'!$D$47-'Assumptions'!$C$47)))</x:f>
        <x:v>0.0386576848867814</x:v>
      </x:c>
      <x:c r="H242" s="132" t="n">
        <x:f>IF(C242&lt;(('Assumptions'!$C$48-'Assumptions'!$B$48)/('Assumptions'!$D$48-'Assumptions'!$B$48)),'Assumptions'!$B$48+SQRT(C242*('Assumptions'!$D$48-'Assumptions'!$B$48)*('Assumptions'!$C$48-'Assumptions'!$B$48)),'Assumptions'!$D$48-SQRT((1-C242)*('Assumptions'!$D$48-'Assumptions'!$B$48)*('Assumptions'!$D$48-'Assumptions'!$C$48)))</x:f>
        <x:v>0.058849584504135875</x:v>
      </x:c>
      <x:c r="I242" s="132" t="n">
        <x:f>IF(D242&lt;(('Assumptions'!$C$49-'Assumptions'!$B$49)/('Assumptions'!$D$49-'Assumptions'!$B$49)),'Assumptions'!$B$49+SQRT(D242*('Assumptions'!$D$49-'Assumptions'!$B$49)*('Assumptions'!$C$49-'Assumptions'!$B$49)),'Assumptions'!$D$49-SQRT((1-D242)*('Assumptions'!$D$49-'Assumptions'!$B$49)*('Assumptions'!$D$49-'Assumptions'!$C$49)))</x:f>
        <x:v>0.0244806647839532</x:v>
      </x:c>
      <x:c r="J242" s="132" t="n">
        <x:f>IF(E242&lt;(('Assumptions'!$C$50-'Assumptions'!$B$50)/('Assumptions'!$D$50-'Assumptions'!$B$50)),'Assumptions'!$B$50+SQRT(E242*('Assumptions'!$D$50-'Assumptions'!$B$50)*('Assumptions'!$C$50-'Assumptions'!$B$50)),'Assumptions'!$D$50-SQRT((1-E242)*('Assumptions'!$D$50-'Assumptions'!$B$50)*('Assumptions'!$D$50-'Assumptions'!$C$50)))</x:f>
        <x:v>0.06715817355332301</x:v>
      </x:c>
      <x:c r="K242" s="132" t="n">
        <x:f>IF(F242&lt;(('Assumptions'!$C$51-'Assumptions'!$B$51)/('Assumptions'!$D$51-'Assumptions'!$B$51)),'Assumptions'!$B$51+SQRT(F242*('Assumptions'!$D$51-'Assumptions'!$B$51)*('Assumptions'!$C$51-'Assumptions'!$B$51)),'Assumptions'!$D$51-SQRT((1-F242)*('Assumptions'!$D$51-'Assumptions'!$B$51)*('Assumptions'!$D$51-'Assumptions'!$C$51)))</x:f>
        <x:v>0.06075128439121556</x:v>
      </x:c>
      <x:c r="L242" s="133" t="n">
        <x:f>(('Assumptions'!$B$17*(1+G242)+'Assumptions'!$B$18)*(1-H242-'Assumptions'!$B$20)-SUM('Assumptions'!$B$21:$B$25)*(1+I242))-(('Assumptions'!$B$17*(1+G242)+'Assumptions'!$B$18)*(1-H242-'Assumptions'!$B$20)*'Assumptions'!$B$26)</x:f>
        <x:v>221251.55785779768</x:v>
      </x:c>
      <x:c r="M242" s="133" t="n">
        <x:f>'Assumptions'!$B$10*'Assumptions'!$B$33</x:f>
        <x:v>1950000</x:v>
      </x:c>
      <x:c r="N242" s="133" t="n">
        <x:f>-PMT(K242/12,'Assumptions'!$B$35*12,M242)*12</x:f>
        <x:v>141427.07019678247</x:v>
      </x:c>
      <x:c r="O242" s="133" t="n">
        <x:f>(L242*(1+'Assumptions'!$B$29)^('Assumptions'!$B$14/12)/J242)*(1-'Assumptions'!$B$42)-'Debt Schedule'!$F$9</x:f>
        <x:v>3590057.7766043134</x:v>
      </x:c>
      <x:c r="P242" s="132" t="n">
        <x:f>((O242+(L242-N242-'Assumptions'!$B$27-'Assumptions'!$B$28)*('Assumptions'!$B$14/12))/ABS('Monthly Cash Flow'!$S$5))^(1/('Assumptions'!$B$14/12))-1</x:f>
        <x:v>0.23962019044598803</x:v>
      </x:c>
      <x:c r="Q242" s="133" t="n">
        <x:f>-ABS('Monthly Cash Flow'!$S$5)+((L242-N242-'Assumptions'!$B$27-'Assumptions'!$B$28)*(1-(1+'Assumptions'!$B$43)^-('Assumptions'!$B$14/12))/'Assumptions'!$B$43)+(O242/(1+'Assumptions'!$B$43)^('Assumptions'!$B$14/12))</x:f>
        <x:v>1085609.5654318049</x:v>
      </x:c>
    </x:row>
    <x:row r="243">
      <x:c r="A243" s="131" t="n">
        <x:f>236</x:f>
        <x:v>236</x:v>
      </x:c>
      <x:c r="B243" s="131" t="n">
        <x:f>MOD(ABS(SIN((A243+1)*12.9898+78.233)*43758.5453),1)</x:f>
        <x:v>0.25221167456402327</x:v>
      </x:c>
      <x:c r="C243" s="131" t="n">
        <x:f>MOD(ABS(SIN((A243+2)*12.9898+78.233)*43758.5453),1)</x:f>
        <x:v>0.2748280403056924</x:v>
      </x:c>
      <x:c r="D243" s="131" t="n">
        <x:f>MOD(ABS(SIN((A243+3)*12.9898+78.233)*43758.5453),1)</x:f>
        <x:v>0.4145791839382582</x:v>
      </x:c>
      <x:c r="E243" s="131" t="n">
        <x:f>MOD(ABS(SIN((A243+4)*12.9898+78.233)*43758.5453),1)</x:f>
        <x:v>0.03843945524567971</x:v>
      </x:c>
      <x:c r="F243" s="131" t="n">
        <x:f>MOD(ABS(SIN((A243+5)*12.9898+78.233)*43758.5453),1)</x:f>
        <x:v>0.08931291732005775</x:v>
      </x:c>
      <x:c r="G243" s="132" t="n">
        <x:f>IF(B243&lt;(('Assumptions'!$C$47-'Assumptions'!$B$47)/('Assumptions'!$D$47-'Assumptions'!$B$47)),'Assumptions'!$B$47+SQRT(B243*('Assumptions'!$D$47-'Assumptions'!$B$47)*('Assumptions'!$C$47-'Assumptions'!$B$47)),'Assumptions'!$D$47-SQRT((1-B243)*('Assumptions'!$D$47-'Assumptions'!$B$47)*('Assumptions'!$D$47-'Assumptions'!$C$47)))</x:f>
        <x:v>-0.02219845638075965</x:v>
      </x:c>
      <x:c r="H243" s="132" t="n">
        <x:f>IF(C243&lt;(('Assumptions'!$C$48-'Assumptions'!$B$48)/('Assumptions'!$D$48-'Assumptions'!$B$48)),'Assumptions'!$B$48+SQRT(C243*('Assumptions'!$D$48-'Assumptions'!$B$48)*('Assumptions'!$C$48-'Assumptions'!$B$48)),'Assumptions'!$D$48-SQRT((1-C243)*('Assumptions'!$D$48-'Assumptions'!$B$48)*('Assumptions'!$D$48-'Assumptions'!$C$48)))</x:f>
        <x:v>0.0601156257750622</x:v>
      </x:c>
      <x:c r="I243" s="132" t="n">
        <x:f>IF(D243&lt;(('Assumptions'!$C$49-'Assumptions'!$B$49)/('Assumptions'!$D$49-'Assumptions'!$B$49)),'Assumptions'!$B$49+SQRT(D243*('Assumptions'!$D$49-'Assumptions'!$B$49)*('Assumptions'!$C$49-'Assumptions'!$B$49)),'Assumptions'!$D$49-SQRT((1-D243)*('Assumptions'!$D$49-'Assumptions'!$B$49)*('Assumptions'!$D$49-'Assumptions'!$C$49)))</x:f>
        <x:v>0.0375496125976721</x:v>
      </x:c>
      <x:c r="J243" s="132" t="n">
        <x:f>IF(E243&lt;(('Assumptions'!$C$50-'Assumptions'!$B$50)/('Assumptions'!$D$50-'Assumptions'!$B$50)),'Assumptions'!$B$50+SQRT(E243*('Assumptions'!$D$50-'Assumptions'!$B$50)*('Assumptions'!$C$50-'Assumptions'!$B$50)),'Assumptions'!$D$50-SQRT((1-E243)*('Assumptions'!$D$50-'Assumptions'!$B$50)*('Assumptions'!$D$50-'Assumptions'!$C$50)))</x:f>
        <x:v>0.060440897385200296</x:v>
      </x:c>
      <x:c r="K243" s="132" t="n">
        <x:f>IF(F243&lt;(('Assumptions'!$C$51-'Assumptions'!$B$51)/('Assumptions'!$D$51-'Assumptions'!$B$51)),'Assumptions'!$B$51+SQRT(F243*('Assumptions'!$D$51-'Assumptions'!$B$51)*('Assumptions'!$C$51-'Assumptions'!$B$51)),'Assumptions'!$D$51-SQRT((1-F243)*('Assumptions'!$D$51-'Assumptions'!$B$51)*('Assumptions'!$D$51-'Assumptions'!$C$51)))</x:f>
        <x:v>0.06245591084090663</x:v>
      </x:c>
      <x:c r="L243" s="133" t="n">
        <x:f>(('Assumptions'!$B$17*(1+G243)+'Assumptions'!$B$18)*(1-H243-'Assumptions'!$B$20)-SUM('Assumptions'!$B$21:$B$25)*(1+I243))-(('Assumptions'!$B$17*(1+G243)+'Assumptions'!$B$18)*(1-H243-'Assumptions'!$B$20)*'Assumptions'!$B$26)</x:f>
        <x:v>199571.3161192746</x:v>
      </x:c>
      <x:c r="M243" s="133" t="n">
        <x:f>'Assumptions'!$B$10*'Assumptions'!$B$33</x:f>
        <x:v>1950000</x:v>
      </x:c>
      <x:c r="N243" s="133" t="n">
        <x:f>-PMT(K243/12,'Assumptions'!$B$35*12,M243)*12</x:f>
        <x:v>144010.73252834615</x:v>
      </x:c>
      <x:c r="O243" s="133" t="n">
        <x:f>(L243*(1+'Assumptions'!$B$29)^('Assumptions'!$B$14/12)/J243)*(1-'Assumptions'!$B$42)-'Debt Schedule'!$F$9</x:f>
        <x:v>3598165.9934651507</x:v>
      </x:c>
      <x:c r="P243" s="132" t="n">
        <x:f>((O243+(L243-N243-'Assumptions'!$B$27-'Assumptions'!$B$28)*('Assumptions'!$B$14/12))/ABS('Monthly Cash Flow'!$S$5))^(1/('Assumptions'!$B$14/12))-1</x:f>
        <x:v>0.23212268904196187</x:v>
      </x:c>
      <x:c r="Q243" s="133" t="n">
        <x:f>-ABS('Monthly Cash Flow'!$S$5)+((L243-N243-'Assumptions'!$B$27-'Assumptions'!$B$28)*(1-(1+'Assumptions'!$B$43)^-('Assumptions'!$B$14/12))/'Assumptions'!$B$43)+(O243/(1+'Assumptions'!$B$43)^('Assumptions'!$B$14/12))</x:f>
        <x:v>998664.843649606</x:v>
      </x:c>
    </x:row>
    <x:row r="244">
      <x:c r="A244" s="131" t="n">
        <x:f>237</x:f>
        <x:v>237</x:v>
      </x:c>
      <x:c r="B244" s="131" t="n">
        <x:f>MOD(ABS(SIN((A244+1)*12.9898+78.233)*43758.5453),1)</x:f>
        <x:v>0.2748280403056924</x:v>
      </x:c>
      <x:c r="C244" s="131" t="n">
        <x:f>MOD(ABS(SIN((A244+2)*12.9898+78.233)*43758.5453),1)</x:f>
        <x:v>0.4145791839382582</x:v>
      </x:c>
      <x:c r="D244" s="131" t="n">
        <x:f>MOD(ABS(SIN((A244+3)*12.9898+78.233)*43758.5453),1)</x:f>
        <x:v>0.03843945524567971</x:v>
      </x:c>
      <x:c r="E244" s="131" t="n">
        <x:f>MOD(ABS(SIN((A244+4)*12.9898+78.233)*43758.5453),1)</x:f>
        <x:v>0.08931291732005775</x:v>
      </x:c>
      <x:c r="F244" s="131" t="n">
        <x:f>MOD(ABS(SIN((A244+5)*12.9898+78.233)*43758.5453),1)</x:f>
        <x:v>0.2650356059020851</x:v>
      </x:c>
      <x:c r="G244" s="132" t="n">
        <x:f>IF(B244&lt;(('Assumptions'!$C$47-'Assumptions'!$B$47)/('Assumptions'!$D$47-'Assumptions'!$B$47)),'Assumptions'!$B$47+SQRT(B244*('Assumptions'!$D$47-'Assumptions'!$B$47)*('Assumptions'!$C$47-'Assumptions'!$B$47)),'Assumptions'!$D$47-SQRT((1-B244)*('Assumptions'!$D$47-'Assumptions'!$B$47)*('Assumptions'!$D$47-'Assumptions'!$C$47)))</x:f>
        <x:v>-0.01878502005580117</x:v>
      </x:c>
      <x:c r="H244" s="132" t="n">
        <x:f>IF(C244&lt;(('Assumptions'!$C$48-'Assumptions'!$B$48)/('Assumptions'!$D$48-'Assumptions'!$B$48)),'Assumptions'!$B$48+SQRT(C244*('Assumptions'!$D$48-'Assumptions'!$B$48)*('Assumptions'!$C$48-'Assumptions'!$B$48)),'Assumptions'!$D$48-SQRT((1-C244)*('Assumptions'!$D$48-'Assumptions'!$B$48)*('Assumptions'!$D$48-'Assumptions'!$C$48)))</x:f>
        <x:v>0.0682246338822063</x:v>
      </x:c>
      <x:c r="I244" s="132" t="n">
        <x:f>IF(D244&lt;(('Assumptions'!$C$49-'Assumptions'!$B$49)/('Assumptions'!$D$49-'Assumptions'!$B$49)),'Assumptions'!$B$49+SQRT(D244*('Assumptions'!$D$49-'Assumptions'!$B$49)*('Assumptions'!$C$49-'Assumptions'!$B$49)),'Assumptions'!$D$49-SQRT((1-D244)*('Assumptions'!$D$49-'Assumptions'!$B$49)*('Assumptions'!$D$49-'Assumptions'!$C$49)))</x:f>
        <x:v>-0.009624865235946516</x:v>
      </x:c>
      <x:c r="J244" s="132" t="n">
        <x:f>IF(E244&lt;(('Assumptions'!$C$50-'Assumptions'!$B$50)/('Assumptions'!$D$50-'Assumptions'!$B$50)),'Assumptions'!$B$50+SQRT(E244*('Assumptions'!$D$50-'Assumptions'!$B$50)*('Assumptions'!$C$50-'Assumptions'!$B$50)),'Assumptions'!$D$50-SQRT((1-E244)*('Assumptions'!$D$50-'Assumptions'!$B$50)*('Assumptions'!$D$50-'Assumptions'!$C$50)))</x:f>
        <x:v>0.061982790023747826</x:v>
      </x:c>
      <x:c r="K244" s="132" t="n">
        <x:f>IF(F244&lt;(('Assumptions'!$C$51-'Assumptions'!$B$51)/('Assumptions'!$D$51-'Assumptions'!$B$51)),'Assumptions'!$B$51+SQRT(F244*('Assumptions'!$D$51-'Assumptions'!$B$51)*('Assumptions'!$C$51-'Assumptions'!$B$51)),'Assumptions'!$D$51-SQRT((1-F244)*('Assumptions'!$D$51-'Assumptions'!$B$51)*('Assumptions'!$D$51-'Assumptions'!$C$51)))</x:f>
        <x:v>0.06603725902284062</x:v>
      </x:c>
      <x:c r="L244" s="133" t="n">
        <x:f>(('Assumptions'!$B$17*(1+G244)+'Assumptions'!$B$18)*(1-H244-'Assumptions'!$B$20)-SUM('Assumptions'!$B$21:$B$25)*(1+I244))-(('Assumptions'!$B$17*(1+G244)+'Assumptions'!$B$18)*(1-H244-'Assumptions'!$B$20)*'Assumptions'!$B$26)</x:f>
        <x:v>203722.31732019468</x:v>
      </x:c>
      <x:c r="M244" s="133" t="n">
        <x:f>'Assumptions'!$B$10*'Assumptions'!$B$33</x:f>
        <x:v>1950000</x:v>
      </x:c>
      <x:c r="N244" s="133" t="n">
        <x:f>-PMT(K244/12,'Assumptions'!$B$35*12,M244)*12</x:f>
        <x:v>149503.75471205084</x:v>
      </x:c>
      <x:c r="O244" s="133" t="n">
        <x:f>(L244*(1+'Assumptions'!$B$29)^('Assumptions'!$B$14/12)/J244)*(1-'Assumptions'!$B$42)-'Debt Schedule'!$F$9</x:f>
        <x:v>3581636.139499792</x:v>
      </x:c>
      <x:c r="P244" s="132" t="n">
        <x:f>((O244+(L244-N244-'Assumptions'!$B$27-'Assumptions'!$B$28)*('Assumptions'!$B$14/12))/ABS('Monthly Cash Flow'!$S$5))^(1/('Assumptions'!$B$14/12))-1</x:f>
        <x:v>0.2305608059247739</x:v>
      </x:c>
      <x:c r="Q244" s="133" t="n">
        <x:f>-ABS('Monthly Cash Flow'!$S$5)+((L244-N244-'Assumptions'!$B$27-'Assumptions'!$B$28)*(1-(1+'Assumptions'!$B$43)^-('Assumptions'!$B$14/12))/'Assumptions'!$B$43)+(O244/(1+'Assumptions'!$B$43)^('Assumptions'!$B$14/12))</x:f>
        <x:v>983313.7894696523</x:v>
      </x:c>
    </x:row>
    <x:row r="245">
      <x:c r="A245" s="131" t="n">
        <x:f>238</x:f>
        <x:v>238</x:v>
      </x:c>
      <x:c r="B245" s="131" t="n">
        <x:f>MOD(ABS(SIN((A245+1)*12.9898+78.233)*43758.5453),1)</x:f>
        <x:v>0.4145791839382582</x:v>
      </x:c>
      <x:c r="C245" s="131" t="n">
        <x:f>MOD(ABS(SIN((A245+2)*12.9898+78.233)*43758.5453),1)</x:f>
        <x:v>0.03843945524567971</x:v>
      </x:c>
      <x:c r="D245" s="131" t="n">
        <x:f>MOD(ABS(SIN((A245+3)*12.9898+78.233)*43758.5453),1)</x:f>
        <x:v>0.08931291732005775</x:v>
      </x:c>
      <x:c r="E245" s="131" t="n">
        <x:f>MOD(ABS(SIN((A245+4)*12.9898+78.233)*43758.5453),1)</x:f>
        <x:v>0.2650356059020851</x:v>
      </x:c>
      <x:c r="F245" s="131" t="n">
        <x:f>MOD(ABS(SIN((A245+5)*12.9898+78.233)*43758.5453),1)</x:f>
        <x:v>0.9200544177656411</x:v>
      </x:c>
      <x:c r="G245" s="132" t="n">
        <x:f>IF(B245&lt;(('Assumptions'!$C$47-'Assumptions'!$B$47)/('Assumptions'!$D$47-'Assumptions'!$B$47)),'Assumptions'!$B$47+SQRT(B245*('Assumptions'!$D$47-'Assumptions'!$B$47)*('Assumptions'!$C$47-'Assumptions'!$B$47)),'Assumptions'!$D$47-SQRT((1-B245)*('Assumptions'!$D$47-'Assumptions'!$B$47)*('Assumptions'!$D$47-'Assumptions'!$C$47)))</x:f>
        <x:v>-0.0002508124618641472</x:v>
      </x:c>
      <x:c r="H245" s="132" t="n">
        <x:f>IF(C245&lt;(('Assumptions'!$C$48-'Assumptions'!$B$48)/('Assumptions'!$D$48-'Assumptions'!$B$48)),'Assumptions'!$B$48+SQRT(C245*('Assumptions'!$D$48-'Assumptions'!$B$48)*('Assumptions'!$C$48-'Assumptions'!$B$48)),'Assumptions'!$D$48-SQRT((1-C245)*('Assumptions'!$D$48-'Assumptions'!$B$48)*('Assumptions'!$D$48-'Assumptions'!$C$48)))</x:f>
        <x:v>0.04126277951088199</x:v>
      </x:c>
      <x:c r="I245" s="132" t="n">
        <x:f>IF(D245&lt;(('Assumptions'!$C$49-'Assumptions'!$B$49)/('Assumptions'!$D$49-'Assumptions'!$B$49)),'Assumptions'!$B$49+SQRT(D245*('Assumptions'!$D$49-'Assumptions'!$B$49)*('Assumptions'!$C$49-'Assumptions'!$B$49)),'Assumptions'!$D$49-SQRT((1-D245)*('Assumptions'!$D$49-'Assumptions'!$B$49)*('Assumptions'!$D$49-'Assumptions'!$C$49)))</x:f>
        <x:v>0.001057680323176484</x:v>
      </x:c>
      <x:c r="J245" s="132" t="n">
        <x:f>IF(E245&lt;(('Assumptions'!$C$50-'Assumptions'!$B$50)/('Assumptions'!$D$50-'Assumptions'!$B$50)),'Assumptions'!$B$50+SQRT(E245*('Assumptions'!$D$50-'Assumptions'!$B$50)*('Assumptions'!$C$50-'Assumptions'!$B$50)),'Assumptions'!$D$50-SQRT((1-E245)*('Assumptions'!$D$50-'Assumptions'!$B$50)*('Assumptions'!$D$50-'Assumptions'!$C$50)))</x:f>
        <x:v>0.06522224134095596</x:v>
      </x:c>
      <x:c r="K245" s="132" t="n">
        <x:f>IF(F245&lt;(('Assumptions'!$C$51-'Assumptions'!$B$51)/('Assumptions'!$D$51-'Assumptions'!$B$51)),'Assumptions'!$B$51+SQRT(F245*('Assumptions'!$D$51-'Assumptions'!$B$51)*('Assumptions'!$C$51-'Assumptions'!$B$51)),'Assumptions'!$D$51-SQRT((1-F245)*('Assumptions'!$D$51-'Assumptions'!$B$51)*('Assumptions'!$D$51-'Assumptions'!$C$51)))</x:f>
        <x:v>0.078797273869476</x:v>
      </x:c>
      <x:c r="L245" s="133" t="n">
        <x:f>(('Assumptions'!$B$17*(1+G245)+'Assumptions'!$B$18)*(1-H245-'Assumptions'!$B$20)-SUM('Assumptions'!$B$21:$B$25)*(1+I245))-(('Assumptions'!$B$17*(1+G245)+'Assumptions'!$B$18)*(1-H245-'Assumptions'!$B$20)*'Assumptions'!$B$26)</x:f>
        <x:v>218062.25756161322</x:v>
      </x:c>
      <x:c r="M245" s="133" t="n">
        <x:f>'Assumptions'!$B$10*'Assumptions'!$B$33</x:f>
        <x:v>1950000</x:v>
      </x:c>
      <x:c r="N245" s="133" t="n">
        <x:f>-PMT(K245/12,'Assumptions'!$B$35*12,M245)*12</x:f>
        <x:v>169743.02620561907</x:v>
      </x:c>
      <x:c r="O245" s="133" t="n">
        <x:f>(L245*(1+'Assumptions'!$B$29)^('Assumptions'!$B$14/12)/J245)*(1-'Assumptions'!$B$42)-'Debt Schedule'!$F$9</x:f>
        <x:v>3643332.114666546</x:v>
      </x:c>
      <x:c r="P245" s="132" t="n">
        <x:f>((O245+(L245-N245-'Assumptions'!$B$27-'Assumptions'!$B$28)*('Assumptions'!$B$14/12))/ABS('Monthly Cash Flow'!$S$5))^(1/('Assumptions'!$B$14/12))-1</x:f>
        <x:v>0.2327227095899207</x:v>
      </x:c>
      <x:c r="Q245" s="133" t="n">
        <x:f>-ABS('Monthly Cash Flow'!$S$5)+((L245-N245-'Assumptions'!$B$27-'Assumptions'!$B$28)*(1-(1+'Assumptions'!$B$43)^-('Assumptions'!$B$14/12))/'Assumptions'!$B$43)+(O245/(1+'Assumptions'!$B$43)^('Assumptions'!$B$14/12))</x:f>
        <x:v>999259.0291386112</x:v>
      </x:c>
    </x:row>
    <x:row r="246">
      <x:c r="A246" s="131" t="n">
        <x:f>239</x:f>
        <x:v>239</x:v>
      </x:c>
      <x:c r="B246" s="131" t="n">
        <x:f>MOD(ABS(SIN((A246+1)*12.9898+78.233)*43758.5453),1)</x:f>
        <x:v>0.03843945524567971</x:v>
      </x:c>
      <x:c r="C246" s="131" t="n">
        <x:f>MOD(ABS(SIN((A246+2)*12.9898+78.233)*43758.5453),1)</x:f>
        <x:v>0.08931291732005775</x:v>
      </x:c>
      <x:c r="D246" s="131" t="n">
        <x:f>MOD(ABS(SIN((A246+3)*12.9898+78.233)*43758.5453),1)</x:f>
        <x:v>0.2650356059020851</x:v>
      </x:c>
      <x:c r="E246" s="131" t="n">
        <x:f>MOD(ABS(SIN((A246+4)*12.9898+78.233)*43758.5453),1)</x:f>
        <x:v>0.9200544177656411</x:v>
      </x:c>
      <x:c r="F246" s="131" t="n">
        <x:f>MOD(ABS(SIN((A246+5)*12.9898+78.233)*43758.5453),1)</x:f>
        <x:v>0.021430717752082273</x:v>
      </x:c>
      <x:c r="G246" s="132" t="n">
        <x:f>IF(B246&lt;(('Assumptions'!$C$47-'Assumptions'!$B$47)/('Assumptions'!$D$47-'Assumptions'!$B$47)),'Assumptions'!$B$47+SQRT(B246*('Assumptions'!$D$47-'Assumptions'!$B$47)*('Assumptions'!$C$47-'Assumptions'!$B$47)),'Assumptions'!$D$47-SQRT((1-B246)*('Assumptions'!$D$47-'Assumptions'!$B$47)*('Assumptions'!$D$47-'Assumptions'!$C$47)))</x:f>
        <x:v>-0.06962654241123818</x:v>
      </x:c>
      <x:c r="H246" s="132" t="n">
        <x:f>IF(C246&lt;(('Assumptions'!$C$48-'Assumptions'!$B$48)/('Assumptions'!$D$48-'Assumptions'!$B$48)),'Assumptions'!$B$48+SQRT(C246*('Assumptions'!$D$48-'Assumptions'!$B$48)*('Assumptions'!$C$48-'Assumptions'!$B$48)),'Assumptions'!$D$48-SQRT((1-C246)*('Assumptions'!$D$48-'Assumptions'!$B$48)*('Assumptions'!$D$48-'Assumptions'!$C$48)))</x:f>
        <x:v>0.04716777874846337</x:v>
      </x:c>
      <x:c r="I246" s="132" t="n">
        <x:f>IF(D246&lt;(('Assumptions'!$C$49-'Assumptions'!$B$49)/('Assumptions'!$D$49-'Assumptions'!$B$49)),'Assumptions'!$B$49+SQRT(D246*('Assumptions'!$D$49-'Assumptions'!$B$49)*('Assumptions'!$C$49-'Assumptions'!$B$49)),'Assumptions'!$D$49-SQRT((1-D246)*('Assumptions'!$D$49-'Assumptions'!$B$49)*('Assumptions'!$D$49-'Assumptions'!$C$49)))</x:f>
        <x:v>0.023501257403378085</x:v>
      </x:c>
      <x:c r="J246" s="132" t="n">
        <x:f>IF(E246&lt;(('Assumptions'!$C$50-'Assumptions'!$B$50)/('Assumptions'!$D$50-'Assumptions'!$B$50)),'Assumptions'!$B$50+SQRT(E246*('Assumptions'!$D$50-'Assumptions'!$B$50)*('Assumptions'!$C$50-'Assumptions'!$B$50)),'Assumptions'!$D$50-SQRT((1-E246)*('Assumptions'!$D$50-'Assumptions'!$B$50)*('Assumptions'!$D$50-'Assumptions'!$C$50)))</x:f>
        <x:v>0.07525819707248252</x:v>
      </x:c>
      <x:c r="K246" s="132" t="n">
        <x:f>IF(F246&lt;(('Assumptions'!$C$51-'Assumptions'!$B$51)/('Assumptions'!$D$51-'Assumptions'!$B$51)),'Assumptions'!$B$51+SQRT(F246*('Assumptions'!$D$51-'Assumptions'!$B$51)*('Assumptions'!$C$51-'Assumptions'!$B$51)),'Assumptions'!$D$51-SQRT((1-F246)*('Assumptions'!$D$51-'Assumptions'!$B$51)*('Assumptions'!$D$51-'Assumptions'!$C$51)))</x:f>
        <x:v>0.05992764235047559</x:v>
      </x:c>
      <x:c r="L246" s="133" t="n">
        <x:f>(('Assumptions'!$B$17*(1+G246)+'Assumptions'!$B$18)*(1-H246-'Assumptions'!$B$20)-SUM('Assumptions'!$B$21:$B$25)*(1+I246))-(('Assumptions'!$B$17*(1+G246)+'Assumptions'!$B$18)*(1-H246-'Assumptions'!$B$20)*'Assumptions'!$B$26)</x:f>
        <x:v>190486.48939066826</x:v>
      </x:c>
      <x:c r="M246" s="133" t="n">
        <x:f>'Assumptions'!$B$10*'Assumptions'!$B$33</x:f>
        <x:v>1950000</x:v>
      </x:c>
      <x:c r="N246" s="133" t="n">
        <x:f>-PMT(K246/12,'Assumptions'!$B$35*12,M246)*12</x:f>
        <x:v>140185.98434381763</x:v>
      </x:c>
      <x:c r="O246" s="133" t="n">
        <x:f>(L246*(1+'Assumptions'!$B$29)^('Assumptions'!$B$14/12)/J246)*(1-'Assumptions'!$B$42)-'Debt Schedule'!$F$9</x:f>
        <x:v>2758191.051744193</x:v>
      </x:c>
      <x:c r="P246" s="132" t="n">
        <x:f>((O246+(L246-N246-'Assumptions'!$B$27-'Assumptions'!$B$28)*('Assumptions'!$B$14/12))/ABS('Monthly Cash Flow'!$S$5))^(1/('Assumptions'!$B$14/12))-1</x:f>
        <x:v>0.16764649706085488</x:v>
      </x:c>
      <x:c r="Q246" s="133" t="n">
        <x:f>-ABS('Monthly Cash Flow'!$S$5)+((L246-N246-'Assumptions'!$B$27-'Assumptions'!$B$28)*(1-(1+'Assumptions'!$B$43)^-('Assumptions'!$B$14/12))/'Assumptions'!$B$43)+(O246/(1+'Assumptions'!$B$43)^('Assumptions'!$B$14/12))</x:f>
        <x:v>457166.6553487526</x:v>
      </x:c>
    </x:row>
    <x:row r="247">
      <x:c r="A247" s="131" t="n">
        <x:f>240</x:f>
        <x:v>240</x:v>
      </x:c>
      <x:c r="B247" s="131" t="n">
        <x:f>MOD(ABS(SIN((A247+1)*12.9898+78.233)*43758.5453),1)</x:f>
        <x:v>0.08931291732005775</x:v>
      </x:c>
      <x:c r="C247" s="131" t="n">
        <x:f>MOD(ABS(SIN((A247+2)*12.9898+78.233)*43758.5453),1)</x:f>
        <x:v>0.2650356059020851</x:v>
      </x:c>
      <x:c r="D247" s="131" t="n">
        <x:f>MOD(ABS(SIN((A247+3)*12.9898+78.233)*43758.5453),1)</x:f>
        <x:v>0.9200544177656411</x:v>
      </x:c>
      <x:c r="E247" s="131" t="n">
        <x:f>MOD(ABS(SIN((A247+4)*12.9898+78.233)*43758.5453),1)</x:f>
        <x:v>0.021430717752082273</x:v>
      </x:c>
      <x:c r="F247" s="131" t="n">
        <x:f>MOD(ABS(SIN((A247+5)*12.9898+78.233)*43758.5453),1)</x:f>
        <x:v>0.4271391193251475</x:v>
      </x:c>
      <x:c r="G247" s="132" t="n">
        <x:f>IF(B247&lt;(('Assumptions'!$C$47-'Assumptions'!$B$47)/('Assumptions'!$D$47-'Assumptions'!$B$47)),'Assumptions'!$B$47+SQRT(B247*('Assumptions'!$D$47-'Assumptions'!$B$47)*('Assumptions'!$C$47-'Assumptions'!$B$47)),'Assumptions'!$D$47-SQRT((1-B247)*('Assumptions'!$D$47-'Assumptions'!$B$47)*('Assumptions'!$D$47-'Assumptions'!$C$47)))</x:f>
        <x:v>-0.0537019437159465</x:v>
      </x:c>
      <x:c r="H247" s="132" t="n">
        <x:f>IF(C247&lt;(('Assumptions'!$C$48-'Assumptions'!$B$48)/('Assumptions'!$D$48-'Assumptions'!$B$48)),'Assumptions'!$B$48+SQRT(C247*('Assumptions'!$D$48-'Assumptions'!$B$48)*('Assumptions'!$C$48-'Assumptions'!$B$48)),'Assumptions'!$D$48-SQRT((1-C247)*('Assumptions'!$D$48-'Assumptions'!$B$48)*('Assumptions'!$D$48-'Assumptions'!$C$48)))</x:f>
        <x:v>0.059573932769871524</x:v>
      </x:c>
      <x:c r="I247" s="132" t="n">
        <x:f>IF(D247&lt;(('Assumptions'!$C$49-'Assumptions'!$B$49)/('Assumptions'!$D$49-'Assumptions'!$B$49)),'Assumptions'!$B$49+SQRT(D247*('Assumptions'!$D$49-'Assumptions'!$B$49)*('Assumptions'!$C$49-'Assumptions'!$B$49)),'Assumptions'!$D$49-SQRT((1-D247)*('Assumptions'!$D$49-'Assumptions'!$B$49)*('Assumptions'!$D$49-'Assumptions'!$C$49)))</x:f>
        <x:v>0.10844492117367419</x:v>
      </x:c>
      <x:c r="J247" s="132" t="n">
        <x:f>IF(E247&lt;(('Assumptions'!$C$50-'Assumptions'!$B$50)/('Assumptions'!$D$50-'Assumptions'!$B$50)),'Assumptions'!$B$50+SQRT(E247*('Assumptions'!$D$50-'Assumptions'!$B$50)*('Assumptions'!$C$50-'Assumptions'!$B$50)),'Assumptions'!$D$50-SQRT((1-E247)*('Assumptions'!$D$50-'Assumptions'!$B$50)*('Assumptions'!$D$50-'Assumptions'!$C$50)))</x:f>
        <x:v>0.05969588512773745</x:v>
      </x:c>
      <x:c r="K247" s="132" t="n">
        <x:f>IF(F247&lt;(('Assumptions'!$C$51-'Assumptions'!$B$51)/('Assumptions'!$D$51-'Assumptions'!$B$51)),'Assumptions'!$B$51+SQRT(F247*('Assumptions'!$D$51-'Assumptions'!$B$51)*('Assumptions'!$C$51-'Assumptions'!$B$51)),'Assumptions'!$D$51-SQRT((1-F247)*('Assumptions'!$D$51-'Assumptions'!$B$51)*('Assumptions'!$D$51-'Assumptions'!$C$51)))</x:f>
        <x:v>0.06839610591382936</x:v>
      </x:c>
      <x:c r="L247" s="133" t="n">
        <x:f>(('Assumptions'!$B$17*(1+G247)+'Assumptions'!$B$18)*(1-H247-'Assumptions'!$B$20)-SUM('Assumptions'!$B$21:$B$25)*(1+I247))-(('Assumptions'!$B$17*(1+G247)+'Assumptions'!$B$18)*(1-H247-'Assumptions'!$B$20)*'Assumptions'!$B$26)</x:f>
        <x:v>180700.80933409606</x:v>
      </x:c>
      <x:c r="M247" s="133" t="n">
        <x:f>'Assumptions'!$B$10*'Assumptions'!$B$33</x:f>
        <x:v>1950000</x:v>
      </x:c>
      <x:c r="N247" s="133" t="n">
        <x:f>-PMT(K247/12,'Assumptions'!$B$35*12,M247)*12</x:f>
        <x:v>153168.41442462272</x:v>
      </x:c>
      <x:c r="O247" s="133" t="n">
        <x:f>(L247*(1+'Assumptions'!$B$29)^('Assumptions'!$B$14/12)/J247)*(1-'Assumptions'!$B$42)-'Debt Schedule'!$F$9</x:f>
        <x:v>3298600.1838607052</x:v>
      </x:c>
      <x:c r="P247" s="132" t="n">
        <x:f>((O247+(L247-N247-'Assumptions'!$B$27-'Assumptions'!$B$28)*('Assumptions'!$B$14/12))/ABS('Monthly Cash Flow'!$S$5))^(1/('Assumptions'!$B$14/12))-1</x:f>
        <x:v>0.20112533649137743</x:v>
      </x:c>
      <x:c r="Q247" s="133" t="n">
        <x:f>-ABS('Monthly Cash Flow'!$S$5)+((L247-N247-'Assumptions'!$B$27-'Assumptions'!$B$28)*(1-(1+'Assumptions'!$B$43)^-('Assumptions'!$B$14/12))/'Assumptions'!$B$43)+(O247/(1+'Assumptions'!$B$43)^('Assumptions'!$B$14/12))</x:f>
        <x:v>706409.1579825829</x:v>
      </x:c>
    </x:row>
    <x:row r="248">
      <x:c r="A248" s="131" t="n">
        <x:f>241</x:f>
        <x:v>241</x:v>
      </x:c>
      <x:c r="B248" s="131" t="n">
        <x:f>MOD(ABS(SIN((A248+1)*12.9898+78.233)*43758.5453),1)</x:f>
        <x:v>0.2650356059020851</x:v>
      </x:c>
      <x:c r="C248" s="131" t="n">
        <x:f>MOD(ABS(SIN((A248+2)*12.9898+78.233)*43758.5453),1)</x:f>
        <x:v>0.9200544177656411</x:v>
      </x:c>
      <x:c r="D248" s="131" t="n">
        <x:f>MOD(ABS(SIN((A248+3)*12.9898+78.233)*43758.5453),1)</x:f>
        <x:v>0.021430717752082273</x:v>
      </x:c>
      <x:c r="E248" s="131" t="n">
        <x:f>MOD(ABS(SIN((A248+4)*12.9898+78.233)*43758.5453),1)</x:f>
        <x:v>0.4271391193251475</x:v>
      </x:c>
      <x:c r="F248" s="131" t="n">
        <x:f>MOD(ABS(SIN((A248+5)*12.9898+78.233)*43758.5453),1)</x:f>
        <x:v>0.18490834025942604</x:v>
      </x:c>
      <x:c r="G248" s="132" t="n">
        <x:f>IF(B248&lt;(('Assumptions'!$C$47-'Assumptions'!$B$47)/('Assumptions'!$D$47-'Assumptions'!$B$47)),'Assumptions'!$B$47+SQRT(B248*('Assumptions'!$D$47-'Assumptions'!$B$47)*('Assumptions'!$C$47-'Assumptions'!$B$47)),'Assumptions'!$D$47-SQRT((1-B248)*('Assumptions'!$D$47-'Assumptions'!$B$47)*('Assumptions'!$D$47-'Assumptions'!$C$47)))</x:f>
        <x:v>-0.0202450343762218</x:v>
      </x:c>
      <x:c r="H248" s="132" t="n">
        <x:f>IF(C248&lt;(('Assumptions'!$C$48-'Assumptions'!$B$48)/('Assumptions'!$D$48-'Assumptions'!$B$48)),'Assumptions'!$B$48+SQRT(C248*('Assumptions'!$D$48-'Assumptions'!$B$48)*('Assumptions'!$C$48-'Assumptions'!$B$48)),'Assumptions'!$D$48-SQRT((1-C248)*('Assumptions'!$D$48-'Assumptions'!$B$48)*('Assumptions'!$D$48-'Assumptions'!$C$48)))</x:f>
        <x:v>0.11347602737781616</x:v>
      </x:c>
      <x:c r="I248" s="132" t="n">
        <x:f>IF(D248&lt;(('Assumptions'!$C$49-'Assumptions'!$B$49)/('Assumptions'!$D$49-'Assumptions'!$B$49)),'Assumptions'!$B$49+SQRT(D248*('Assumptions'!$D$49-'Assumptions'!$B$49)*('Assumptions'!$C$49-'Assumptions'!$B$49)),'Assumptions'!$D$49-SQRT((1-D248)*('Assumptions'!$D$49-'Assumptions'!$B$49)*('Assumptions'!$D$49-'Assumptions'!$C$49)))</x:f>
        <x:v>-0.014786461564695458</x:v>
      </x:c>
      <x:c r="J248" s="132" t="n">
        <x:f>IF(E248&lt;(('Assumptions'!$C$50-'Assumptions'!$B$50)/('Assumptions'!$D$50-'Assumptions'!$B$50)),'Assumptions'!$B$50+SQRT(E248*('Assumptions'!$D$50-'Assumptions'!$B$50)*('Assumptions'!$C$50-'Assumptions'!$B$50)),'Assumptions'!$D$50-SQRT((1-E248)*('Assumptions'!$D$50-'Assumptions'!$B$50)*('Assumptions'!$D$50-'Assumptions'!$C$50)))</x:f>
        <x:v>0.06730338216373095</x:v>
      </x:c>
      <x:c r="K248" s="132" t="n">
        <x:f>IF(F248&lt;(('Assumptions'!$C$51-'Assumptions'!$B$51)/('Assumptions'!$D$51-'Assumptions'!$B$51)),'Assumptions'!$B$51+SQRT(F248*('Assumptions'!$D$51-'Assumptions'!$B$51)*('Assumptions'!$C$51-'Assumptions'!$B$51)),'Assumptions'!$D$51-SQRT((1-F248)*('Assumptions'!$D$51-'Assumptions'!$B$51)*('Assumptions'!$D$51-'Assumptions'!$C$51)))</x:f>
        <x:v>0.06463090412018996</x:v>
      </x:c>
      <x:c r="L248" s="133" t="n">
        <x:f>(('Assumptions'!$B$17*(1+G248)+'Assumptions'!$B$18)*(1-H248-'Assumptions'!$B$20)-SUM('Assumptions'!$B$21:$B$25)*(1+I248))-(('Assumptions'!$B$17*(1+G248)+'Assumptions'!$B$18)*(1-H248-'Assumptions'!$B$20)*'Assumptions'!$B$26)</x:f>
        <x:v>187803.35219224042</x:v>
      </x:c>
      <x:c r="M248" s="133" t="n">
        <x:f>'Assumptions'!$B$10*'Assumptions'!$B$33</x:f>
        <x:v>1950000</x:v>
      </x:c>
      <x:c r="N248" s="133" t="n">
        <x:f>-PMT(K248/12,'Assumptions'!$B$35*12,M248)*12</x:f>
        <x:v>147336.37264782502</x:v>
      </x:c>
      <x:c r="O248" s="133" t="n">
        <x:f>(L248*(1+'Assumptions'!$B$29)^('Assumptions'!$B$14/12)/J248)*(1-'Assumptions'!$B$42)-'Debt Schedule'!$F$9</x:f>
        <x:v>3040747.9869205686</x:v>
      </x:c>
      <x:c r="P248" s="132" t="n">
        <x:f>((O248+(L248-N248-'Assumptions'!$B$27-'Assumptions'!$B$28)*('Assumptions'!$B$14/12))/ABS('Monthly Cash Flow'!$S$5))^(1/('Assumptions'!$B$14/12))-1</x:f>
        <x:v>0.1864306163800653</x:v>
      </x:c>
      <x:c r="Q248" s="133" t="n">
        <x:f>-ABS('Monthly Cash Flow'!$S$5)+((L248-N248-'Assumptions'!$B$27-'Assumptions'!$B$28)*(1-(1+'Assumptions'!$B$43)^-('Assumptions'!$B$14/12))/'Assumptions'!$B$43)+(O248/(1+'Assumptions'!$B$43)^('Assumptions'!$B$14/12))</x:f>
        <x:v>595335.4830067358</x:v>
      </x:c>
    </x:row>
    <x:row r="249">
      <x:c r="A249" s="131" t="n">
        <x:f>242</x:f>
        <x:v>242</x:v>
      </x:c>
      <x:c r="B249" s="131" t="n">
        <x:f>MOD(ABS(SIN((A249+1)*12.9898+78.233)*43758.5453),1)</x:f>
        <x:v>0.9200544177656411</x:v>
      </x:c>
      <x:c r="C249" s="131" t="n">
        <x:f>MOD(ABS(SIN((A249+2)*12.9898+78.233)*43758.5453),1)</x:f>
        <x:v>0.021430717752082273</x:v>
      </x:c>
      <x:c r="D249" s="131" t="n">
        <x:f>MOD(ABS(SIN((A249+3)*12.9898+78.233)*43758.5453),1)</x:f>
        <x:v>0.4271391193251475</x:v>
      </x:c>
      <x:c r="E249" s="131" t="n">
        <x:f>MOD(ABS(SIN((A249+4)*12.9898+78.233)*43758.5453),1)</x:f>
        <x:v>0.18490834025942604</x:v>
      </x:c>
      <x:c r="F249" s="131" t="n">
        <x:f>MOD(ABS(SIN((A249+5)*12.9898+78.233)*43758.5453),1)</x:f>
        <x:v>0.7248875722107186</x:v>
      </x:c>
      <x:c r="G249" s="132" t="n">
        <x:f>IF(B249&lt;(('Assumptions'!$C$47-'Assumptions'!$B$47)/('Assumptions'!$D$47-'Assumptions'!$B$47)),'Assumptions'!$B$47+SQRT(B249*('Assumptions'!$D$47-'Assumptions'!$B$47)*('Assumptions'!$C$47-'Assumptions'!$B$47)),'Assumptions'!$D$47-SQRT((1-B249)*('Assumptions'!$D$47-'Assumptions'!$B$47)*('Assumptions'!$D$47-'Assumptions'!$C$47)))</x:f>
        <x:v>0.06423508261228972</x:v>
      </x:c>
      <x:c r="H249" s="132" t="n">
        <x:f>IF(C249&lt;(('Assumptions'!$C$48-'Assumptions'!$B$48)/('Assumptions'!$D$48-'Assumptions'!$B$48)),'Assumptions'!$B$48+SQRT(C249*('Assumptions'!$D$48-'Assumptions'!$B$48)*('Assumptions'!$C$48-'Assumptions'!$B$48)),'Assumptions'!$D$48-SQRT((1-C249)*('Assumptions'!$D$48-'Assumptions'!$B$48)*('Assumptions'!$D$48-'Assumptions'!$C$48)))</x:f>
        <x:v>0.03840959978725929</x:v>
      </x:c>
      <x:c r="I249" s="132" t="n">
        <x:f>IF(D249&lt;(('Assumptions'!$C$49-'Assumptions'!$B$49)/('Assumptions'!$D$49-'Assumptions'!$B$49)),'Assumptions'!$B$49+SQRT(D249*('Assumptions'!$D$49-'Assumptions'!$B$49)*('Assumptions'!$C$49-'Assumptions'!$B$49)),'Assumptions'!$D$49-SQRT((1-D249)*('Assumptions'!$D$49-'Assumptions'!$B$49)*('Assumptions'!$D$49-'Assumptions'!$C$49)))</x:f>
        <x:v>0.038762438796165546</x:v>
      </x:c>
      <x:c r="J249" s="132" t="n">
        <x:f>IF(E249&lt;(('Assumptions'!$C$50-'Assumptions'!$B$50)/('Assumptions'!$D$50-'Assumptions'!$B$50)),'Assumptions'!$B$50+SQRT(E249*('Assumptions'!$D$50-'Assumptions'!$B$50)*('Assumptions'!$C$50-'Assumptions'!$B$50)),'Assumptions'!$D$50-SQRT((1-E249)*('Assumptions'!$D$50-'Assumptions'!$B$50)*('Assumptions'!$D$50-'Assumptions'!$C$50)))</x:f>
        <x:v>0.06395014546800078</x:v>
      </x:c>
      <x:c r="K249" s="132" t="n">
        <x:f>IF(F249&lt;(('Assumptions'!$C$51-'Assumptions'!$B$51)/('Assumptions'!$D$51-'Assumptions'!$B$51)),'Assumptions'!$B$51+SQRT(F249*('Assumptions'!$D$51-'Assumptions'!$B$51)*('Assumptions'!$C$51-'Assumptions'!$B$51)),'Assumptions'!$D$51-SQRT((1-F249)*('Assumptions'!$D$51-'Assumptions'!$B$51)*('Assumptions'!$D$51-'Assumptions'!$C$51)))</x:f>
        <x:v>0.07349357327952802</x:v>
      </x:c>
      <x:c r="L249" s="133" t="n">
        <x:f>(('Assumptions'!$B$17*(1+G249)+'Assumptions'!$B$18)*(1-H249-'Assumptions'!$B$20)-SUM('Assumptions'!$B$21:$B$25)*(1+I249))-(('Assumptions'!$B$17*(1+G249)+'Assumptions'!$B$18)*(1-H249-'Assumptions'!$B$20)*'Assumptions'!$B$26)</x:f>
        <x:v>235554.0257835658</x:v>
      </x:c>
      <x:c r="M249" s="133" t="n">
        <x:f>'Assumptions'!$B$10*'Assumptions'!$B$33</x:f>
        <x:v>1950000</x:v>
      </x:c>
      <x:c r="N249" s="133" t="n">
        <x:f>-PMT(K249/12,'Assumptions'!$B$35*12,M249)*12</x:f>
        <x:v>161209.23544596822</x:v>
      </x:c>
      <x:c r="O249" s="133" t="n">
        <x:f>(L249*(1+'Assumptions'!$B$29)^('Assumptions'!$B$14/12)/J249)*(1-'Assumptions'!$B$42)-'Debt Schedule'!$F$9</x:f>
        <x:v>4013866.939599837</x:v>
      </x:c>
      <x:c r="P249" s="132" t="n">
        <x:f>((O249+(L249-N249-'Assumptions'!$B$27-'Assumptions'!$B$28)*('Assumptions'!$B$14/12))/ABS('Monthly Cash Flow'!$S$5))^(1/('Assumptions'!$B$14/12))-1</x:f>
        <x:v>0.26453526253774684</x:v>
      </x:c>
      <x:c r="Q249" s="133" t="n">
        <x:f>-ABS('Monthly Cash Flow'!$S$5)+((L249-N249-'Assumptions'!$B$27-'Assumptions'!$B$28)*(1-(1+'Assumptions'!$B$43)^-('Assumptions'!$B$14/12))/'Assumptions'!$B$43)+(O249/(1+'Assumptions'!$B$43)^('Assumptions'!$B$14/12))</x:f>
        <x:v>1327989.347529604</x:v>
      </x:c>
    </x:row>
    <x:row r="250">
      <x:c r="A250" s="131" t="n">
        <x:f>243</x:f>
        <x:v>243</x:v>
      </x:c>
      <x:c r="B250" s="131" t="n">
        <x:f>MOD(ABS(SIN((A250+1)*12.9898+78.233)*43758.5453),1)</x:f>
        <x:v>0.021430717752082273</x:v>
      </x:c>
      <x:c r="C250" s="131" t="n">
        <x:f>MOD(ABS(SIN((A250+2)*12.9898+78.233)*43758.5453),1)</x:f>
        <x:v>0.4271391193251475</x:v>
      </x:c>
      <x:c r="D250" s="131" t="n">
        <x:f>MOD(ABS(SIN((A250+3)*12.9898+78.233)*43758.5453),1)</x:f>
        <x:v>0.18490834025942604</x:v>
      </x:c>
      <x:c r="E250" s="131" t="n">
        <x:f>MOD(ABS(SIN((A250+4)*12.9898+78.233)*43758.5453),1)</x:f>
        <x:v>0.7248875722107186</x:v>
      </x:c>
      <x:c r="F250" s="131" t="n">
        <x:f>MOD(ABS(SIN((A250+5)*12.9898+78.233)*43758.5453),1)</x:f>
        <x:v>0.22320059513003798</x:v>
      </x:c>
      <x:c r="G250" s="132" t="n">
        <x:f>IF(B250&lt;(('Assumptions'!$C$47-'Assumptions'!$B$47)/('Assumptions'!$D$47-'Assumptions'!$B$47)),'Assumptions'!$B$47+SQRT(B250*('Assumptions'!$D$47-'Assumptions'!$B$47)*('Assumptions'!$C$47-'Assumptions'!$B$47)),'Assumptions'!$D$47-SQRT((1-B250)*('Assumptions'!$D$47-'Assumptions'!$B$47)*('Assumptions'!$D$47-'Assumptions'!$C$47)))</x:f>
        <x:v>-0.07732099592023552</x:v>
      </x:c>
      <x:c r="H250" s="132" t="n">
        <x:f>IF(C250&lt;(('Assumptions'!$C$48-'Assumptions'!$B$48)/('Assumptions'!$D$48-'Assumptions'!$B$48)),'Assumptions'!$B$48+SQRT(C250*('Assumptions'!$D$48-'Assumptions'!$B$48)*('Assumptions'!$C$48-'Assumptions'!$B$48)),'Assumptions'!$D$48-SQRT((1-C250)*('Assumptions'!$D$48-'Assumptions'!$B$48)*('Assumptions'!$D$48-'Assumptions'!$C$48)))</x:f>
        <x:v>0.06899876233516276</x:v>
      </x:c>
      <x:c r="I250" s="132" t="n">
        <x:f>IF(D250&lt;(('Assumptions'!$C$49-'Assumptions'!$B$49)/('Assumptions'!$D$49-'Assumptions'!$B$49)),'Assumptions'!$B$49+SQRT(D250*('Assumptions'!$D$49-'Assumptions'!$B$49)*('Assumptions'!$C$49-'Assumptions'!$B$49)),'Assumptions'!$D$49-SQRT((1-D250)*('Assumptions'!$D$49-'Assumptions'!$B$49)*('Assumptions'!$D$49-'Assumptions'!$C$49)))</x:f>
        <x:v>0.014687918667149864</x:v>
      </x:c>
      <x:c r="J250" s="132" t="n">
        <x:f>IF(E250&lt;(('Assumptions'!$C$50-'Assumptions'!$B$50)/('Assumptions'!$D$50-'Assumptions'!$B$50)),'Assumptions'!$B$50+SQRT(E250*('Assumptions'!$D$50-'Assumptions'!$B$50)*('Assumptions'!$C$50-'Assumptions'!$B$50)),'Assumptions'!$D$50-SQRT((1-E250)*('Assumptions'!$D$50-'Assumptions'!$B$50)*('Assumptions'!$D$50-'Assumptions'!$C$50)))</x:f>
        <x:v>0.07120367290764291</x:v>
      </x:c>
      <x:c r="K250" s="132" t="n">
        <x:f>IF(F250&lt;(('Assumptions'!$C$51-'Assumptions'!$B$51)/('Assumptions'!$D$51-'Assumptions'!$B$51)),'Assumptions'!$B$51+SQRT(F250*('Assumptions'!$D$51-'Assumptions'!$B$51)*('Assumptions'!$C$51-'Assumptions'!$B$51)),'Assumptions'!$D$51-SQRT((1-F250)*('Assumptions'!$D$51-'Assumptions'!$B$51)*('Assumptions'!$D$51-'Assumptions'!$C$51)))</x:f>
        <x:v>0.06533454935913742</x:v>
      </x:c>
      <x:c r="L250" s="133" t="n">
        <x:f>(('Assumptions'!$B$17*(1+G250)+'Assumptions'!$B$18)*(1-H250-'Assumptions'!$B$20)-SUM('Assumptions'!$B$21:$B$25)*(1+I250))-(('Assumptions'!$B$17*(1+G250)+'Assumptions'!$B$18)*(1-H250-'Assumptions'!$B$20)*'Assumptions'!$B$26)</x:f>
        <x:v>181751.13086768618</x:v>
      </x:c>
      <x:c r="M250" s="133" t="n">
        <x:f>'Assumptions'!$B$10*'Assumptions'!$B$33</x:f>
        <x:v>1950000</x:v>
      </x:c>
      <x:c r="N250" s="133" t="n">
        <x:f>-PMT(K250/12,'Assumptions'!$B$35*12,M250)*12</x:f>
        <x:v>148419.13148346648</x:v>
      </x:c>
      <x:c r="O250" s="133" t="n">
        <x:f>(L250*(1+'Assumptions'!$B$29)^('Assumptions'!$B$14/12)/J250)*(1-'Assumptions'!$B$42)-'Debt Schedule'!$F$9</x:f>
        <x:v>2781561.729366617</x:v>
      </x:c>
      <x:c r="P250" s="132" t="n">
        <x:f>((O250+(L250-N250-'Assumptions'!$B$27-'Assumptions'!$B$28)*('Assumptions'!$B$14/12))/ABS('Monthly Cash Flow'!$S$5))^(1/('Assumptions'!$B$14/12))-1</x:f>
        <x:v>0.16249191947217545</x:v>
      </x:c>
      <x:c r="Q250" s="133" t="n">
        <x:f>-ABS('Monthly Cash Flow'!$S$5)+((L250-N250-'Assumptions'!$B$27-'Assumptions'!$B$28)*(1-(1+'Assumptions'!$B$43)^-('Assumptions'!$B$14/12))/'Assumptions'!$B$43)+(O250/(1+'Assumptions'!$B$43)^('Assumptions'!$B$14/12))</x:f>
        <x:v>407354.0206563235</x:v>
      </x:c>
    </x:row>
    <x:row r="251">
      <x:c r="A251" s="131" t="n">
        <x:f>244</x:f>
        <x:v>244</x:v>
      </x:c>
      <x:c r="B251" s="131" t="n">
        <x:f>MOD(ABS(SIN((A251+1)*12.9898+78.233)*43758.5453),1)</x:f>
        <x:v>0.4271391193251475</x:v>
      </x:c>
      <x:c r="C251" s="131" t="n">
        <x:f>MOD(ABS(SIN((A251+2)*12.9898+78.233)*43758.5453),1)</x:f>
        <x:v>0.18490834025942604</x:v>
      </x:c>
      <x:c r="D251" s="131" t="n">
        <x:f>MOD(ABS(SIN((A251+3)*12.9898+78.233)*43758.5453),1)</x:f>
        <x:v>0.7248875722107186</x:v>
      </x:c>
      <x:c r="E251" s="131" t="n">
        <x:f>MOD(ABS(SIN((A251+4)*12.9898+78.233)*43758.5453),1)</x:f>
        <x:v>0.22320059513003798</x:v>
      </x:c>
      <x:c r="F251" s="131" t="n">
        <x:f>MOD(ABS(SIN((A251+5)*12.9898+78.233)*43758.5453),1)</x:f>
        <x:v>0.1839813430342474</x:v>
      </x:c>
      <x:c r="G251" s="132" t="n">
        <x:f>IF(B251&lt;(('Assumptions'!$C$47-'Assumptions'!$B$47)/('Assumptions'!$D$47-'Assumptions'!$B$47)),'Assumptions'!$B$47+SQRT(B251*('Assumptions'!$D$47-'Assumptions'!$B$47)*('Assumptions'!$C$47-'Assumptions'!$B$47)),'Assumptions'!$D$47-SQRT((1-B251)*('Assumptions'!$D$47-'Assumptions'!$B$47)*('Assumptions'!$D$47-'Assumptions'!$C$47)))</x:f>
        <x:v>0.0012488956176981703</x:v>
      </x:c>
      <x:c r="H251" s="132" t="n">
        <x:f>IF(C251&lt;(('Assumptions'!$C$48-'Assumptions'!$B$48)/('Assumptions'!$D$48-'Assumptions'!$B$48)),'Assumptions'!$B$48+SQRT(C251*('Assumptions'!$D$48-'Assumptions'!$B$48)*('Assumptions'!$C$48-'Assumptions'!$B$48)),'Assumptions'!$D$48-SQRT((1-C251)*('Assumptions'!$D$48-'Assumptions'!$B$48)*('Assumptions'!$D$48-'Assumptions'!$C$48)))</x:f>
        <x:v>0.054702176480142514</x:v>
      </x:c>
      <x:c r="I251" s="132" t="n">
        <x:f>IF(D251&lt;(('Assumptions'!$C$49-'Assumptions'!$B$49)/('Assumptions'!$D$49-'Assumptions'!$B$49)),'Assumptions'!$B$49+SQRT(D251*('Assumptions'!$D$49-'Assumptions'!$B$49)*('Assumptions'!$C$49-'Assumptions'!$B$49)),'Assumptions'!$D$49-SQRT((1-D251)*('Assumptions'!$D$49-'Assumptions'!$B$49)*('Assumptions'!$D$49-'Assumptions'!$C$49)))</x:f>
        <x:v>0.07291285165315506</x:v>
      </x:c>
      <x:c r="J251" s="132" t="n">
        <x:f>IF(E251&lt;(('Assumptions'!$C$50-'Assumptions'!$B$50)/('Assumptions'!$D$50-'Assumptions'!$B$50)),'Assumptions'!$B$50+SQRT(E251*('Assumptions'!$D$50-'Assumptions'!$B$50)*('Assumptions'!$C$50-'Assumptions'!$B$50)),'Assumptions'!$D$50-SQRT((1-E251)*('Assumptions'!$D$50-'Assumptions'!$B$50)*('Assumptions'!$D$50-'Assumptions'!$C$50)))</x:f>
        <x:v>0.06458661653430314</x:v>
      </x:c>
      <x:c r="K251" s="132" t="n">
        <x:f>IF(F251&lt;(('Assumptions'!$C$51-'Assumptions'!$B$51)/('Assumptions'!$D$51-'Assumptions'!$B$51)),'Assumptions'!$B$51+SQRT(F251*('Assumptions'!$D$51-'Assumptions'!$B$51)*('Assumptions'!$C$51-'Assumptions'!$B$51)),'Assumptions'!$D$51-SQRT((1-F251)*('Assumptions'!$D$51-'Assumptions'!$B$51)*('Assumptions'!$D$51-'Assumptions'!$C$51)))</x:f>
        <x:v>0.06461300705288685</x:v>
      </x:c>
      <x:c r="L251" s="133" t="n">
        <x:f>(('Assumptions'!$B$17*(1+G251)+'Assumptions'!$B$18)*(1-H251-'Assumptions'!$B$20)-SUM('Assumptions'!$B$21:$B$25)*(1+I251))-(('Assumptions'!$B$17*(1+G251)+'Assumptions'!$B$18)*(1-H251-'Assumptions'!$B$20)*'Assumptions'!$B$26)</x:f>
        <x:v>204617.54657099777</x:v>
      </x:c>
      <x:c r="M251" s="133" t="n">
        <x:f>'Assumptions'!$B$10*'Assumptions'!$B$33</x:f>
        <x:v>1950000</x:v>
      </x:c>
      <x:c r="N251" s="133" t="n">
        <x:f>-PMT(K251/12,'Assumptions'!$B$35*12,M251)*12</x:f>
        <x:v>147308.8763059345</x:v>
      </x:c>
      <x:c r="O251" s="133" t="n">
        <x:f>(L251*(1+'Assumptions'!$B$29)^('Assumptions'!$B$14/12)/J251)*(1-'Assumptions'!$B$42)-'Debt Schedule'!$F$9</x:f>
        <x:v>3452346.009718692</x:v>
      </x:c>
      <x:c r="P251" s="132" t="n">
        <x:f>((O251+(L251-N251-'Assumptions'!$B$27-'Assumptions'!$B$28)*('Assumptions'!$B$14/12))/ABS('Monthly Cash Flow'!$S$5))^(1/('Assumptions'!$B$14/12))-1</x:f>
        <x:v>0.22279311876587315</x:v>
      </x:c>
      <x:c r="Q251" s="133" t="n">
        <x:f>-ABS('Monthly Cash Flow'!$S$5)+((L251-N251-'Assumptions'!$B$27-'Assumptions'!$B$28)*(1-(1+'Assumptions'!$B$43)^-('Assumptions'!$B$14/12))/'Assumptions'!$B$43)+(O251/(1+'Assumptions'!$B$43)^('Assumptions'!$B$14/12))</x:f>
        <x:v>914748.7302493795</x:v>
      </x:c>
    </x:row>
    <x:row r="252">
      <x:c r="A252" s="131" t="n">
        <x:f>245</x:f>
        <x:v>245</x:v>
      </x:c>
      <x:c r="B252" s="131" t="n">
        <x:f>MOD(ABS(SIN((A252+1)*12.9898+78.233)*43758.5453),1)</x:f>
        <x:v>0.18490834025942604</x:v>
      </x:c>
      <x:c r="C252" s="131" t="n">
        <x:f>MOD(ABS(SIN((A252+2)*12.9898+78.233)*43758.5453),1)</x:f>
        <x:v>0.7248875722107186</x:v>
      </x:c>
      <x:c r="D252" s="131" t="n">
        <x:f>MOD(ABS(SIN((A252+3)*12.9898+78.233)*43758.5453),1)</x:f>
        <x:v>0.22320059513003798</x:v>
      </x:c>
      <x:c r="E252" s="131" t="n">
        <x:f>MOD(ABS(SIN((A252+4)*12.9898+78.233)*43758.5453),1)</x:f>
        <x:v>0.1839813430342474</x:v>
      </x:c>
      <x:c r="F252" s="131" t="n">
        <x:f>MOD(ABS(SIN((A252+5)*12.9898+78.233)*43758.5453),1)</x:f>
        <x:v>0.26047706596000353</x:v>
      </x:c>
      <x:c r="G252" s="132" t="n">
        <x:f>IF(B252&lt;(('Assumptions'!$C$47-'Assumptions'!$B$47)/('Assumptions'!$D$47-'Assumptions'!$B$47)),'Assumptions'!$B$47+SQRT(B252*('Assumptions'!$D$47-'Assumptions'!$B$47)*('Assumptions'!$C$47-'Assumptions'!$B$47)),'Assumptions'!$D$47-SQRT((1-B252)*('Assumptions'!$D$47-'Assumptions'!$B$47)*('Assumptions'!$D$47-'Assumptions'!$C$47)))</x:f>
        <x:v>-0.03338318405818075</x:v>
      </x:c>
      <x:c r="H252" s="132" t="n">
        <x:f>IF(C252&lt;(('Assumptions'!$C$48-'Assumptions'!$B$48)/('Assumptions'!$D$48-'Assumptions'!$B$48)),'Assumptions'!$B$48+SQRT(C252*('Assumptions'!$D$48-'Assumptions'!$B$48)*('Assumptions'!$C$48-'Assumptions'!$B$48)),'Assumptions'!$D$48-SQRT((1-C252)*('Assumptions'!$D$48-'Assumptions'!$B$48)*('Assumptions'!$D$48-'Assumptions'!$C$48)))</x:f>
        <x:v>0.09079644967539766</x:v>
      </x:c>
      <x:c r="I252" s="132" t="n">
        <x:f>IF(D252&lt;(('Assumptions'!$C$49-'Assumptions'!$B$49)/('Assumptions'!$D$49-'Assumptions'!$B$49)),'Assumptions'!$B$49+SQRT(D252*('Assumptions'!$D$49-'Assumptions'!$B$49)*('Assumptions'!$C$49-'Assumptions'!$B$49)),'Assumptions'!$D$49-SQRT((1-D252)*('Assumptions'!$D$49-'Assumptions'!$B$49)*('Assumptions'!$D$49-'Assumptions'!$C$49)))</x:f>
        <x:v>0.019097519564682794</x:v>
      </x:c>
      <x:c r="J252" s="132" t="n">
        <x:f>IF(E252&lt;(('Assumptions'!$C$50-'Assumptions'!$B$50)/('Assumptions'!$D$50-'Assumptions'!$B$50)),'Assumptions'!$B$50+SQRT(E252*('Assumptions'!$D$50-'Assumptions'!$B$50)*('Assumptions'!$C$50-'Assumptions'!$B$50)),'Assumptions'!$D$50-SQRT((1-E252)*('Assumptions'!$D$50-'Assumptions'!$B$50)*('Assumptions'!$D$50-'Assumptions'!$C$50)))</x:f>
        <x:v>0.06393395696152109</x:v>
      </x:c>
      <x:c r="K252" s="132" t="n">
        <x:f>IF(F252&lt;(('Assumptions'!$C$51-'Assumptions'!$B$51)/('Assumptions'!$D$51-'Assumptions'!$B$51)),'Assumptions'!$B$51+SQRT(F252*('Assumptions'!$D$51-'Assumptions'!$B$51)*('Assumptions'!$C$51-'Assumptions'!$B$51)),'Assumptions'!$D$51-SQRT((1-F252)*('Assumptions'!$D$51-'Assumptions'!$B$51)*('Assumptions'!$D$51-'Assumptions'!$C$51)))</x:f>
        <x:v>0.06596352132028986</x:v>
      </x:c>
      <x:c r="L252" s="133" t="n">
        <x:f>(('Assumptions'!$B$17*(1+G252)+'Assumptions'!$B$18)*(1-H252-'Assumptions'!$B$20)-SUM('Assumptions'!$B$21:$B$25)*(1+I252))-(('Assumptions'!$B$17*(1+G252)+'Assumptions'!$B$18)*(1-H252-'Assumptions'!$B$20)*'Assumptions'!$B$26)</x:f>
        <x:v>187522.38012900765</x:v>
      </x:c>
      <x:c r="M252" s="133" t="n">
        <x:f>'Assumptions'!$B$10*'Assumptions'!$B$33</x:f>
        <x:v>1950000</x:v>
      </x:c>
      <x:c r="N252" s="133" t="n">
        <x:f>-PMT(K252/12,'Assumptions'!$B$35*12,M252)*12</x:f>
        <x:v>149389.78722731184</x:v>
      </x:c>
      <x:c r="O252" s="133" t="n">
        <x:f>(L252*(1+'Assumptions'!$B$29)^('Assumptions'!$B$14/12)/J252)*(1-'Assumptions'!$B$42)-'Debt Schedule'!$F$9</x:f>
        <x:v>3196211.423915143</x:v>
      </x:c>
      <x:c r="P252" s="132" t="n">
        <x:f>((O252+(L252-N252-'Assumptions'!$B$27-'Assumptions'!$B$28)*('Assumptions'!$B$14/12))/ABS('Monthly Cash Flow'!$S$5))^(1/('Assumptions'!$B$14/12))-1</x:f>
        <x:v>0.19743673755411795</x:v>
      </x:c>
      <x:c r="Q252" s="133" t="n">
        <x:f>-ABS('Monthly Cash Flow'!$S$5)+((L252-N252-'Assumptions'!$B$27-'Assumptions'!$B$28)*(1-(1+'Assumptions'!$B$43)^-('Assumptions'!$B$14/12))/'Assumptions'!$B$43)+(O252/(1+'Assumptions'!$B$43)^('Assumptions'!$B$14/12))</x:f>
        <x:v>683016.8839928254</x:v>
      </x:c>
    </x:row>
    <x:row r="253">
      <x:c r="A253" s="131" t="n">
        <x:f>246</x:f>
        <x:v>246</x:v>
      </x:c>
      <x:c r="B253" s="131" t="n">
        <x:f>MOD(ABS(SIN((A253+1)*12.9898+78.233)*43758.5453),1)</x:f>
        <x:v>0.7248875722107186</x:v>
      </x:c>
      <x:c r="C253" s="131" t="n">
        <x:f>MOD(ABS(SIN((A253+2)*12.9898+78.233)*43758.5453),1)</x:f>
        <x:v>0.22320059513003798</x:v>
      </x:c>
      <x:c r="D253" s="131" t="n">
        <x:f>MOD(ABS(SIN((A253+3)*12.9898+78.233)*43758.5453),1)</x:f>
        <x:v>0.1839813430342474</x:v>
      </x:c>
      <x:c r="E253" s="131" t="n">
        <x:f>MOD(ABS(SIN((A253+4)*12.9898+78.233)*43758.5453),1)</x:f>
        <x:v>0.26047706596000353</x:v>
      </x:c>
      <x:c r="F253" s="131" t="n">
        <x:f>MOD(ABS(SIN((A253+5)*12.9898+78.233)*43758.5453),1)</x:f>
        <x:v>0.07084433433919912</x:v>
      </x:c>
      <x:c r="G253" s="132" t="n">
        <x:f>IF(B253&lt;(('Assumptions'!$C$47-'Assumptions'!$B$47)/('Assumptions'!$D$47-'Assumptions'!$B$47)),'Assumptions'!$B$47+SQRT(B253*('Assumptions'!$D$47-'Assumptions'!$B$47)*('Assumptions'!$C$47-'Assumptions'!$B$47)),'Assumptions'!$D$47-SQRT((1-B253)*('Assumptions'!$D$47-'Assumptions'!$B$47)*('Assumptions'!$D$47-'Assumptions'!$C$47)))</x:f>
        <x:v>0.03365394627689977</x:v>
      </x:c>
      <x:c r="H253" s="132" t="n">
        <x:f>IF(C253&lt;(('Assumptions'!$C$48-'Assumptions'!$B$48)/('Assumptions'!$D$48-'Assumptions'!$B$48)),'Assumptions'!$B$48+SQRT(C253*('Assumptions'!$D$48-'Assumptions'!$B$48)*('Assumptions'!$C$48-'Assumptions'!$B$48)),'Assumptions'!$D$48-SQRT((1-C253)*('Assumptions'!$D$48-'Assumptions'!$B$48)*('Assumptions'!$D$48-'Assumptions'!$C$48)))</x:f>
        <x:v>0.057139675088864375</x:v>
      </x:c>
      <x:c r="I253" s="132" t="n">
        <x:f>IF(D253&lt;(('Assumptions'!$C$49-'Assumptions'!$B$49)/('Assumptions'!$D$49-'Assumptions'!$B$49)),'Assumptions'!$B$49+SQRT(D253*('Assumptions'!$D$49-'Assumptions'!$B$49)*('Assumptions'!$C$49-'Assumptions'!$B$49)),'Assumptions'!$D$49-SQRT((1-D253)*('Assumptions'!$D$49-'Assumptions'!$B$49)*('Assumptions'!$D$49-'Assumptions'!$C$49)))</x:f>
        <x:v>0.014575761404263997</x:v>
      </x:c>
      <x:c r="J253" s="132" t="n">
        <x:f>IF(E253&lt;(('Assumptions'!$C$50-'Assumptions'!$B$50)/('Assumptions'!$D$50-'Assumptions'!$B$50)),'Assumptions'!$B$50+SQRT(E253*('Assumptions'!$D$50-'Assumptions'!$B$50)*('Assumptions'!$C$50-'Assumptions'!$B$50)),'Assumptions'!$D$50-SQRT((1-E253)*('Assumptions'!$D$50-'Assumptions'!$B$50)*('Assumptions'!$D$50-'Assumptions'!$C$50)))</x:f>
        <x:v>0.0651555430794295</x:v>
      </x:c>
      <x:c r="K253" s="132" t="n">
        <x:f>IF(F253&lt;(('Assumptions'!$C$51-'Assumptions'!$B$51)/('Assumptions'!$D$51-'Assumptions'!$B$51)),'Assumptions'!$B$51+SQRT(F253*('Assumptions'!$D$51-'Assumptions'!$B$51)*('Assumptions'!$C$51-'Assumptions'!$B$51)),'Assumptions'!$D$51-SQRT((1-F253)*('Assumptions'!$D$51-'Assumptions'!$B$51)*('Assumptions'!$D$51-'Assumptions'!$C$51)))</x:f>
        <x:v>0.061913863607235706</x:v>
      </x:c>
      <x:c r="L253" s="133" t="n">
        <x:f>(('Assumptions'!$B$17*(1+G253)+'Assumptions'!$B$18)*(1-H253-'Assumptions'!$B$20)-SUM('Assumptions'!$B$21:$B$25)*(1+I253))-(('Assumptions'!$B$17*(1+G253)+'Assumptions'!$B$18)*(1-H253-'Assumptions'!$B$20)*'Assumptions'!$B$26)</x:f>
        <x:v>221529.7242097223</x:v>
      </x:c>
      <x:c r="M253" s="133" t="n">
        <x:f>'Assumptions'!$B$10*'Assumptions'!$B$33</x:f>
        <x:v>1950000</x:v>
      </x:c>
      <x:c r="N253" s="133" t="n">
        <x:f>-PMT(K253/12,'Assumptions'!$B$35*12,M253)*12</x:f>
        <x:v>143186.97361270315</x:v>
      </x:c>
      <x:c r="O253" s="133" t="n">
        <x:f>(L253*(1+'Assumptions'!$B$29)^('Assumptions'!$B$14/12)/J253)*(1-'Assumptions'!$B$42)-'Debt Schedule'!$F$9</x:f>
        <x:v>3705054.621539719</x:v>
      </x:c>
      <x:c r="P253" s="132" t="n">
        <x:f>((O253+(L253-N253-'Assumptions'!$B$27-'Assumptions'!$B$28)*('Assumptions'!$B$14/12))/ABS('Monthly Cash Flow'!$S$5))^(1/('Assumptions'!$B$14/12))-1</x:f>
        <x:v>0.24658101207040262</x:v>
      </x:c>
      <x:c r="Q253" s="133" t="n">
        <x:f>-ABS('Monthly Cash Flow'!$S$5)+((L253-N253-'Assumptions'!$B$27-'Assumptions'!$B$28)*(1-(1+'Assumptions'!$B$43)^-('Assumptions'!$B$14/12))/'Assumptions'!$B$43)+(O253/(1+'Assumptions'!$B$43)^('Assumptions'!$B$14/12))</x:f>
        <x:v>1151396.6092787872</x:v>
      </x:c>
    </x:row>
    <x:row r="254">
      <x:c r="A254" s="131" t="n">
        <x:f>247</x:f>
        <x:v>247</x:v>
      </x:c>
      <x:c r="B254" s="131" t="n">
        <x:f>MOD(ABS(SIN((A254+1)*12.9898+78.233)*43758.5453),1)</x:f>
        <x:v>0.22320059513003798</x:v>
      </x:c>
      <x:c r="C254" s="131" t="n">
        <x:f>MOD(ABS(SIN((A254+2)*12.9898+78.233)*43758.5453),1)</x:f>
        <x:v>0.1839813430342474</x:v>
      </x:c>
      <x:c r="D254" s="131" t="n">
        <x:f>MOD(ABS(SIN((A254+3)*12.9898+78.233)*43758.5453),1)</x:f>
        <x:v>0.26047706596000353</x:v>
      </x:c>
      <x:c r="E254" s="131" t="n">
        <x:f>MOD(ABS(SIN((A254+4)*12.9898+78.233)*43758.5453),1)</x:f>
        <x:v>0.07084433433919912</x:v>
      </x:c>
      <x:c r="F254" s="131" t="n">
        <x:f>MOD(ABS(SIN((A254+5)*12.9898+78.233)*43758.5453),1)</x:f>
        <x:v>0.5104215402025147</x:v>
      </x:c>
      <x:c r="G254" s="132" t="n">
        <x:f>IF(B254&lt;(('Assumptions'!$C$47-'Assumptions'!$B$47)/('Assumptions'!$D$47-'Assumptions'!$B$47)),'Assumptions'!$B$47+SQRT(B254*('Assumptions'!$D$47-'Assumptions'!$B$47)*('Assumptions'!$C$47-'Assumptions'!$B$47)),'Assumptions'!$D$47-SQRT((1-B254)*('Assumptions'!$D$47-'Assumptions'!$B$47)*('Assumptions'!$D$47-'Assumptions'!$C$47)))</x:f>
        <x:v>-0.026809739151162262</x:v>
      </x:c>
      <x:c r="H254" s="132" t="n">
        <x:f>IF(C254&lt;(('Assumptions'!$C$48-'Assumptions'!$B$48)/('Assumptions'!$D$48-'Assumptions'!$B$48)),'Assumptions'!$B$48+SQRT(C254*('Assumptions'!$D$48-'Assumptions'!$B$48)*('Assumptions'!$C$48-'Assumptions'!$B$48)),'Assumptions'!$D$48-SQRT((1-C254)*('Assumptions'!$D$48-'Assumptions'!$B$48)*('Assumptions'!$D$48-'Assumptions'!$C$48)))</x:f>
        <x:v>0.05464017922039157</x:v>
      </x:c>
      <x:c r="I254" s="132" t="n">
        <x:f>IF(D254&lt;(('Assumptions'!$C$49-'Assumptions'!$B$49)/('Assumptions'!$D$49-'Assumptions'!$B$49)),'Assumptions'!$B$49+SQRT(D254*('Assumptions'!$D$49-'Assumptions'!$B$49)*('Assumptions'!$C$49-'Assumptions'!$B$49)),'Assumptions'!$D$49-SQRT((1-D254)*('Assumptions'!$D$49-'Assumptions'!$B$49)*('Assumptions'!$D$49-'Assumptions'!$C$49)))</x:f>
        <x:v>0.023039158292416727</x:v>
      </x:c>
      <x:c r="J254" s="132" t="n">
        <x:f>IF(E254&lt;(('Assumptions'!$C$50-'Assumptions'!$B$50)/('Assumptions'!$D$50-'Assumptions'!$B$50)),'Assumptions'!$B$50+SQRT(E254*('Assumptions'!$D$50-'Assumptions'!$B$50)*('Assumptions'!$C$50-'Assumptions'!$B$50)),'Assumptions'!$D$50-SQRT((1-E254)*('Assumptions'!$D$50-'Assumptions'!$B$50)*('Assumptions'!$D$50-'Assumptions'!$C$50)))</x:f>
        <x:v>0.061492489853001486</x:v>
      </x:c>
      <x:c r="K254" s="132" t="n">
        <x:f>IF(F254&lt;(('Assumptions'!$C$51-'Assumptions'!$B$51)/('Assumptions'!$D$51-'Assumptions'!$B$51)),'Assumptions'!$B$51+SQRT(F254*('Assumptions'!$D$51-'Assumptions'!$B$51)*('Assumptions'!$C$51-'Assumptions'!$B$51)),'Assumptions'!$D$51-SQRT((1-F254)*('Assumptions'!$D$51-'Assumptions'!$B$51)*('Assumptions'!$D$51-'Assumptions'!$C$51)))</x:f>
        <x:v>0.0696504191009155</x:v>
      </x:c>
      <x:c r="L254" s="133" t="n">
        <x:f>(('Assumptions'!$B$17*(1+G254)+'Assumptions'!$B$18)*(1-H254-'Assumptions'!$B$20)-SUM('Assumptions'!$B$21:$B$25)*(1+I254))-(('Assumptions'!$B$17*(1+G254)+'Assumptions'!$B$18)*(1-H254-'Assumptions'!$B$20)*'Assumptions'!$B$26)</x:f>
        <x:v>201853.91204936043</x:v>
      </x:c>
      <x:c r="M254" s="133" t="n">
        <x:f>'Assumptions'!$B$10*'Assumptions'!$B$33</x:f>
        <x:v>1950000</x:v>
      </x:c>
      <x:c r="N254" s="133" t="n">
        <x:f>-PMT(K254/12,'Assumptions'!$B$35*12,M254)*12</x:f>
        <x:v>155131.7929034518</x:v>
      </x:c>
      <x:c r="O254" s="133" t="n">
        <x:f>(L254*(1+'Assumptions'!$B$29)^('Assumptions'!$B$14/12)/J254)*(1-'Assumptions'!$B$42)-'Debt Schedule'!$F$9</x:f>
        <x:v>3577083.43146603</x:v>
      </x:c>
      <x:c r="P254" s="132" t="n">
        <x:f>((O254+(L254-N254-'Assumptions'!$B$27-'Assumptions'!$B$28)*('Assumptions'!$B$14/12))/ABS('Monthly Cash Flow'!$S$5))^(1/('Assumptions'!$B$14/12))-1</x:f>
        <x:v>0.2277154651727682</x:v>
      </x:c>
      <x:c r="Q254" s="133" t="n">
        <x:f>-ABS('Monthly Cash Flow'!$S$5)+((L254-N254-'Assumptions'!$B$27-'Assumptions'!$B$28)*(1-(1+'Assumptions'!$B$43)^-('Assumptions'!$B$14/12))/'Assumptions'!$B$43)+(O254/(1+'Assumptions'!$B$43)^('Assumptions'!$B$14/12))</x:f>
        <x:v>952069.497279567</x:v>
      </x:c>
    </x:row>
    <x:row r="255">
      <x:c r="A255" s="131" t="n">
        <x:f>248</x:f>
        <x:v>248</x:v>
      </x:c>
      <x:c r="B255" s="131" t="n">
        <x:f>MOD(ABS(SIN((A255+1)*12.9898+78.233)*43758.5453),1)</x:f>
        <x:v>0.1839813430342474</x:v>
      </x:c>
      <x:c r="C255" s="131" t="n">
        <x:f>MOD(ABS(SIN((A255+2)*12.9898+78.233)*43758.5453),1)</x:f>
        <x:v>0.26047706596000353</x:v>
      </x:c>
      <x:c r="D255" s="131" t="n">
        <x:f>MOD(ABS(SIN((A255+3)*12.9898+78.233)*43758.5453),1)</x:f>
        <x:v>0.07084433433919912</x:v>
      </x:c>
      <x:c r="E255" s="131" t="n">
        <x:f>MOD(ABS(SIN((A255+4)*12.9898+78.233)*43758.5453),1)</x:f>
        <x:v>0.5104215402025147</x:v>
      </x:c>
      <x:c r="F255" s="131" t="n">
        <x:f>MOD(ABS(SIN((A255+5)*12.9898+78.233)*43758.5453),1)</x:f>
        <x:v>0.7800511609386263</x:v>
      </x:c>
      <x:c r="G255" s="132" t="n">
        <x:f>IF(B255&lt;(('Assumptions'!$C$47-'Assumptions'!$B$47)/('Assumptions'!$D$47-'Assumptions'!$B$47)),'Assumptions'!$B$47+SQRT(B255*('Assumptions'!$D$47-'Assumptions'!$B$47)*('Assumptions'!$C$47-'Assumptions'!$B$47)),'Assumptions'!$D$47-SQRT((1-B255)*('Assumptions'!$D$47-'Assumptions'!$B$47)*('Assumptions'!$D$47-'Assumptions'!$C$47)))</x:f>
        <x:v>-0.03355037823416948</x:v>
      </x:c>
      <x:c r="H255" s="132" t="n">
        <x:f>IF(C255&lt;(('Assumptions'!$C$48-'Assumptions'!$B$48)/('Assumptions'!$D$48-'Assumptions'!$B$48)),'Assumptions'!$B$48+SQRT(C255*('Assumptions'!$D$48-'Assumptions'!$B$48)*('Assumptions'!$C$48-'Assumptions'!$B$48)),'Assumptions'!$D$48-SQRT((1-C255)*('Assumptions'!$D$48-'Assumptions'!$B$48)*('Assumptions'!$D$48-'Assumptions'!$C$48)))</x:f>
        <x:v>0.059318497875368914</x:v>
      </x:c>
      <x:c r="I255" s="132" t="n">
        <x:f>IF(D255&lt;(('Assumptions'!$C$49-'Assumptions'!$B$49)/('Assumptions'!$D$49-'Assumptions'!$B$49)),'Assumptions'!$B$49+SQRT(D255*('Assumptions'!$D$49-'Assumptions'!$B$49)*('Assumptions'!$C$49-'Assumptions'!$B$49)),'Assumptions'!$D$49-SQRT((1-D255)*('Assumptions'!$D$49-'Assumptions'!$B$49)*('Assumptions'!$D$49-'Assumptions'!$C$49)))</x:f>
        <x:v>-0.0023392189035929337</x:v>
      </x:c>
      <x:c r="J255" s="132" t="n">
        <x:f>IF(E255&lt;(('Assumptions'!$C$50-'Assumptions'!$B$50)/('Assumptions'!$D$50-'Assumptions'!$B$50)),'Assumptions'!$B$50+SQRT(E255*('Assumptions'!$D$50-'Assumptions'!$B$50)*('Assumptions'!$C$50-'Assumptions'!$B$50)),'Assumptions'!$D$50-SQRT((1-E255)*('Assumptions'!$D$50-'Assumptions'!$B$50)*('Assumptions'!$D$50-'Assumptions'!$C$50)))</x:f>
        <x:v>0.06826569380755544</x:v>
      </x:c>
      <x:c r="K255" s="132" t="n">
        <x:f>IF(F255&lt;(('Assumptions'!$C$51-'Assumptions'!$B$51)/('Assumptions'!$D$51-'Assumptions'!$B$51)),'Assumptions'!$B$51+SQRT(F255*('Assumptions'!$D$51-'Assumptions'!$B$51)*('Assumptions'!$C$51-'Assumptions'!$B$51)),'Assumptions'!$D$51-SQRT((1-F255)*('Assumptions'!$D$51-'Assumptions'!$B$51)*('Assumptions'!$D$51-'Assumptions'!$C$51)))</x:f>
        <x:v>0.0747116386728359</x:v>
      </x:c>
      <x:c r="L255" s="133" t="n">
        <x:f>(('Assumptions'!$B$17*(1+G255)+'Assumptions'!$B$18)*(1-H255-'Assumptions'!$B$20)-SUM('Assumptions'!$B$21:$B$25)*(1+I255))-(('Assumptions'!$B$17*(1+G255)+'Assumptions'!$B$18)*(1-H255-'Assumptions'!$B$20)*'Assumptions'!$B$26)</x:f>
        <x:v>201229.18308091167</x:v>
      </x:c>
      <x:c r="M255" s="133" t="n">
        <x:f>'Assumptions'!$B$10*'Assumptions'!$B$33</x:f>
        <x:v>1950000</x:v>
      </x:c>
      <x:c r="N255" s="133" t="n">
        <x:f>-PMT(K255/12,'Assumptions'!$B$35*12,M255)*12</x:f>
        <x:v>163154.39644610285</x:v>
      </x:c>
      <x:c r="O255" s="133" t="n">
        <x:f>(L255*(1+'Assumptions'!$B$29)^('Assumptions'!$B$14/12)/J255)*(1-'Assumptions'!$B$42)-'Debt Schedule'!$F$9</x:f>
        <x:v>3212198.927621583</x:v>
      </x:c>
      <x:c r="P255" s="132" t="n">
        <x:f>((O255+(L255-N255-'Assumptions'!$B$27-'Assumptions'!$B$28)*('Assumptions'!$B$14/12))/ABS('Monthly Cash Flow'!$S$5))^(1/('Assumptions'!$B$14/12))-1</x:f>
        <x:v>0.19861412926038247</x:v>
      </x:c>
      <x:c r="Q255" s="133" t="n">
        <x:f>-ABS('Monthly Cash Flow'!$S$5)+((L255-N255-'Assumptions'!$B$27-'Assumptions'!$B$28)*(1-(1+'Assumptions'!$B$43)^-('Assumptions'!$B$14/12))/'Assumptions'!$B$43)+(O255/(1+'Assumptions'!$B$43)^('Assumptions'!$B$14/12))</x:f>
        <x:v>692724.7347149369</x:v>
      </x:c>
    </x:row>
    <x:row r="256">
      <x:c r="A256" s="131" t="n">
        <x:f>249</x:f>
        <x:v>249</x:v>
      </x:c>
      <x:c r="B256" s="131" t="n">
        <x:f>MOD(ABS(SIN((A256+1)*12.9898+78.233)*43758.5453),1)</x:f>
        <x:v>0.26047706596000353</x:v>
      </x:c>
      <x:c r="C256" s="131" t="n">
        <x:f>MOD(ABS(SIN((A256+2)*12.9898+78.233)*43758.5453),1)</x:f>
        <x:v>0.07084433433919912</x:v>
      </x:c>
      <x:c r="D256" s="131" t="n">
        <x:f>MOD(ABS(SIN((A256+3)*12.9898+78.233)*43758.5453),1)</x:f>
        <x:v>0.5104215402025147</x:v>
      </x:c>
      <x:c r="E256" s="131" t="n">
        <x:f>MOD(ABS(SIN((A256+4)*12.9898+78.233)*43758.5453),1)</x:f>
        <x:v>0.7800511609386263</x:v>
      </x:c>
      <x:c r="F256" s="131" t="n">
        <x:f>MOD(ABS(SIN((A256+5)*12.9898+78.233)*43758.5453),1)</x:f>
        <x:v>0.5335336038224341</x:v>
      </x:c>
      <x:c r="G256" s="132" t="n">
        <x:f>IF(B256&lt;(('Assumptions'!$C$47-'Assumptions'!$B$47)/('Assumptions'!$D$47-'Assumptions'!$B$47)),'Assumptions'!$B$47+SQRT(B256*('Assumptions'!$D$47-'Assumptions'!$B$47)*('Assumptions'!$C$47-'Assumptions'!$B$47)),'Assumptions'!$D$47-SQRT((1-B256)*('Assumptions'!$D$47-'Assumptions'!$B$47)*('Assumptions'!$D$47-'Assumptions'!$C$47)))</x:f>
        <x:v>-0.02093389105918969</x:v>
      </x:c>
      <x:c r="H256" s="132" t="n">
        <x:f>IF(C256&lt;(('Assumptions'!$C$48-'Assumptions'!$B$48)/('Assumptions'!$D$48-'Assumptions'!$B$48)),'Assumptions'!$B$48+SQRT(C256*('Assumptions'!$D$48-'Assumptions'!$B$48)*('Assumptions'!$C$48-'Assumptions'!$B$48)),'Assumptions'!$D$48-SQRT((1-C256)*('Assumptions'!$D$48-'Assumptions'!$B$48)*('Assumptions'!$D$48-'Assumptions'!$C$48)))</x:f>
        <x:v>0.04529007205082295</x:v>
      </x:c>
      <x:c r="I256" s="132" t="n">
        <x:f>IF(D256&lt;(('Assumptions'!$C$49-'Assumptions'!$B$49)/('Assumptions'!$D$49-'Assumptions'!$B$49)),'Assumptions'!$B$49+SQRT(D256*('Assumptions'!$D$49-'Assumptions'!$B$49)*('Assumptions'!$C$49-'Assumptions'!$B$49)),'Assumptions'!$D$49-SQRT((1-D256)*('Assumptions'!$D$49-'Assumptions'!$B$49)*('Assumptions'!$D$49-'Assumptions'!$C$49)))</x:f>
        <x:v>0.04716569282760892</x:v>
      </x:c>
      <x:c r="J256" s="132" t="n">
        <x:f>IF(E256&lt;(('Assumptions'!$C$50-'Assumptions'!$B$50)/('Assumptions'!$D$50-'Assumptions'!$B$50)),'Assumptions'!$B$50+SQRT(E256*('Assumptions'!$D$50-'Assumptions'!$B$50)*('Assumptions'!$C$50-'Assumptions'!$B$50)),'Assumptions'!$D$50-SQRT((1-E256)*('Assumptions'!$D$50-'Assumptions'!$B$50)*('Assumptions'!$D$50-'Assumptions'!$C$50)))</x:f>
        <x:v>0.072134848317673</x:v>
      </x:c>
      <x:c r="K256" s="132" t="n">
        <x:f>IF(F256&lt;(('Assumptions'!$C$51-'Assumptions'!$B$51)/('Assumptions'!$D$51-'Assumptions'!$B$51)),'Assumptions'!$B$51+SQRT(F256*('Assumptions'!$D$51-'Assumptions'!$B$51)*('Assumptions'!$C$51-'Assumptions'!$B$51)),'Assumptions'!$D$51-SQRT((1-F256)*('Assumptions'!$D$51-'Assumptions'!$B$51)*('Assumptions'!$D$51-'Assumptions'!$C$51)))</x:f>
        <x:v>0.07001711132122869</x:v>
      </x:c>
      <x:c r="L256" s="133" t="n">
        <x:f>(('Assumptions'!$B$17*(1+G256)+'Assumptions'!$B$18)*(1-H256-'Assumptions'!$B$20)-SUM('Assumptions'!$B$21:$B$25)*(1+I256))-(('Assumptions'!$B$17*(1+G256)+'Assumptions'!$B$18)*(1-H256-'Assumptions'!$B$20)*'Assumptions'!$B$26)</x:f>
        <x:v>204038.71860868318</x:v>
      </x:c>
      <x:c r="M256" s="133" t="n">
        <x:f>'Assumptions'!$B$10*'Assumptions'!$B$33</x:f>
        <x:v>1950000</x:v>
      </x:c>
      <x:c r="N256" s="133" t="n">
        <x:f>-PMT(K256/12,'Assumptions'!$B$35*12,M256)*12</x:f>
        <x:v>155707.6758593502</x:v>
      </x:c>
      <x:c r="O256" s="133" t="n">
        <x:f>(L256*(1+'Assumptions'!$B$29)^('Assumptions'!$B$14/12)/J256)*(1-'Assumptions'!$B$42)-'Debt Schedule'!$F$9</x:f>
        <x:v>3082346.383527069</x:v>
      </x:c>
      <x:c r="P256" s="132" t="n">
        <x:f>((O256+(L256-N256-'Assumptions'!$B$27-'Assumptions'!$B$28)*('Assumptions'!$B$14/12))/ABS('Monthly Cash Flow'!$S$5))^(1/('Assumptions'!$B$14/12))-1</x:f>
        <x:v>0.192674237969354</x:v>
      </x:c>
      <x:c r="Q256" s="133" t="n">
        <x:f>-ABS('Monthly Cash Flow'!$S$5)+((L256-N256-'Assumptions'!$B$27-'Assumptions'!$B$28)*(1-(1+'Assumptions'!$B$43)^-('Assumptions'!$B$14/12))/'Assumptions'!$B$43)+(O256/(1+'Assumptions'!$B$43)^('Assumptions'!$B$14/12))</x:f>
        <x:v>650975.8012157769</x:v>
      </x:c>
    </x:row>
    <x:row r="257">
      <x:c r="A257" s="131" t="n">
        <x:f>250</x:f>
        <x:v>250</x:v>
      </x:c>
      <x:c r="B257" s="131" t="n">
        <x:f>MOD(ABS(SIN((A257+1)*12.9898+78.233)*43758.5453),1)</x:f>
        <x:v>0.07084433433919912</x:v>
      </x:c>
      <x:c r="C257" s="131" t="n">
        <x:f>MOD(ABS(SIN((A257+2)*12.9898+78.233)*43758.5453),1)</x:f>
        <x:v>0.5104215402025147</x:v>
      </x:c>
      <x:c r="D257" s="131" t="n">
        <x:f>MOD(ABS(SIN((A257+3)*12.9898+78.233)*43758.5453),1)</x:f>
        <x:v>0.7800511609386263</x:v>
      </x:c>
      <x:c r="E257" s="131" t="n">
        <x:f>MOD(ABS(SIN((A257+4)*12.9898+78.233)*43758.5453),1)</x:f>
        <x:v>0.5335336038224341</x:v>
      </x:c>
      <x:c r="F257" s="131" t="n">
        <x:f>MOD(ABS(SIN((A257+5)*12.9898+78.233)*43758.5453),1)</x:f>
        <x:v>0.5859429852571338</x:v>
      </x:c>
      <x:c r="G257" s="132" t="n">
        <x:f>IF(B257&lt;(('Assumptions'!$C$47-'Assumptions'!$B$47)/('Assumptions'!$D$47-'Assumptions'!$B$47)),'Assumptions'!$B$47+SQRT(B257*('Assumptions'!$D$47-'Assumptions'!$B$47)*('Assumptions'!$C$47-'Assumptions'!$B$47)),'Assumptions'!$D$47-SQRT((1-B257)*('Assumptions'!$D$47-'Assumptions'!$B$47)*('Assumptions'!$D$47-'Assumptions'!$C$47)))</x:f>
        <x:v>-0.05876574210512843</x:v>
      </x:c>
      <x:c r="H257" s="132" t="n">
        <x:f>IF(C257&lt;(('Assumptions'!$C$48-'Assumptions'!$B$48)/('Assumptions'!$D$48-'Assumptions'!$B$48)),'Assumptions'!$B$48+SQRT(C257*('Assumptions'!$D$48-'Assumptions'!$B$48)*('Assumptions'!$C$48-'Assumptions'!$B$48)),'Assumptions'!$D$48-SQRT((1-C257)*('Assumptions'!$D$48-'Assumptions'!$B$48)*('Assumptions'!$D$48-'Assumptions'!$C$48)))</x:f>
        <x:v>0.07436243113720717</x:v>
      </x:c>
      <x:c r="I257" s="132" t="n">
        <x:f>IF(D257&lt;(('Assumptions'!$C$49-'Assumptions'!$B$49)/('Assumptions'!$D$49-'Assumptions'!$B$49)),'Assumptions'!$B$49+SQRT(D257*('Assumptions'!$D$49-'Assumptions'!$B$49)*('Assumptions'!$C$49-'Assumptions'!$B$49)),'Assumptions'!$D$49-SQRT((1-D257)*('Assumptions'!$D$49-'Assumptions'!$B$49)*('Assumptions'!$D$49-'Assumptions'!$C$49)))</x:f>
        <x:v>0.08107326408623666</x:v>
      </x:c>
      <x:c r="J257" s="132" t="n">
        <x:f>IF(E257&lt;(('Assumptions'!$C$50-'Assumptions'!$B$50)/('Assumptions'!$D$50-'Assumptions'!$B$50)),'Assumptions'!$B$50+SQRT(E257*('Assumptions'!$D$50-'Assumptions'!$B$50)*('Assumptions'!$C$50-'Assumptions'!$B$50)),'Assumptions'!$D$50-SQRT((1-E257)*('Assumptions'!$D$50-'Assumptions'!$B$50)*('Assumptions'!$D$50-'Assumptions'!$C$50)))</x:f>
        <x:v>0.06854601929786241</x:v>
      </x:c>
      <x:c r="K257" s="132" t="n">
        <x:f>IF(F257&lt;(('Assumptions'!$C$51-'Assumptions'!$B$51)/('Assumptions'!$D$51-'Assumptions'!$B$51)),'Assumptions'!$B$51+SQRT(F257*('Assumptions'!$D$51-'Assumptions'!$B$51)*('Assumptions'!$C$51-'Assumptions'!$B$51)),'Assumptions'!$D$51-SQRT((1-F257)*('Assumptions'!$D$51-'Assumptions'!$B$51)*('Assumptions'!$D$51-'Assumptions'!$C$51)))</x:f>
        <x:v>0.07088387665309615</x:v>
      </x:c>
      <x:c r="L257" s="133" t="n">
        <x:f>(('Assumptions'!$B$17*(1+G257)+'Assumptions'!$B$18)*(1-H257-'Assumptions'!$B$20)-SUM('Assumptions'!$B$21:$B$25)*(1+I257))-(('Assumptions'!$B$17*(1+G257)+'Assumptions'!$B$18)*(1-H257-'Assumptions'!$B$20)*'Assumptions'!$B$26)</x:f>
        <x:v>177455.24301574696</x:v>
      </x:c>
      <x:c r="M257" s="133" t="n">
        <x:f>'Assumptions'!$B$10*'Assumptions'!$B$33</x:f>
        <x:v>1950000</x:v>
      </x:c>
      <x:c r="N257" s="133" t="n">
        <x:f>-PMT(K257/12,'Assumptions'!$B$35*12,M257)*12</x:f>
        <x:v>157072.2966599658</x:v>
      </x:c>
      <x:c r="O257" s="133" t="n">
        <x:f>(L257*(1+'Assumptions'!$B$29)^('Assumptions'!$B$14/12)/J257)*(1-'Assumptions'!$B$42)-'Debt Schedule'!$F$9</x:f>
        <x:v>2821113.59350938</x:v>
      </x:c>
      <x:c r="P257" s="132" t="n">
        <x:f>((O257+(L257-N257-'Assumptions'!$B$27-'Assumptions'!$B$28)*('Assumptions'!$B$14/12))/ABS('Monthly Cash Flow'!$S$5))^(1/('Assumptions'!$B$14/12))-1</x:f>
        <x:v>0.16035270986849182</x:v>
      </x:c>
      <x:c r="Q257" s="133" t="n">
        <x:f>-ABS('Monthly Cash Flow'!$S$5)+((L257-N257-'Assumptions'!$B$27-'Assumptions'!$B$28)*(1-(1+'Assumptions'!$B$43)^-('Assumptions'!$B$14/12))/'Assumptions'!$B$43)+(O257/(1+'Assumptions'!$B$43)^('Assumptions'!$B$14/12))</x:f>
        <x:v>382825.51757273055</x:v>
      </x:c>
    </x:row>
    <x:row r="258">
      <x:c r="A258" s="131" t="n">
        <x:f>251</x:f>
        <x:v>251</x:v>
      </x:c>
      <x:c r="B258" s="131" t="n">
        <x:f>MOD(ABS(SIN((A258+1)*12.9898+78.233)*43758.5453),1)</x:f>
        <x:v>0.5104215402025147</x:v>
      </x:c>
      <x:c r="C258" s="131" t="n">
        <x:f>MOD(ABS(SIN((A258+2)*12.9898+78.233)*43758.5453),1)</x:f>
        <x:v>0.7800511609386263</x:v>
      </x:c>
      <x:c r="D258" s="131" t="n">
        <x:f>MOD(ABS(SIN((A258+3)*12.9898+78.233)*43758.5453),1)</x:f>
        <x:v>0.5335336038224341</x:v>
      </x:c>
      <x:c r="E258" s="131" t="n">
        <x:f>MOD(ABS(SIN((A258+4)*12.9898+78.233)*43758.5453),1)</x:f>
        <x:v>0.5859429852571338</x:v>
      </x:c>
      <x:c r="F258" s="131" t="n">
        <x:f>MOD(ABS(SIN((A258+5)*12.9898+78.233)*43758.5453),1)</x:f>
        <x:v>0.997559627307055</x:v>
      </x:c>
      <x:c r="G258" s="132" t="n">
        <x:f>IF(B258&lt;(('Assumptions'!$C$47-'Assumptions'!$B$47)/('Assumptions'!$D$47-'Assumptions'!$B$47)),'Assumptions'!$B$47+SQRT(B258*('Assumptions'!$D$47-'Assumptions'!$B$47)*('Assumptions'!$C$47-'Assumptions'!$B$47)),'Assumptions'!$D$47-SQRT((1-B258)*('Assumptions'!$D$47-'Assumptions'!$B$47)*('Assumptions'!$D$47-'Assumptions'!$C$47)))</x:f>
        <x:v>0.010680246498010443</x:v>
      </x:c>
      <x:c r="H258" s="132" t="n">
        <x:f>IF(C258&lt;(('Assumptions'!$C$48-'Assumptions'!$B$48)/('Assumptions'!$D$48-'Assumptions'!$B$48)),'Assumptions'!$B$48+SQRT(C258*('Assumptions'!$D$48-'Assumptions'!$B$48)*('Assumptions'!$C$48-'Assumptions'!$B$48)),'Assumptions'!$D$48-SQRT((1-C258)*('Assumptions'!$D$48-'Assumptions'!$B$48)*('Assumptions'!$D$48-'Assumptions'!$C$48)))</x:f>
        <x:v>0.09600511639133377</x:v>
      </x:c>
      <x:c r="I258" s="132" t="n">
        <x:f>IF(D258&lt;(('Assumptions'!$C$49-'Assumptions'!$B$49)/('Assumptions'!$D$49-'Assumptions'!$B$49)),'Assumptions'!$B$49+SQRT(D258*('Assumptions'!$D$49-'Assumptions'!$B$49)*('Assumptions'!$C$49-'Assumptions'!$B$49)),'Assumptions'!$D$49-SQRT((1-D258)*('Assumptions'!$D$49-'Assumptions'!$B$49)*('Assumptions'!$D$49-'Assumptions'!$C$49)))</x:f>
        <x:v>0.04962234233936606</x:v>
      </x:c>
      <x:c r="J258" s="132" t="n">
        <x:f>IF(E258&lt;(('Assumptions'!$C$50-'Assumptions'!$B$50)/('Assumptions'!$D$50-'Assumptions'!$B$50)),'Assumptions'!$B$50+SQRT(E258*('Assumptions'!$D$50-'Assumptions'!$B$50)*('Assumptions'!$C$50-'Assumptions'!$B$50)),'Assumptions'!$D$50-SQRT((1-E258)*('Assumptions'!$D$50-'Assumptions'!$B$50)*('Assumptions'!$D$50-'Assumptions'!$C$50)))</x:f>
        <x:v>0.06920863607339503</x:v>
      </x:c>
      <x:c r="K258" s="132" t="n">
        <x:f>IF(F258&lt;(('Assumptions'!$C$51-'Assumptions'!$B$51)/('Assumptions'!$D$51-'Assumptions'!$B$51)),'Assumptions'!$B$51+SQRT(F258*('Assumptions'!$D$51-'Assumptions'!$B$51)*('Assumptions'!$C$51-'Assumptions'!$B$51)),'Assumptions'!$D$51-SQRT((1-F258)*('Assumptions'!$D$51-'Assumptions'!$B$51)*('Assumptions'!$D$51-'Assumptions'!$C$51)))</x:f>
        <x:v>0.08391628907983736</x:v>
      </x:c>
      <x:c r="L258" s="133" t="n">
        <x:f>(('Assumptions'!$B$17*(1+G258)+'Assumptions'!$B$18)*(1-H258-'Assumptions'!$B$20)-SUM('Assumptions'!$B$21:$B$25)*(1+I258))-(('Assumptions'!$B$17*(1+G258)+'Assumptions'!$B$18)*(1-H258-'Assumptions'!$B$20)*'Assumptions'!$B$26)</x:f>
        <x:v>195460.2666556784</x:v>
      </x:c>
      <x:c r="M258" s="133" t="n">
        <x:f>'Assumptions'!$B$10*'Assumptions'!$B$33</x:f>
        <x:v>1950000</x:v>
      </x:c>
      <x:c r="N258" s="133" t="n">
        <x:f>-PMT(K258/12,'Assumptions'!$B$35*12,M258)*12</x:f>
        <x:v>178131.6484194188</x:v>
      </x:c>
      <x:c r="O258" s="133" t="n">
        <x:f>(L258*(1+'Assumptions'!$B$29)^('Assumptions'!$B$14/12)/J258)*(1-'Assumptions'!$B$42)-'Debt Schedule'!$F$9</x:f>
        <x:v>3077600.0018614815</x:v>
      </x:c>
      <x:c r="P258" s="132" t="n">
        <x:f>((O258+(L258-N258-'Assumptions'!$B$27-'Assumptions'!$B$28)*('Assumptions'!$B$14/12))/ABS('Monthly Cash Flow'!$S$5))^(1/('Assumptions'!$B$14/12))-1</x:f>
        <x:v>0.18021832176842434</x:v>
      </x:c>
      <x:c r="Q258" s="133" t="n">
        <x:f>-ABS('Monthly Cash Flow'!$S$5)+((L258-N258-'Assumptions'!$B$27-'Assumptions'!$B$28)*(1-(1+'Assumptions'!$B$43)^-('Assumptions'!$B$14/12))/'Assumptions'!$B$43)+(O258/(1+'Assumptions'!$B$43)^('Assumptions'!$B$14/12))</x:f>
        <x:v>530505.0909684936</x:v>
      </x:c>
    </x:row>
    <x:row r="259">
      <x:c r="A259" s="131" t="n">
        <x:f>252</x:f>
        <x:v>252</x:v>
      </x:c>
      <x:c r="B259" s="131" t="n">
        <x:f>MOD(ABS(SIN((A259+1)*12.9898+78.233)*43758.5453),1)</x:f>
        <x:v>0.7800511609386263</x:v>
      </x:c>
      <x:c r="C259" s="131" t="n">
        <x:f>MOD(ABS(SIN((A259+2)*12.9898+78.233)*43758.5453),1)</x:f>
        <x:v>0.5335336038224341</x:v>
      </x:c>
      <x:c r="D259" s="131" t="n">
        <x:f>MOD(ABS(SIN((A259+3)*12.9898+78.233)*43758.5453),1)</x:f>
        <x:v>0.5859429852571338</x:v>
      </x:c>
      <x:c r="E259" s="131" t="n">
        <x:f>MOD(ABS(SIN((A259+4)*12.9898+78.233)*43758.5453),1)</x:f>
        <x:v>0.997559627307055</x:v>
      </x:c>
      <x:c r="F259" s="131" t="n">
        <x:f>MOD(ABS(SIN((A259+5)*12.9898+78.233)*43758.5453),1)</x:f>
        <x:v>0.6325680712325266</x:v>
      </x:c>
      <x:c r="G259" s="132" t="n">
        <x:f>IF(B259&lt;(('Assumptions'!$C$47-'Assumptions'!$B$47)/('Assumptions'!$D$47-'Assumptions'!$B$47)),'Assumptions'!$B$47+SQRT(B259*('Assumptions'!$D$47-'Assumptions'!$B$47)*('Assumptions'!$C$47-'Assumptions'!$B$47)),'Assumptions'!$D$47-SQRT((1-B259)*('Assumptions'!$D$47-'Assumptions'!$B$47)*('Assumptions'!$D$47-'Assumptions'!$C$47)))</x:f>
        <x:v>0.040677311043901765</x:v>
      </x:c>
      <x:c r="H259" s="132" t="n">
        <x:f>IF(C259&lt;(('Assumptions'!$C$48-'Assumptions'!$B$48)/('Assumptions'!$D$48-'Assumptions'!$B$48)),'Assumptions'!$B$48+SQRT(C259*('Assumptions'!$D$48-'Assumptions'!$B$48)*('Assumptions'!$C$48-'Assumptions'!$B$48)),'Assumptions'!$D$48-SQRT((1-C259)*('Assumptions'!$D$48-'Assumptions'!$B$48)*('Assumptions'!$D$48-'Assumptions'!$C$48)))</x:f>
        <x:v>0.0759304730284156</x:v>
      </x:c>
      <x:c r="I259" s="132" t="n">
        <x:f>IF(D259&lt;(('Assumptions'!$C$49-'Assumptions'!$B$49)/('Assumptions'!$D$49-'Assumptions'!$B$49)),'Assumptions'!$B$49+SQRT(D259*('Assumptions'!$D$49-'Assumptions'!$B$49)*('Assumptions'!$C$49-'Assumptions'!$B$49)),'Assumptions'!$D$49-SQRT((1-D259)*('Assumptions'!$D$49-'Assumptions'!$B$49)*('Assumptions'!$D$49-'Assumptions'!$C$49)))</x:f>
        <x:v>0.05542922481841492</x:v>
      </x:c>
      <x:c r="J259" s="132" t="n">
        <x:f>IF(E259&lt;(('Assumptions'!$C$50-'Assumptions'!$B$50)/('Assumptions'!$D$50-'Assumptions'!$B$50)),'Assumptions'!$B$50+SQRT(E259*('Assumptions'!$D$50-'Assumptions'!$B$50)*('Assumptions'!$C$50-'Assumptions'!$B$50)),'Assumptions'!$D$50-SQRT((1-E259)*('Assumptions'!$D$50-'Assumptions'!$B$50)*('Assumptions'!$D$50-'Assumptions'!$C$50)))</x:f>
        <x:v>0.07917153465981323</x:v>
      </x:c>
      <x:c r="K259" s="132" t="n">
        <x:f>IF(F259&lt;(('Assumptions'!$C$51-'Assumptions'!$B$51)/('Assumptions'!$D$51-'Assumptions'!$B$51)),'Assumptions'!$B$51+SQRT(F259*('Assumptions'!$D$51-'Assumptions'!$B$51)*('Assumptions'!$C$51-'Assumptions'!$B$51)),'Assumptions'!$D$51-SQRT((1-F259)*('Assumptions'!$D$51-'Assumptions'!$B$51)*('Assumptions'!$D$51-'Assumptions'!$C$51)))</x:f>
        <x:v>0.07170238308119284</x:v>
      </x:c>
      <x:c r="L259" s="133" t="n">
        <x:f>(('Assumptions'!$B$17*(1+G259)+'Assumptions'!$B$18)*(1-H259-'Assumptions'!$B$20)-SUM('Assumptions'!$B$21:$B$25)*(1+I259))-(('Assumptions'!$B$17*(1+G259)+'Assumptions'!$B$18)*(1-H259-'Assumptions'!$B$20)*'Assumptions'!$B$26)</x:f>
        <x:v>211563.5289648164</x:v>
      </x:c>
      <x:c r="M259" s="133" t="n">
        <x:f>'Assumptions'!$B$10*'Assumptions'!$B$33</x:f>
        <x:v>1950000</x:v>
      </x:c>
      <x:c r="N259" s="133" t="n">
        <x:f>-PMT(K259/12,'Assumptions'!$B$35*12,M259)*12</x:f>
        <x:v>158365.26911601922</x:v>
      </x:c>
      <x:c r="O259" s="133" t="n">
        <x:f>(L259*(1+'Assumptions'!$B$29)^('Assumptions'!$B$14/12)/J259)*(1-'Assumptions'!$B$42)-'Debt Schedule'!$F$9</x:f>
        <x:v>2911962.087575541</x:v>
      </x:c>
      <x:c r="P259" s="132" t="n">
        <x:f>((O259+(L259-N259-'Assumptions'!$B$27-'Assumptions'!$B$28)*('Assumptions'!$B$14/12))/ABS('Monthly Cash Flow'!$S$5))^(1/('Assumptions'!$B$14/12))-1</x:f>
        <x:v>0.18130806276769795</x:v>
      </x:c>
      <x:c r="Q259" s="133" t="n">
        <x:f>-ABS('Monthly Cash Flow'!$S$5)+((L259-N259-'Assumptions'!$B$27-'Assumptions'!$B$28)*(1-(1+'Assumptions'!$B$43)^-('Assumptions'!$B$14/12))/'Assumptions'!$B$43)+(O259/(1+'Assumptions'!$B$43)^('Assumptions'!$B$14/12))</x:f>
        <x:v>563631.1409295388</x:v>
      </x:c>
    </x:row>
    <x:row r="260">
      <x:c r="A260" s="131" t="n">
        <x:f>253</x:f>
        <x:v>253</x:v>
      </x:c>
      <x:c r="B260" s="131" t="n">
        <x:f>MOD(ABS(SIN((A260+1)*12.9898+78.233)*43758.5453),1)</x:f>
        <x:v>0.5335336038224341</x:v>
      </x:c>
      <x:c r="C260" s="131" t="n">
        <x:f>MOD(ABS(SIN((A260+2)*12.9898+78.233)*43758.5453),1)</x:f>
        <x:v>0.5859429852571338</x:v>
      </x:c>
      <x:c r="D260" s="131" t="n">
        <x:f>MOD(ABS(SIN((A260+3)*12.9898+78.233)*43758.5453),1)</x:f>
        <x:v>0.997559627307055</x:v>
      </x:c>
      <x:c r="E260" s="131" t="n">
        <x:f>MOD(ABS(SIN((A260+4)*12.9898+78.233)*43758.5453),1)</x:f>
        <x:v>0.6325680712325266</x:v>
      </x:c>
      <x:c r="F260" s="131" t="n">
        <x:f>MOD(ABS(SIN((A260+5)*12.9898+78.233)*43758.5453),1)</x:f>
        <x:v>0.021388141343777534</x:v>
      </x:c>
      <x:c r="G260" s="132" t="n">
        <x:f>IF(B260&lt;(('Assumptions'!$C$47-'Assumptions'!$B$47)/('Assumptions'!$D$47-'Assumptions'!$B$47)),'Assumptions'!$B$47+SQRT(B260*('Assumptions'!$D$47-'Assumptions'!$B$47)*('Assumptions'!$C$47-'Assumptions'!$B$47)),'Assumptions'!$D$47-SQRT((1-B260)*('Assumptions'!$D$47-'Assumptions'!$B$47)*('Assumptions'!$D$47-'Assumptions'!$C$47)))</x:f>
        <x:v>0.013158324889238349</x:v>
      </x:c>
      <x:c r="H260" s="132" t="n">
        <x:f>IF(C260&lt;(('Assumptions'!$C$48-'Assumptions'!$B$48)/('Assumptions'!$D$48-'Assumptions'!$B$48)),'Assumptions'!$B$48+SQRT(C260*('Assumptions'!$D$48-'Assumptions'!$B$48)*('Assumptions'!$C$48-'Assumptions'!$B$48)),'Assumptions'!$D$48-SQRT((1-C260)*('Assumptions'!$D$48-'Assumptions'!$B$48)*('Assumptions'!$D$48-'Assumptions'!$C$48)))</x:f>
        <x:v>0.07963691749308008</x:v>
      </x:c>
      <x:c r="I260" s="132" t="n">
        <x:f>IF(D260&lt;(('Assumptions'!$C$49-'Assumptions'!$B$49)/('Assumptions'!$D$49-'Assumptions'!$B$49)),'Assumptions'!$B$49+SQRT(D260*('Assumptions'!$D$49-'Assumptions'!$B$49)*('Assumptions'!$C$49-'Assumptions'!$B$49)),'Assumptions'!$D$49-SQRT((1-D260)*('Assumptions'!$D$49-'Assumptions'!$B$49)*('Assumptions'!$D$49-'Assumptions'!$C$49)))</x:f>
        <x:v>0.1427396935210963</x:v>
      </x:c>
      <x:c r="J260" s="132" t="n">
        <x:f>IF(E260&lt;(('Assumptions'!$C$50-'Assumptions'!$B$50)/('Assumptions'!$D$50-'Assumptions'!$B$50)),'Assumptions'!$B$50+SQRT(E260*('Assumptions'!$D$50-'Assumptions'!$B$50)*('Assumptions'!$C$50-'Assumptions'!$B$50)),'Assumptions'!$D$50-SQRT((1-E260)*('Assumptions'!$D$50-'Assumptions'!$B$50)*('Assumptions'!$D$50-'Assumptions'!$C$50)))</x:f>
        <x:v>0.06983436032677472</x:v>
      </x:c>
      <x:c r="K260" s="132" t="n">
        <x:f>IF(F260&lt;(('Assumptions'!$C$51-'Assumptions'!$B$51)/('Assumptions'!$D$51-'Assumptions'!$B$51)),'Assumptions'!$B$51+SQRT(F260*('Assumptions'!$D$51-'Assumptions'!$B$51)*('Assumptions'!$C$51-'Assumptions'!$B$51)),'Assumptions'!$D$51-SQRT((1-F260)*('Assumptions'!$D$51-'Assumptions'!$B$51)*('Assumptions'!$D$51-'Assumptions'!$C$51)))</x:f>
        <x:v>0.059925229652948116</x:v>
      </x:c>
      <x:c r="L260" s="133" t="n">
        <x:f>(('Assumptions'!$B$17*(1+G260)+'Assumptions'!$B$18)*(1-H260-'Assumptions'!$B$20)-SUM('Assumptions'!$B$21:$B$25)*(1+I260))-(('Assumptions'!$B$17*(1+G260)+'Assumptions'!$B$18)*(1-H260-'Assumptions'!$B$20)*'Assumptions'!$B$26)</x:f>
        <x:v>190507.24566472112</x:v>
      </x:c>
      <x:c r="M260" s="133" t="n">
        <x:f>'Assumptions'!$B$10*'Assumptions'!$B$33</x:f>
        <x:v>1950000</x:v>
      </x:c>
      <x:c r="N260" s="133" t="n">
        <x:f>-PMT(K260/12,'Assumptions'!$B$35*12,M260)*12</x:f>
        <x:v>140182.35586398654</x:v>
      </x:c>
      <x:c r="O260" s="133" t="n">
        <x:f>(L260*(1+'Assumptions'!$B$29)^('Assumptions'!$B$14/12)/J260)*(1-'Assumptions'!$B$42)-'Debt Schedule'!$F$9</x:f>
        <x:v>2972735.817183298</x:v>
      </x:c>
      <x:c r="P260" s="132" t="n">
        <x:f>((O260+(L260-N260-'Assumptions'!$B$27-'Assumptions'!$B$28)*('Assumptions'!$B$14/12))/ABS('Monthly Cash Flow'!$S$5))^(1/('Assumptions'!$B$14/12))-1</x:f>
        <x:v>0.18496710336829447</x:v>
      </x:c>
      <x:c r="Q260" s="133" t="n">
        <x:f>-ABS('Monthly Cash Flow'!$S$5)+((L260-N260-'Assumptions'!$B$27-'Assumptions'!$B$28)*(1-(1+'Assumptions'!$B$43)^-('Assumptions'!$B$14/12))/'Assumptions'!$B$43)+(O260/(1+'Assumptions'!$B$43)^('Assumptions'!$B$14/12))</x:f>
        <x:v>590474.5123630164</x:v>
      </x:c>
    </x:row>
    <x:row r="261">
      <x:c r="A261" s="131" t="n">
        <x:f>254</x:f>
        <x:v>254</x:v>
      </x:c>
      <x:c r="B261" s="131" t="n">
        <x:f>MOD(ABS(SIN((A261+1)*12.9898+78.233)*43758.5453),1)</x:f>
        <x:v>0.5859429852571338</x:v>
      </x:c>
      <x:c r="C261" s="131" t="n">
        <x:f>MOD(ABS(SIN((A261+2)*12.9898+78.233)*43758.5453),1)</x:f>
        <x:v>0.997559627307055</x:v>
      </x:c>
      <x:c r="D261" s="131" t="n">
        <x:f>MOD(ABS(SIN((A261+3)*12.9898+78.233)*43758.5453),1)</x:f>
        <x:v>0.6325680712325266</x:v>
      </x:c>
      <x:c r="E261" s="131" t="n">
        <x:f>MOD(ABS(SIN((A261+4)*12.9898+78.233)*43758.5453),1)</x:f>
        <x:v>0.021388141343777534</x:v>
      </x:c>
      <x:c r="F261" s="131" t="n">
        <x:f>MOD(ABS(SIN((A261+5)*12.9898+78.233)*43758.5453),1)</x:f>
        <x:v>0.4270871900516795</x:v>
      </x:c>
      <x:c r="G261" s="132" t="n">
        <x:f>IF(B261&lt;(('Assumptions'!$C$47-'Assumptions'!$B$47)/('Assumptions'!$D$47-'Assumptions'!$B$47)),'Assumptions'!$B$47+SQRT(B261*('Assumptions'!$D$47-'Assumptions'!$B$47)*('Assumptions'!$C$47-'Assumptions'!$B$47)),'Assumptions'!$D$47-SQRT((1-B261)*('Assumptions'!$D$47-'Assumptions'!$B$47)*('Assumptions'!$D$47-'Assumptions'!$C$47)))</x:f>
        <x:v>0.01858596732401019</x:v>
      </x:c>
      <x:c r="H261" s="132" t="n">
        <x:f>IF(C261&lt;(('Assumptions'!$C$48-'Assumptions'!$B$48)/('Assumptions'!$D$48-'Assumptions'!$B$48)),'Assumptions'!$B$48+SQRT(C261*('Assumptions'!$D$48-'Assumptions'!$B$48)*('Assumptions'!$C$48-'Assumptions'!$B$48)),'Assumptions'!$D$48-SQRT((1-C261)*('Assumptions'!$D$48-'Assumptions'!$B$48)*('Assumptions'!$D$48-'Assumptions'!$C$48)))</x:f>
        <x:v>0.13536585717765243</x:v>
      </x:c>
      <x:c r="I261" s="132" t="n">
        <x:f>IF(D261&lt;(('Assumptions'!$C$49-'Assumptions'!$B$49)/('Assumptions'!$D$49-'Assumptions'!$B$49)),'Assumptions'!$B$49+SQRT(D261*('Assumptions'!$D$49-'Assumptions'!$B$49)*('Assumptions'!$C$49-'Assumptions'!$B$49)),'Assumptions'!$D$49-SQRT((1-D261)*('Assumptions'!$D$49-'Assumptions'!$B$49)*('Assumptions'!$D$49-'Assumptions'!$C$49)))</x:f>
        <x:v>0.06091279743208104</x:v>
      </x:c>
      <x:c r="J261" s="132" t="n">
        <x:f>IF(E261&lt;(('Assumptions'!$C$50-'Assumptions'!$B$50)/('Assumptions'!$D$50-'Assumptions'!$B$50)),'Assumptions'!$B$50+SQRT(E261*('Assumptions'!$D$50-'Assumptions'!$B$50)*('Assumptions'!$C$50-'Assumptions'!$B$50)),'Assumptions'!$D$50-SQRT((1-E261)*('Assumptions'!$D$50-'Assumptions'!$B$50)*('Assumptions'!$D$50-'Assumptions'!$C$50)))</x:f>
        <x:v>0.059693702760710746</x:v>
      </x:c>
      <x:c r="K261" s="132" t="n">
        <x:f>IF(F261&lt;(('Assumptions'!$C$51-'Assumptions'!$B$51)/('Assumptions'!$D$51-'Assumptions'!$B$51)),'Assumptions'!$B$51+SQRT(F261*('Assumptions'!$D$51-'Assumptions'!$B$51)*('Assumptions'!$C$51-'Assumptions'!$B$51)),'Assumptions'!$D$51-SQRT((1-F261)*('Assumptions'!$D$51-'Assumptions'!$B$51)*('Assumptions'!$D$51-'Assumptions'!$C$51)))</x:f>
        <x:v>0.06839535336757722</x:v>
      </x:c>
      <x:c r="L261" s="133" t="n">
        <x:f>(('Assumptions'!$B$17*(1+G261)+'Assumptions'!$B$18)*(1-H261-'Assumptions'!$B$20)-SUM('Assumptions'!$B$21:$B$25)*(1+I261))-(('Assumptions'!$B$17*(1+G261)+'Assumptions'!$B$18)*(1-H261-'Assumptions'!$B$20)*'Assumptions'!$B$26)</x:f>
        <x:v>181944.20556938823</x:v>
      </x:c>
      <x:c r="M261" s="133" t="n">
        <x:f>'Assumptions'!$B$10*'Assumptions'!$B$33</x:f>
        <x:v>1950000</x:v>
      </x:c>
      <x:c r="N261" s="133" t="n">
        <x:f>-PMT(K261/12,'Assumptions'!$B$35*12,M261)*12</x:f>
        <x:v>153167.23949911818</x:v>
      </x:c>
      <x:c r="O261" s="133" t="n">
        <x:f>(L261*(1+'Assumptions'!$B$29)^('Assumptions'!$B$14/12)/J261)*(1-'Assumptions'!$B$42)-'Debt Schedule'!$F$9</x:f>
        <x:v>3321419.1662953002</x:v>
      </x:c>
      <x:c r="P261" s="132" t="n">
        <x:f>((O261+(L261-N261-'Assumptions'!$B$27-'Assumptions'!$B$28)*('Assumptions'!$B$14/12))/ABS('Monthly Cash Flow'!$S$5))^(1/('Assumptions'!$B$14/12))-1</x:f>
        <x:v>0.20327339137876477</x:v>
      </x:c>
      <x:c r="Q261" s="133" t="n">
        <x:f>-ABS('Monthly Cash Flow'!$S$5)+((L261-N261-'Assumptions'!$B$27-'Assumptions'!$B$28)*(1-(1+'Assumptions'!$B$43)^-('Assumptions'!$B$14/12))/'Assumptions'!$B$43)+(O261/(1+'Assumptions'!$B$43)^('Assumptions'!$B$14/12))</x:f>
        <x:v>725295.8546366708</x:v>
      </x:c>
    </x:row>
    <x:row r="262">
      <x:c r="A262" s="131" t="n">
        <x:f>255</x:f>
        <x:v>255</x:v>
      </x:c>
      <x:c r="B262" s="131" t="n">
        <x:f>MOD(ABS(SIN((A262+1)*12.9898+78.233)*43758.5453),1)</x:f>
        <x:v>0.997559627307055</x:v>
      </x:c>
      <x:c r="C262" s="131" t="n">
        <x:f>MOD(ABS(SIN((A262+2)*12.9898+78.233)*43758.5453),1)</x:f>
        <x:v>0.6325680712325266</x:v>
      </x:c>
      <x:c r="D262" s="131" t="n">
        <x:f>MOD(ABS(SIN((A262+3)*12.9898+78.233)*43758.5453),1)</x:f>
        <x:v>0.021388141343777534</x:v>
      </x:c>
      <x:c r="E262" s="131" t="n">
        <x:f>MOD(ABS(SIN((A262+4)*12.9898+78.233)*43758.5453),1)</x:f>
        <x:v>0.4270871900516795</x:v>
      </x:c>
      <x:c r="F262" s="131" t="n">
        <x:f>MOD(ABS(SIN((A262+5)*12.9898+78.233)*43758.5453),1)</x:f>
        <x:v>0.8025522939642542</x:v>
      </x:c>
      <x:c r="G262" s="132" t="n">
        <x:f>IF(B262&lt;(('Assumptions'!$C$47-'Assumptions'!$B$47)/('Assumptions'!$D$47-'Assumptions'!$B$47)),'Assumptions'!$B$47+SQRT(B262*('Assumptions'!$D$47-'Assumptions'!$B$47)*('Assumptions'!$C$47-'Assumptions'!$B$47)),'Assumptions'!$D$47-SQRT((1-B262)*('Assumptions'!$D$47-'Assumptions'!$B$47)*('Assumptions'!$D$47-'Assumptions'!$C$47)))</x:f>
        <x:v>0.09375132309307649</x:v>
      </x:c>
      <x:c r="H262" s="132" t="n">
        <x:f>IF(C262&lt;(('Assumptions'!$C$48-'Assumptions'!$B$48)/('Assumptions'!$D$48-'Assumptions'!$B$48)),'Assumptions'!$B$48+SQRT(C262*('Assumptions'!$D$48-'Assumptions'!$B$48)*('Assumptions'!$C$48-'Assumptions'!$B$48)),'Assumptions'!$D$48-SQRT((1-C262)*('Assumptions'!$D$48-'Assumptions'!$B$48)*('Assumptions'!$D$48-'Assumptions'!$C$48)))</x:f>
        <x:v>0.0831369982048629</x:v>
      </x:c>
      <x:c r="I262" s="132" t="n">
        <x:f>IF(D262&lt;(('Assumptions'!$C$49-'Assumptions'!$B$49)/('Assumptions'!$D$49-'Assumptions'!$B$49)),'Assumptions'!$B$49+SQRT(D262*('Assumptions'!$D$49-'Assumptions'!$B$49)*('Assumptions'!$C$49-'Assumptions'!$B$49)),'Assumptions'!$D$49-SQRT((1-D262)*('Assumptions'!$D$49-'Assumptions'!$B$49)*('Assumptions'!$D$49-'Assumptions'!$C$49)))</x:f>
        <x:v>-0.014801581446979512</x:v>
      </x:c>
      <x:c r="J262" s="132" t="n">
        <x:f>IF(E262&lt;(('Assumptions'!$C$50-'Assumptions'!$B$50)/('Assumptions'!$D$50-'Assumptions'!$B$50)),'Assumptions'!$B$50+SQRT(E262*('Assumptions'!$D$50-'Assumptions'!$B$50)*('Assumptions'!$C$50-'Assumptions'!$B$50)),'Assumptions'!$D$50-SQRT((1-E262)*('Assumptions'!$D$50-'Assumptions'!$B$50)*('Assumptions'!$D$50-'Assumptions'!$C$50)))</x:f>
        <x:v>0.06730278622441742</x:v>
      </x:c>
      <x:c r="K262" s="132" t="n">
        <x:f>IF(F262&lt;(('Assumptions'!$C$51-'Assumptions'!$B$51)/('Assumptions'!$D$51-'Assumptions'!$B$51)),'Assumptions'!$B$51+SQRT(F262*('Assumptions'!$D$51-'Assumptions'!$B$51)*('Assumptions'!$C$51-'Assumptions'!$B$51)),'Assumptions'!$D$51-SQRT((1-F262)*('Assumptions'!$D$51-'Assumptions'!$B$51)*('Assumptions'!$D$51-'Assumptions'!$C$51)))</x:f>
        <x:v>0.07525209209472604</x:v>
      </x:c>
      <x:c r="L262" s="133" t="n">
        <x:f>(('Assumptions'!$B$17*(1+G262)+'Assumptions'!$B$18)*(1-H262-'Assumptions'!$B$20)-SUM('Assumptions'!$B$21:$B$25)*(1+I262))-(('Assumptions'!$B$17*(1+G262)+'Assumptions'!$B$18)*(1-H262-'Assumptions'!$B$20)*'Assumptions'!$B$26)</x:f>
        <x:v>234330.22128495455</x:v>
      </x:c>
      <x:c r="M262" s="133" t="n">
        <x:f>'Assumptions'!$B$10*'Assumptions'!$B$33</x:f>
        <x:v>1950000</x:v>
      </x:c>
      <x:c r="N262" s="133" t="n">
        <x:f>-PMT(K262/12,'Assumptions'!$B$35*12,M262)*12</x:f>
        <x:v>164020.3167856396</x:v>
      </x:c>
      <x:c r="O262" s="133" t="n">
        <x:f>(L262*(1+'Assumptions'!$B$29)^('Assumptions'!$B$14/12)/J262)*(1-'Assumptions'!$B$42)-'Debt Schedule'!$F$9</x:f>
        <x:v>3794104.0432936763</x:v>
      </x:c>
      <x:c r="P262" s="132" t="n">
        <x:f>((O262+(L262-N262-'Assumptions'!$B$27-'Assumptions'!$B$28)*('Assumptions'!$B$14/12))/ABS('Monthly Cash Flow'!$S$5))^(1/('Assumptions'!$B$14/12))-1</x:f>
        <x:v>0.24969312097543872</x:v>
      </x:c>
      <x:c r="Q262" s="133" t="n">
        <x:f>-ABS('Monthly Cash Flow'!$S$5)+((L262-N262-'Assumptions'!$B$27-'Assumptions'!$B$28)*(1-(1+'Assumptions'!$B$43)^-('Assumptions'!$B$14/12))/'Assumptions'!$B$43)+(O262/(1+'Assumptions'!$B$43)^('Assumptions'!$B$14/12))</x:f>
        <x:v>1176238.4873440354</x:v>
      </x:c>
    </x:row>
    <x:row r="263">
      <x:c r="A263" s="131" t="n">
        <x:f>256</x:f>
        <x:v>256</x:v>
      </x:c>
      <x:c r="B263" s="131" t="n">
        <x:f>MOD(ABS(SIN((A263+1)*12.9898+78.233)*43758.5453),1)</x:f>
        <x:v>0.6325680712325266</x:v>
      </x:c>
      <x:c r="C263" s="131" t="n">
        <x:f>MOD(ABS(SIN((A263+2)*12.9898+78.233)*43758.5453),1)</x:f>
        <x:v>0.021388141343777534</x:v>
      </x:c>
      <x:c r="D263" s="131" t="n">
        <x:f>MOD(ABS(SIN((A263+3)*12.9898+78.233)*43758.5453),1)</x:f>
        <x:v>0.4270871900516795</x:v>
      </x:c>
      <x:c r="E263" s="131" t="n">
        <x:f>MOD(ABS(SIN((A263+4)*12.9898+78.233)*43758.5453),1)</x:f>
        <x:v>0.8025522939642542</x:v>
      </x:c>
      <x:c r="F263" s="131" t="n">
        <x:f>MOD(ABS(SIN((A263+5)*12.9898+78.233)*43758.5453),1)</x:f>
        <x:v>0.4411318933689472</x:v>
      </x:c>
      <x:c r="G263" s="132" t="n">
        <x:f>IF(B263&lt;(('Assumptions'!$C$47-'Assumptions'!$B$47)/('Assumptions'!$D$47-'Assumptions'!$B$47)),'Assumptions'!$B$47+SQRT(B263*('Assumptions'!$D$47-'Assumptions'!$B$47)*('Assumptions'!$C$47-'Assumptions'!$B$47)),'Assumptions'!$D$47-SQRT((1-B263)*('Assumptions'!$D$47-'Assumptions'!$B$47)*('Assumptions'!$D$47-'Assumptions'!$C$47)))</x:f>
        <x:v>0.023325944020942943</x:v>
      </x:c>
      <x:c r="H263" s="132" t="n">
        <x:f>IF(C263&lt;(('Assumptions'!$C$48-'Assumptions'!$B$48)/('Assumptions'!$D$48-'Assumptions'!$B$48)),'Assumptions'!$B$48+SQRT(C263*('Assumptions'!$D$48-'Assumptions'!$B$48)*('Assumptions'!$C$48-'Assumptions'!$B$48)),'Assumptions'!$D$48-SQRT((1-C263)*('Assumptions'!$D$48-'Assumptions'!$B$48)*('Assumptions'!$D$48-'Assumptions'!$C$48)))</x:f>
        <x:v>0.03840124195785753</x:v>
      </x:c>
      <x:c r="I263" s="132" t="n">
        <x:f>IF(D263&lt;(('Assumptions'!$C$49-'Assumptions'!$B$49)/('Assumptions'!$D$49-'Assumptions'!$B$49)),'Assumptions'!$B$49+SQRT(D263*('Assumptions'!$D$49-'Assumptions'!$B$49)*('Assumptions'!$C$49-'Assumptions'!$B$49)),'Assumptions'!$D$49-SQRT((1-D263)*('Assumptions'!$D$49-'Assumptions'!$B$49)*('Assumptions'!$D$49-'Assumptions'!$C$49)))</x:f>
        <x:v>0.038757397122848106</x:v>
      </x:c>
      <x:c r="J263" s="132" t="n">
        <x:f>IF(E263&lt;(('Assumptions'!$C$50-'Assumptions'!$B$50)/('Assumptions'!$D$50-'Assumptions'!$B$50)),'Assumptions'!$B$50+SQRT(E263*('Assumptions'!$D$50-'Assumptions'!$B$50)*('Assumptions'!$C$50-'Assumptions'!$B$50)),'Assumptions'!$D$50-SQRT((1-E263)*('Assumptions'!$D$50-'Assumptions'!$B$50)*('Assumptions'!$D$50-'Assumptions'!$C$50)))</x:f>
        <x:v>0.07254800917052674</x:v>
      </x:c>
      <x:c r="K263" s="132" t="n">
        <x:f>IF(F263&lt;(('Assumptions'!$C$51-'Assumptions'!$B$51)/('Assumptions'!$D$51-'Assumptions'!$B$51)),'Assumptions'!$B$51+SQRT(F263*('Assumptions'!$D$51-'Assumptions'!$B$51)*('Assumptions'!$C$51-'Assumptions'!$B$51)),'Assumptions'!$D$51-SQRT((1-F263)*('Assumptions'!$D$51-'Assumptions'!$B$51)*('Assumptions'!$D$51-'Assumptions'!$C$51)))</x:f>
        <x:v>0.06860014401538252</x:v>
      </x:c>
      <x:c r="L263" s="133" t="n">
        <x:f>(('Assumptions'!$B$17*(1+G263)+'Assumptions'!$B$18)*(1-H263-'Assumptions'!$B$20)-SUM('Assumptions'!$B$21:$B$25)*(1+I263))-(('Assumptions'!$B$17*(1+G263)+'Assumptions'!$B$18)*(1-H263-'Assumptions'!$B$20)*'Assumptions'!$B$26)</x:f>
        <x:v>222103.9875238391</x:v>
      </x:c>
      <x:c r="M263" s="133" t="n">
        <x:f>'Assumptions'!$B$10*'Assumptions'!$B$33</x:f>
        <x:v>1950000</x:v>
      </x:c>
      <x:c r="N263" s="133" t="n">
        <x:f>-PMT(K263/12,'Assumptions'!$B$35*12,M263)*12</x:f>
        <x:v>153487.10721780264</x:v>
      </x:c>
      <x:c r="O263" s="133" t="n">
        <x:f>(L263*(1+'Assumptions'!$B$29)^('Assumptions'!$B$14/12)/J263)*(1-'Assumptions'!$B$42)-'Debt Schedule'!$F$9</x:f>
        <x:v>3336144.349516653</x:v>
      </x:c>
      <x:c r="P263" s="132" t="n">
        <x:f>((O263+(L263-N263-'Assumptions'!$B$27-'Assumptions'!$B$28)*('Assumptions'!$B$14/12))/ABS('Monthly Cash Flow'!$S$5))^(1/('Assumptions'!$B$14/12))-1</x:f>
        <x:v>0.2186421232434197</x:v>
      </x:c>
      <x:c r="Q263" s="133" t="n">
        <x:f>-ABS('Monthly Cash Flow'!$S$5)+((L263-N263-'Assumptions'!$B$27-'Assumptions'!$B$28)*(1-(1+'Assumptions'!$B$43)^-('Assumptions'!$B$14/12))/'Assumptions'!$B$43)+(O263/(1+'Assumptions'!$B$43)^('Assumptions'!$B$14/12))</x:f>
        <x:v>885463.6546640724</x:v>
      </x:c>
    </x:row>
    <x:row r="264">
      <x:c r="A264" s="131" t="n">
        <x:f>257</x:f>
        <x:v>257</x:v>
      </x:c>
      <x:c r="B264" s="131" t="n">
        <x:f>MOD(ABS(SIN((A264+1)*12.9898+78.233)*43758.5453),1)</x:f>
        <x:v>0.021388141343777534</x:v>
      </x:c>
      <x:c r="C264" s="131" t="n">
        <x:f>MOD(ABS(SIN((A264+2)*12.9898+78.233)*43758.5453),1)</x:f>
        <x:v>0.4270871900516795</x:v>
      </x:c>
      <x:c r="D264" s="131" t="n">
        <x:f>MOD(ABS(SIN((A264+3)*12.9898+78.233)*43758.5453),1)</x:f>
        <x:v>0.8025522939642542</x:v>
      </x:c>
      <x:c r="E264" s="131" t="n">
        <x:f>MOD(ABS(SIN((A264+4)*12.9898+78.233)*43758.5453),1)</x:f>
        <x:v>0.4411318933689472</x:v>
      </x:c>
      <x:c r="F264" s="131" t="n">
        <x:f>MOD(ABS(SIN((A264+5)*12.9898+78.233)*43758.5453),1)</x:f>
        <x:v>0.6922417859605048</x:v>
      </x:c>
      <x:c r="G264" s="132" t="n">
        <x:f>IF(B264&lt;(('Assumptions'!$C$47-'Assumptions'!$B$47)/('Assumptions'!$D$47-'Assumptions'!$B$47)),'Assumptions'!$B$47+SQRT(B264*('Assumptions'!$D$47-'Assumptions'!$B$47)*('Assumptions'!$C$47-'Assumptions'!$B$47)),'Assumptions'!$D$47-SQRT((1-B264)*('Assumptions'!$D$47-'Assumptions'!$B$47)*('Assumptions'!$D$47-'Assumptions'!$C$47)))</x:f>
        <x:v>-0.07734353530996814</x:v>
      </x:c>
      <x:c r="H264" s="132" t="n">
        <x:f>IF(C264&lt;(('Assumptions'!$C$48-'Assumptions'!$B$48)/('Assumptions'!$D$48-'Assumptions'!$B$48)),'Assumptions'!$B$48+SQRT(C264*('Assumptions'!$D$48-'Assumptions'!$B$48)*('Assumptions'!$C$48-'Assumptions'!$B$48)),'Assumptions'!$D$48-SQRT((1-C264)*('Assumptions'!$D$48-'Assumptions'!$B$48)*('Assumptions'!$D$48-'Assumptions'!$C$48)))</x:f>
        <x:v>0.06899554431202772</x:v>
      </x:c>
      <x:c r="I264" s="132" t="n">
        <x:f>IF(D264&lt;(('Assumptions'!$C$49-'Assumptions'!$B$49)/('Assumptions'!$D$49-'Assumptions'!$B$49)),'Assumptions'!$B$49+SQRT(D264*('Assumptions'!$D$49-'Assumptions'!$B$49)*('Assumptions'!$C$49-'Assumptions'!$B$49)),'Assumptions'!$D$49-SQRT((1-D264)*('Assumptions'!$D$49-'Assumptions'!$B$49)*('Assumptions'!$D$49-'Assumptions'!$C$49)))</x:f>
        <x:v>0.08469402439001382</x:v>
      </x:c>
      <x:c r="J264" s="132" t="n">
        <x:f>IF(E264&lt;(('Assumptions'!$C$50-'Assumptions'!$B$50)/('Assumptions'!$D$50-'Assumptions'!$B$50)),'Assumptions'!$B$50+SQRT(E264*('Assumptions'!$D$50-'Assumptions'!$B$50)*('Assumptions'!$C$50-'Assumptions'!$B$50)),'Assumptions'!$D$50-SQRT((1-E264)*('Assumptions'!$D$50-'Assumptions'!$B$50)*('Assumptions'!$D$50-'Assumptions'!$C$50)))</x:f>
        <x:v>0.06746266410193645</x:v>
      </x:c>
      <x:c r="K264" s="132" t="n">
        <x:f>IF(F264&lt;(('Assumptions'!$C$51-'Assumptions'!$B$51)/('Assumptions'!$D$51-'Assumptions'!$B$51)),'Assumptions'!$B$51+SQRT(F264*('Assumptions'!$D$51-'Assumptions'!$B$51)*('Assumptions'!$C$51-'Assumptions'!$B$51)),'Assumptions'!$D$51-SQRT((1-F264)*('Assumptions'!$D$51-'Assumptions'!$B$51)*('Assumptions'!$D$51-'Assumptions'!$C$51)))</x:f>
        <x:v>0.07283001066119994</x:v>
      </x:c>
      <x:c r="L264" s="133" t="n">
        <x:f>(('Assumptions'!$B$17*(1+G264)+'Assumptions'!$B$18)*(1-H264-'Assumptions'!$B$20)-SUM('Assumptions'!$B$21:$B$25)*(1+I264))-(('Assumptions'!$B$17*(1+G264)+'Assumptions'!$B$18)*(1-H264-'Assumptions'!$B$20)*'Assumptions'!$B$26)</x:f>
        <x:v>172924.2690420226</x:v>
      </x:c>
      <x:c r="M264" s="133" t="n">
        <x:f>'Assumptions'!$B$10*'Assumptions'!$B$33</x:f>
        <x:v>1950000</x:v>
      </x:c>
      <x:c r="N264" s="133" t="n">
        <x:f>-PMT(K264/12,'Assumptions'!$B$35*12,M264)*12</x:f>
        <x:v>160153.36383820203</x:v>
      </x:c>
      <x:c r="O264" s="133" t="n">
        <x:f>(L264*(1+'Assumptions'!$B$29)^('Assumptions'!$B$14/12)/J264)*(1-'Assumptions'!$B$42)-'Debt Schedule'!$F$9</x:f>
        <x:v>2793228.330234653</x:v>
      </x:c>
      <x:c r="P264" s="132" t="n">
        <x:f>((O264+(L264-N264-'Assumptions'!$B$27-'Assumptions'!$B$28)*('Assumptions'!$B$14/12))/ABS('Monthly Cash Flow'!$S$5))^(1/('Assumptions'!$B$14/12))-1</x:f>
        <x:v>0.15467724809417116</x:v>
      </x:c>
      <x:c r="Q264" s="133" t="n">
        <x:f>-ABS('Monthly Cash Flow'!$S$5)+((L264-N264-'Assumptions'!$B$27-'Assumptions'!$B$28)*(1-(1+'Assumptions'!$B$43)^-('Assumptions'!$B$14/12))/'Assumptions'!$B$43)+(O264/(1+'Assumptions'!$B$43)^('Assumptions'!$B$14/12))</x:f>
        <x:v>336655.3381192894</x:v>
      </x:c>
    </x:row>
    <x:row r="265">
      <x:c r="A265" s="131" t="n">
        <x:f>258</x:f>
        <x:v>258</x:v>
      </x:c>
      <x:c r="B265" s="131" t="n">
        <x:f>MOD(ABS(SIN((A265+1)*12.9898+78.233)*43758.5453),1)</x:f>
        <x:v>0.4270871900516795</x:v>
      </x:c>
      <x:c r="C265" s="131" t="n">
        <x:f>MOD(ABS(SIN((A265+2)*12.9898+78.233)*43758.5453),1)</x:f>
        <x:v>0.8025522939642542</x:v>
      </x:c>
      <x:c r="D265" s="131" t="n">
        <x:f>MOD(ABS(SIN((A265+3)*12.9898+78.233)*43758.5453),1)</x:f>
        <x:v>0.4411318933689472</x:v>
      </x:c>
      <x:c r="E265" s="131" t="n">
        <x:f>MOD(ABS(SIN((A265+4)*12.9898+78.233)*43758.5453),1)</x:f>
        <x:v>0.6922417859605048</x:v>
      </x:c>
      <x:c r="F265" s="131" t="n">
        <x:f>MOD(ABS(SIN((A265+5)*12.9898+78.233)*43758.5453),1)</x:f>
        <x:v>0.40947692627378274</x:v>
      </x:c>
      <x:c r="G265" s="132" t="n">
        <x:f>IF(B265&lt;(('Assumptions'!$C$47-'Assumptions'!$B$47)/('Assumptions'!$D$47-'Assumptions'!$B$47)),'Assumptions'!$B$47+SQRT(B265*('Assumptions'!$D$47-'Assumptions'!$B$47)*('Assumptions'!$C$47-'Assumptions'!$B$47)),'Assumptions'!$D$47-SQRT((1-B265)*('Assumptions'!$D$47-'Assumptions'!$B$47)*('Assumptions'!$D$47-'Assumptions'!$C$47)))</x:f>
        <x:v>0.00124274078293371</x:v>
      </x:c>
      <x:c r="H265" s="132" t="n">
        <x:f>IF(C265&lt;(('Assumptions'!$C$48-'Assumptions'!$B$48)/('Assumptions'!$D$48-'Assumptions'!$B$48)),'Assumptions'!$B$48+SQRT(C265*('Assumptions'!$D$48-'Assumptions'!$B$48)*('Assumptions'!$C$48-'Assumptions'!$B$48)),'Assumptions'!$D$48-SQRT((1-C265)*('Assumptions'!$D$48-'Assumptions'!$B$48)*('Assumptions'!$D$48-'Assumptions'!$C$48)))</x:f>
        <x:v>0.09831619243501666</x:v>
      </x:c>
      <x:c r="I265" s="132" t="n">
        <x:f>IF(D265&lt;(('Assumptions'!$C$49-'Assumptions'!$B$49)/('Assumptions'!$D$49-'Assumptions'!$B$49)),'Assumptions'!$B$49+SQRT(D265*('Assumptions'!$D$49-'Assumptions'!$B$49)*('Assumptions'!$C$49-'Assumptions'!$B$49)),'Assumptions'!$D$49-SQRT((1-D265)*('Assumptions'!$D$49-'Assumptions'!$B$49)*('Assumptions'!$D$49-'Assumptions'!$C$49)))</x:f>
        <x:v>0.040129389265232795</x:v>
      </x:c>
      <x:c r="J265" s="132" t="n">
        <x:f>IF(E265&lt;(('Assumptions'!$C$50-'Assumptions'!$B$50)/('Assumptions'!$D$50-'Assumptions'!$B$50)),'Assumptions'!$B$50+SQRT(E265*('Assumptions'!$D$50-'Assumptions'!$B$50)*('Assumptions'!$C$50-'Assumptions'!$B$50)),'Assumptions'!$D$50-SQRT((1-E265)*('Assumptions'!$D$50-'Assumptions'!$B$50)*('Assumptions'!$D$50-'Assumptions'!$C$50)))</x:f>
        <x:v>0.07069639867048205</x:v>
      </x:c>
      <x:c r="K265" s="132" t="n">
        <x:f>IF(F265&lt;(('Assumptions'!$C$51-'Assumptions'!$B$51)/('Assumptions'!$D$51-'Assumptions'!$B$51)),'Assumptions'!$B$51+SQRT(F265*('Assumptions'!$D$51-'Assumptions'!$B$51)*('Assumptions'!$C$51-'Assumptions'!$B$51)),'Assumptions'!$D$51-SQRT((1-F265)*('Assumptions'!$D$51-'Assumptions'!$B$51)*('Assumptions'!$D$51-'Assumptions'!$C$51)))</x:f>
        <x:v>0.06814208704403947</x:v>
      </x:c>
      <x:c r="L265" s="133" t="n">
        <x:f>(('Assumptions'!$B$17*(1+G265)+'Assumptions'!$B$18)*(1-H265-'Assumptions'!$B$20)-SUM('Assumptions'!$B$21:$B$25)*(1+I265))-(('Assumptions'!$B$17*(1+G265)+'Assumptions'!$B$18)*(1-H265-'Assumptions'!$B$20)*'Assumptions'!$B$26)</x:f>
        <x:v>192900.88740329587</x:v>
      </x:c>
      <x:c r="M265" s="133" t="n">
        <x:f>'Assumptions'!$B$10*'Assumptions'!$B$33</x:f>
        <x:v>1950000</x:v>
      </x:c>
      <x:c r="N265" s="133" t="n">
        <x:f>-PMT(K265/12,'Assumptions'!$B$35*12,M265)*12</x:f>
        <x:v>152772.03120751673</x:v>
      </x:c>
      <x:c r="O265" s="133" t="n">
        <x:f>(L265*(1+'Assumptions'!$B$29)^('Assumptions'!$B$14/12)/J265)*(1-'Assumptions'!$B$42)-'Debt Schedule'!$F$9</x:f>
        <x:v>2973383.393902726</x:v>
      </x:c>
      <x:c r="P265" s="132" t="n">
        <x:f>((O265+(L265-N265-'Assumptions'!$B$27-'Assumptions'!$B$28)*('Assumptions'!$B$14/12))/ABS('Monthly Cash Flow'!$S$5))^(1/('Assumptions'!$B$14/12))-1</x:f>
        <x:v>0.18099644456191966</x:v>
      </x:c>
      <x:c r="Q265" s="133" t="n">
        <x:f>-ABS('Monthly Cash Flow'!$S$5)+((L265-N265-'Assumptions'!$B$27-'Assumptions'!$B$28)*(1-(1+'Assumptions'!$B$43)^-('Assumptions'!$B$14/12))/'Assumptions'!$B$43)+(O265/(1+'Assumptions'!$B$43)^('Assumptions'!$B$14/12))</x:f>
        <x:v>552225.6172663171</x:v>
      </x:c>
    </x:row>
    <x:row r="266">
      <x:c r="A266" s="131" t="n">
        <x:f>259</x:f>
        <x:v>259</x:v>
      </x:c>
      <x:c r="B266" s="131" t="n">
        <x:f>MOD(ABS(SIN((A266+1)*12.9898+78.233)*43758.5453),1)</x:f>
        <x:v>0.8025522939642542</x:v>
      </x:c>
      <x:c r="C266" s="131" t="n">
        <x:f>MOD(ABS(SIN((A266+2)*12.9898+78.233)*43758.5453),1)</x:f>
        <x:v>0.4411318933689472</x:v>
      </x:c>
      <x:c r="D266" s="131" t="n">
        <x:f>MOD(ABS(SIN((A266+3)*12.9898+78.233)*43758.5453),1)</x:f>
        <x:v>0.6922417859605048</x:v>
      </x:c>
      <x:c r="E266" s="131" t="n">
        <x:f>MOD(ABS(SIN((A266+4)*12.9898+78.233)*43758.5453),1)</x:f>
        <x:v>0.40947692627378274</x:v>
      </x:c>
      <x:c r="F266" s="131" t="n">
        <x:f>MOD(ABS(SIN((A266+5)*12.9898+78.233)*43758.5453),1)</x:f>
        <x:v>0.14989344253990566</x:v>
      </x:c>
      <x:c r="G266" s="132" t="n">
        <x:f>IF(B266&lt;(('Assumptions'!$C$47-'Assumptions'!$B$47)/('Assumptions'!$D$47-'Assumptions'!$B$47)),'Assumptions'!$B$47+SQRT(B266*('Assumptions'!$D$47-'Assumptions'!$B$47)*('Assumptions'!$C$47-'Assumptions'!$B$47)),'Assumptions'!$D$47-SQRT((1-B266)*('Assumptions'!$D$47-'Assumptions'!$B$47)*('Assumptions'!$D$47-'Assumptions'!$C$47)))</x:f>
        <x:v>0.04379356534548796</x:v>
      </x:c>
      <x:c r="H266" s="132" t="n">
        <x:f>IF(C266&lt;(('Assumptions'!$C$48-'Assumptions'!$B$48)/('Assumptions'!$D$48-'Assumptions'!$B$48)),'Assumptions'!$B$48+SQRT(C266*('Assumptions'!$D$48-'Assumptions'!$B$48)*('Assumptions'!$C$48-'Assumptions'!$B$48)),'Assumptions'!$D$48-SQRT((1-C266)*('Assumptions'!$D$48-'Assumptions'!$B$48)*('Assumptions'!$D$48-'Assumptions'!$C$48)))</x:f>
        <x:v>0.06987126595785959</x:v>
      </x:c>
      <x:c r="I266" s="132" t="n">
        <x:f>IF(D266&lt;(('Assumptions'!$C$49-'Assumptions'!$B$49)/('Assumptions'!$D$49-'Assumptions'!$B$49)),'Assumptions'!$B$49+SQRT(D266*('Assumptions'!$D$49-'Assumptions'!$B$49)*('Assumptions'!$C$49-'Assumptions'!$B$49)),'Assumptions'!$D$49-SQRT((1-D266)*('Assumptions'!$D$49-'Assumptions'!$B$49)*('Assumptions'!$D$49-'Assumptions'!$C$49)))</x:f>
        <x:v>0.06846732297260749</x:v>
      </x:c>
      <x:c r="J266" s="132" t="n">
        <x:f>IF(E266&lt;(('Assumptions'!$C$50-'Assumptions'!$B$50)/('Assumptions'!$D$50-'Assumptions'!$B$50)),'Assumptions'!$B$50+SQRT(E266*('Assumptions'!$D$50-'Assumptions'!$B$50)*('Assumptions'!$C$50-'Assumptions'!$B$50)),'Assumptions'!$D$50-SQRT((1-E266)*('Assumptions'!$D$50-'Assumptions'!$B$50)*('Assumptions'!$D$50-'Assumptions'!$C$50)))</x:f>
        <x:v>0.06709855762141381</x:v>
      </x:c>
      <x:c r="K266" s="132" t="n">
        <x:f>IF(F266&lt;(('Assumptions'!$C$51-'Assumptions'!$B$51)/('Assumptions'!$D$51-'Assumptions'!$B$51)),'Assumptions'!$B$51+SQRT(F266*('Assumptions'!$D$51-'Assumptions'!$B$51)*('Assumptions'!$C$51-'Assumptions'!$B$51)),'Assumptions'!$D$51-SQRT((1-F266)*('Assumptions'!$D$51-'Assumptions'!$B$51)*('Assumptions'!$D$51-'Assumptions'!$C$51)))</x:f>
        <x:v>0.06392033462511683</x:v>
      </x:c>
      <x:c r="L266" s="133" t="n">
        <x:f>(('Assumptions'!$B$17*(1+G266)+'Assumptions'!$B$18)*(1-H266-'Assumptions'!$B$20)-SUM('Assumptions'!$B$21:$B$25)*(1+I266))-(('Assumptions'!$B$17*(1+G266)+'Assumptions'!$B$18)*(1-H266-'Assumptions'!$B$20)*'Assumptions'!$B$26)</x:f>
        <x:v>213195.63240035254</x:v>
      </x:c>
      <x:c r="M266" s="133" t="n">
        <x:f>'Assumptions'!$B$10*'Assumptions'!$B$33</x:f>
        <x:v>1950000</x:v>
      </x:c>
      <x:c r="N266" s="133" t="n">
        <x:f>-PMT(K266/12,'Assumptions'!$B$35*12,M266)*12</x:f>
        <x:v>146246.3446310631</x:v>
      </x:c>
      <x:c r="O266" s="133" t="n">
        <x:f>(L266*(1+'Assumptions'!$B$29)^('Assumptions'!$B$14/12)/J266)*(1-'Assumptions'!$B$42)-'Debt Schedule'!$F$9</x:f>
        <x:v>3462414.803948557</x:v>
      </x:c>
      <x:c r="P266" s="132" t="n">
        <x:f>((O266+(L266-N266-'Assumptions'!$B$27-'Assumptions'!$B$28)*('Assumptions'!$B$14/12))/ABS('Monthly Cash Flow'!$S$5))^(1/('Assumptions'!$B$14/12))-1</x:f>
        <x:v>0.22679379344573558</x:v>
      </x:c>
      <x:c r="Q266" s="133" t="n">
        <x:f>-ABS('Monthly Cash Flow'!$S$5)+((L266-N266-'Assumptions'!$B$27-'Assumptions'!$B$28)*(1-(1+'Assumptions'!$B$43)^-('Assumptions'!$B$14/12))/'Assumptions'!$B$43)+(O266/(1+'Assumptions'!$B$43)^('Assumptions'!$B$14/12))</x:f>
        <x:v>957546.184568146</x:v>
      </x:c>
    </x:row>
    <x:row r="267">
      <x:c r="A267" s="131" t="n">
        <x:f>260</x:f>
        <x:v>260</x:v>
      </x:c>
      <x:c r="B267" s="131" t="n">
        <x:f>MOD(ABS(SIN((A267+1)*12.9898+78.233)*43758.5453),1)</x:f>
        <x:v>0.4411318933689472</x:v>
      </x:c>
      <x:c r="C267" s="131" t="n">
        <x:f>MOD(ABS(SIN((A267+2)*12.9898+78.233)*43758.5453),1)</x:f>
        <x:v>0.6922417859605048</x:v>
      </x:c>
      <x:c r="D267" s="131" t="n">
        <x:f>MOD(ABS(SIN((A267+3)*12.9898+78.233)*43758.5453),1)</x:f>
        <x:v>0.40947692627378274</x:v>
      </x:c>
      <x:c r="E267" s="131" t="n">
        <x:f>MOD(ABS(SIN((A267+4)*12.9898+78.233)*43758.5453),1)</x:f>
        <x:v>0.14989344253990566</x:v>
      </x:c>
      <x:c r="F267" s="131" t="n">
        <x:f>MOD(ABS(SIN((A267+5)*12.9898+78.233)*43758.5453),1)</x:f>
        <x:v>0.7377967821958009</x:v>
      </x:c>
      <x:c r="G267" s="132" t="n">
        <x:f>IF(B267&lt;(('Assumptions'!$C$47-'Assumptions'!$B$47)/('Assumptions'!$D$47-'Assumptions'!$B$47)),'Assumptions'!$B$47+SQRT(B267*('Assumptions'!$D$47-'Assumptions'!$B$47)*('Assumptions'!$C$47-'Assumptions'!$B$47)),'Assumptions'!$D$47-SQRT((1-B267)*('Assumptions'!$D$47-'Assumptions'!$B$47)*('Assumptions'!$D$47-'Assumptions'!$C$47)))</x:f>
        <x:v>0.002893952401755537</x:v>
      </x:c>
      <x:c r="H267" s="132" t="n">
        <x:f>IF(C267&lt;(('Assumptions'!$C$48-'Assumptions'!$B$48)/('Assumptions'!$D$48-'Assumptions'!$B$48)),'Assumptions'!$B$48+SQRT(C267*('Assumptions'!$D$48-'Assumptions'!$B$48)*('Assumptions'!$C$48-'Assumptions'!$B$48)),'Assumptions'!$D$48-SQRT((1-C267)*('Assumptions'!$D$48-'Assumptions'!$B$48)*('Assumptions'!$D$48-'Assumptions'!$C$48)))</x:f>
        <x:v>0.08795893656402132</x:v>
      </x:c>
      <x:c r="I267" s="132" t="n">
        <x:f>IF(D267&lt;(('Assumptions'!$C$49-'Assumptions'!$B$49)/('Assumptions'!$D$49-'Assumptions'!$B$49)),'Assumptions'!$B$49+SQRT(D267*('Assumptions'!$D$49-'Assumptions'!$B$49)*('Assumptions'!$C$49-'Assumptions'!$B$49)),'Assumptions'!$D$49-SQRT((1-D267)*('Assumptions'!$D$49-'Assumptions'!$B$49)*('Assumptions'!$D$49-'Assumptions'!$C$49)))</x:f>
        <x:v>0.037060642854289755</x:v>
      </x:c>
      <x:c r="J267" s="132" t="n">
        <x:f>IF(E267&lt;(('Assumptions'!$C$50-'Assumptions'!$B$50)/('Assumptions'!$D$50-'Assumptions'!$B$50)),'Assumptions'!$B$50+SQRT(E267*('Assumptions'!$D$50-'Assumptions'!$B$50)*('Assumptions'!$C$50-'Assumptions'!$B$50)),'Assumptions'!$D$50-SQRT((1-E267)*('Assumptions'!$D$50-'Assumptions'!$B$50)*('Assumptions'!$D$50-'Assumptions'!$C$50)))</x:f>
        <x:v>0.06330741117637445</x:v>
      </x:c>
      <x:c r="K267" s="132" t="n">
        <x:f>IF(F267&lt;(('Assumptions'!$C$51-'Assumptions'!$B$51)/('Assumptions'!$D$51-'Assumptions'!$B$51)),'Assumptions'!$B$51+SQRT(F267*('Assumptions'!$D$51-'Assumptions'!$B$51)*('Assumptions'!$C$51-'Assumptions'!$B$51)),'Assumptions'!$D$51-SQRT((1-F267)*('Assumptions'!$D$51-'Assumptions'!$B$51)*('Assumptions'!$D$51-'Assumptions'!$C$51)))</x:f>
        <x:v>0.07376677701778021</x:v>
      </x:c>
      <x:c r="L267" s="133" t="n">
        <x:f>(('Assumptions'!$B$17*(1+G267)+'Assumptions'!$B$18)*(1-H267-'Assumptions'!$B$20)-SUM('Assumptions'!$B$21:$B$25)*(1+I267))-(('Assumptions'!$B$17*(1+G267)+'Assumptions'!$B$18)*(1-H267-'Assumptions'!$B$20)*'Assumptions'!$B$26)</x:f>
        <x:v>197565.19642454298</x:v>
      </x:c>
      <x:c r="M267" s="133" t="n">
        <x:f>'Assumptions'!$B$10*'Assumptions'!$B$33</x:f>
        <x:v>1950000</x:v>
      </x:c>
      <x:c r="N267" s="133" t="n">
        <x:f>-PMT(K267/12,'Assumptions'!$B$35*12,M267)*12</x:f>
        <x:v>161644.7413361568</x:v>
      </x:c>
      <x:c r="O267" s="133" t="n">
        <x:f>(L267*(1+'Assumptions'!$B$29)^('Assumptions'!$B$14/12)/J267)*(1-'Assumptions'!$B$42)-'Debt Schedule'!$F$9</x:f>
        <x:v>3400712.0744082145</x:v>
      </x:c>
      <x:c r="P267" s="132" t="n">
        <x:f>((O267+(L267-N267-'Assumptions'!$B$27-'Assumptions'!$B$28)*('Assumptions'!$B$14/12))/ABS('Monthly Cash Flow'!$S$5))^(1/('Assumptions'!$B$14/12))-1</x:f>
        <x:v>0.21163275896166112</x:v>
      </x:c>
      <x:c r="Q267" s="133" t="n">
        <x:f>-ABS('Monthly Cash Flow'!$S$5)+((L267-N267-'Assumptions'!$B$27-'Assumptions'!$B$28)*(1-(1+'Assumptions'!$B$43)^-('Assumptions'!$B$14/12))/'Assumptions'!$B$43)+(O267/(1+'Assumptions'!$B$43)^('Assumptions'!$B$14/12))</x:f>
        <x:v>801609.9557086388</x:v>
      </x:c>
    </x:row>
    <x:row r="268">
      <x:c r="A268" s="131" t="n">
        <x:f>261</x:f>
        <x:v>261</x:v>
      </x:c>
      <x:c r="B268" s="131" t="n">
        <x:f>MOD(ABS(SIN((A268+1)*12.9898+78.233)*43758.5453),1)</x:f>
        <x:v>0.6922417859605048</x:v>
      </x:c>
      <x:c r="C268" s="131" t="n">
        <x:f>MOD(ABS(SIN((A268+2)*12.9898+78.233)*43758.5453),1)</x:f>
        <x:v>0.40947692627378274</x:v>
      </x:c>
      <x:c r="D268" s="131" t="n">
        <x:f>MOD(ABS(SIN((A268+3)*12.9898+78.233)*43758.5453),1)</x:f>
        <x:v>0.14989344253990566</x:v>
      </x:c>
      <x:c r="E268" s="131" t="n">
        <x:f>MOD(ABS(SIN((A268+4)*12.9898+78.233)*43758.5453),1)</x:f>
        <x:v>0.7377967821958009</x:v>
      </x:c>
      <x:c r="F268" s="131" t="n">
        <x:f>MOD(ABS(SIN((A268+5)*12.9898+78.233)*43758.5453),1)</x:f>
        <x:v>0.6048509907304833</x:v>
      </x:c>
      <x:c r="G268" s="132" t="n">
        <x:f>IF(B268&lt;(('Assumptions'!$C$47-'Assumptions'!$B$47)/('Assumptions'!$D$47-'Assumptions'!$B$47)),'Assumptions'!$B$47+SQRT(B268*('Assumptions'!$D$47-'Assumptions'!$B$47)*('Assumptions'!$C$47-'Assumptions'!$B$47)),'Assumptions'!$D$47-SQRT((1-B268)*('Assumptions'!$D$47-'Assumptions'!$B$47)*('Assumptions'!$D$47-'Assumptions'!$C$47)))</x:f>
        <x:v>0.02982784437804463</x:v>
      </x:c>
      <x:c r="H268" s="132" t="n">
        <x:f>IF(C268&lt;(('Assumptions'!$C$48-'Assumptions'!$B$48)/('Assumptions'!$D$48-'Assumptions'!$B$48)),'Assumptions'!$B$48+SQRT(C268*('Assumptions'!$D$48-'Assumptions'!$B$48)*('Assumptions'!$C$48-'Assumptions'!$B$48)),'Assumptions'!$D$48-SQRT((1-C268)*('Assumptions'!$D$48-'Assumptions'!$B$48)*('Assumptions'!$D$48-'Assumptions'!$C$48)))</x:f>
        <x:v>0.06791253195741502</x:v>
      </x:c>
      <x:c r="I268" s="132" t="n">
        <x:f>IF(D268&lt;(('Assumptions'!$C$49-'Assumptions'!$B$49)/('Assumptions'!$D$49-'Assumptions'!$B$49)),'Assumptions'!$B$49+SQRT(D268*('Assumptions'!$D$49-'Assumptions'!$B$49)*('Assumptions'!$C$49-'Assumptions'!$B$49)),'Assumptions'!$D$49-SQRT((1-D268)*('Assumptions'!$D$49-'Assumptions'!$B$49)*('Assumptions'!$D$49-'Assumptions'!$C$49)))</x:f>
        <x:v>0.0102349248716955</x:v>
      </x:c>
      <x:c r="J268" s="132" t="n">
        <x:f>IF(E268&lt;(('Assumptions'!$C$50-'Assumptions'!$B$50)/('Assumptions'!$D$50-'Assumptions'!$B$50)),'Assumptions'!$B$50+SQRT(E268*('Assumptions'!$D$50-'Assumptions'!$B$50)*('Assumptions'!$C$50-'Assumptions'!$B$50)),'Assumptions'!$D$50-SQRT((1-E268)*('Assumptions'!$D$50-'Assumptions'!$B$50)*('Assumptions'!$D$50-'Assumptions'!$C$50)))</x:f>
        <x:v>0.07141252918447864</x:v>
      </x:c>
      <x:c r="K268" s="132" t="n">
        <x:f>IF(F268&lt;(('Assumptions'!$C$51-'Assumptions'!$B$51)/('Assumptions'!$D$51-'Assumptions'!$B$51)),'Assumptions'!$B$51+SQRT(F268*('Assumptions'!$D$51-'Assumptions'!$B$51)*('Assumptions'!$C$51-'Assumptions'!$B$51)),'Assumptions'!$D$51-SQRT((1-F268)*('Assumptions'!$D$51-'Assumptions'!$B$51)*('Assumptions'!$D$51-'Assumptions'!$C$51)))</x:f>
        <x:v>0.07120995066321535</x:v>
      </x:c>
      <x:c r="L268" s="133" t="n">
        <x:f>(('Assumptions'!$B$17*(1+G268)+'Assumptions'!$B$18)*(1-H268-'Assumptions'!$B$20)-SUM('Assumptions'!$B$21:$B$25)*(1+I268))-(('Assumptions'!$B$17*(1+G268)+'Assumptions'!$B$18)*(1-H268-'Assumptions'!$B$20)*'Assumptions'!$B$26)</x:f>
        <x:v>216822.84131576263</x:v>
      </x:c>
      <x:c r="M268" s="133" t="n">
        <x:f>'Assumptions'!$B$10*'Assumptions'!$B$33</x:f>
        <x:v>1950000</x:v>
      </x:c>
      <x:c r="N268" s="133" t="n">
        <x:f>-PMT(K268/12,'Assumptions'!$B$35*12,M268)*12</x:f>
        <x:v>157586.88532040585</x:v>
      </x:c>
      <x:c r="O268" s="133" t="n">
        <x:f>(L268*(1+'Assumptions'!$B$29)^('Assumptions'!$B$14/12)/J268)*(1-'Assumptions'!$B$42)-'Debt Schedule'!$F$9</x:f>
        <x:v>3308602.5020042975</x:v>
      </x:c>
      <x:c r="P268" s="132" t="n">
        <x:f>((O268+(L268-N268-'Assumptions'!$B$27-'Assumptions'!$B$28)*('Assumptions'!$B$14/12))/ABS('Monthly Cash Flow'!$S$5))^(1/('Assumptions'!$B$14/12))-1</x:f>
        <x:v>0.21338174915400931</x:v>
      </x:c>
      <x:c r="Q268" s="133" t="n">
        <x:f>-ABS('Monthly Cash Flow'!$S$5)+((L268-N268-'Assumptions'!$B$27-'Assumptions'!$B$28)*(1-(1+'Assumptions'!$B$43)^-('Assumptions'!$B$14/12))/'Assumptions'!$B$43)+(O268/(1+'Assumptions'!$B$43)^('Assumptions'!$B$14/12))</x:f>
        <x:v>832801.2505054604</x:v>
      </x:c>
    </x:row>
    <x:row r="269">
      <x:c r="A269" s="131" t="n">
        <x:f>262</x:f>
        <x:v>262</x:v>
      </x:c>
      <x:c r="B269" s="131" t="n">
        <x:f>MOD(ABS(SIN((A269+1)*12.9898+78.233)*43758.5453),1)</x:f>
        <x:v>0.40947692627378274</x:v>
      </x:c>
      <x:c r="C269" s="131" t="n">
        <x:f>MOD(ABS(SIN((A269+2)*12.9898+78.233)*43758.5453),1)</x:f>
        <x:v>0.14989344253990566</x:v>
      </x:c>
      <x:c r="D269" s="131" t="n">
        <x:f>MOD(ABS(SIN((A269+3)*12.9898+78.233)*43758.5453),1)</x:f>
        <x:v>0.7377967821958009</x:v>
      </x:c>
      <x:c r="E269" s="131" t="n">
        <x:f>MOD(ABS(SIN((A269+4)*12.9898+78.233)*43758.5453),1)</x:f>
        <x:v>0.6048509907304833</x:v>
      </x:c>
      <x:c r="F269" s="131" t="n">
        <x:f>MOD(ABS(SIN((A269+5)*12.9898+78.233)*43758.5453),1)</x:f>
        <x:v>0.276782019125676</x:v>
      </x:c>
      <x:c r="G269" s="132" t="n">
        <x:f>IF(B269&lt;(('Assumptions'!$C$47-'Assumptions'!$B$47)/('Assumptions'!$D$47-'Assumptions'!$B$47)),'Assumptions'!$B$47+SQRT(B269*('Assumptions'!$D$47-'Assumptions'!$B$47)*('Assumptions'!$C$47-'Assumptions'!$B$47)),'Assumptions'!$D$47-SQRT((1-B269)*('Assumptions'!$D$47-'Assumptions'!$B$47)*('Assumptions'!$D$47-'Assumptions'!$C$47)))</x:f>
        <x:v>-0.0008665231590721106</x:v>
      </x:c>
      <x:c r="H269" s="132" t="n">
        <x:f>IF(C269&lt;(('Assumptions'!$C$48-'Assumptions'!$B$48)/('Assumptions'!$D$48-'Assumptions'!$B$48)),'Assumptions'!$B$48+SQRT(C269*('Assumptions'!$D$48-'Assumptions'!$B$48)*('Assumptions'!$C$48-'Assumptions'!$B$48)),'Assumptions'!$D$48-SQRT((1-C269)*('Assumptions'!$D$48-'Assumptions'!$B$48)*('Assumptions'!$D$48-'Assumptions'!$C$48)))</x:f>
        <x:v>0.05224069154459206</x:v>
      </x:c>
      <x:c r="I269" s="132" t="n">
        <x:f>IF(D269&lt;(('Assumptions'!$C$49-'Assumptions'!$B$49)/('Assumptions'!$D$49-'Assumptions'!$B$49)),'Assumptions'!$B$49+SQRT(D269*('Assumptions'!$D$49-'Assumptions'!$B$49)*('Assumptions'!$C$49-'Assumptions'!$B$49)),'Assumptions'!$D$49-SQRT((1-D269)*('Assumptions'!$D$49-'Assumptions'!$B$49)*('Assumptions'!$D$49-'Assumptions'!$C$49)))</x:f>
        <x:v>0.07474317635874671</x:v>
      </x:c>
      <x:c r="J269" s="132" t="n">
        <x:f>IF(E269&lt;(('Assumptions'!$C$50-'Assumptions'!$B$50)/('Assumptions'!$D$50-'Assumptions'!$B$50)),'Assumptions'!$B$50+SQRT(E269*('Assumptions'!$D$50-'Assumptions'!$B$50)*('Assumptions'!$C$50-'Assumptions'!$B$50)),'Assumptions'!$D$50-SQRT((1-E269)*('Assumptions'!$D$50-'Assumptions'!$B$50)*('Assumptions'!$D$50-'Assumptions'!$C$50)))</x:f>
        <x:v>0.06945791012858211</x:v>
      </x:c>
      <x:c r="K269" s="132" t="n">
        <x:f>IF(F269&lt;(('Assumptions'!$C$51-'Assumptions'!$B$51)/('Assumptions'!$D$51-'Assumptions'!$B$51)),'Assumptions'!$B$51+SQRT(F269*('Assumptions'!$D$51-'Assumptions'!$B$51)*('Assumptions'!$C$51-'Assumptions'!$B$51)),'Assumptions'!$D$51-SQRT((1-F269)*('Assumptions'!$D$51-'Assumptions'!$B$51)*('Assumptions'!$D$51-'Assumptions'!$C$51)))</x:f>
        <x:v>0.06622439426318877</x:v>
      </x:c>
      <x:c r="L269" s="133" t="n">
        <x:f>(('Assumptions'!$B$17*(1+G269)+'Assumptions'!$B$18)*(1-H269-'Assumptions'!$B$20)-SUM('Assumptions'!$B$21:$B$25)*(1+I269))-(('Assumptions'!$B$17*(1+G269)+'Assumptions'!$B$18)*(1-H269-'Assumptions'!$B$20)*'Assumptions'!$B$26)</x:f>
        <x:v>204595.62647234916</x:v>
      </x:c>
      <x:c r="M269" s="133" t="n">
        <x:f>'Assumptions'!$B$10*'Assumptions'!$B$33</x:f>
        <x:v>1950000</x:v>
      </x:c>
      <x:c r="N269" s="133" t="n">
        <x:f>-PMT(K269/12,'Assumptions'!$B$35*12,M269)*12</x:f>
        <x:v>149793.1489938193</x:v>
      </x:c>
      <x:c r="O269" s="133" t="n">
        <x:f>(L269*(1+'Assumptions'!$B$29)^('Assumptions'!$B$14/12)/J269)*(1-'Assumptions'!$B$42)-'Debt Schedule'!$F$9</x:f>
        <x:v>3209878.626390493</x:v>
      </x:c>
      <x:c r="P269" s="132" t="n">
        <x:f>((O269+(L269-N269-'Assumptions'!$B$27-'Assumptions'!$B$28)*('Assumptions'!$B$14/12))/ABS('Monthly Cash Flow'!$S$5))^(1/('Assumptions'!$B$14/12))-1</x:f>
        <x:v>0.20464015616917863</x:v>
      </x:c>
      <x:c r="Q269" s="133" t="n">
        <x:f>-ABS('Monthly Cash Flow'!$S$5)+((L269-N269-'Assumptions'!$B$27-'Assumptions'!$B$28)*(1-(1+'Assumptions'!$B$43)^-('Assumptions'!$B$14/12))/'Assumptions'!$B$43)+(O269/(1+'Assumptions'!$B$43)^('Assumptions'!$B$14/12))</x:f>
        <x:v>754695.1193377655</x:v>
      </x:c>
    </x:row>
    <x:row r="270">
      <x:c r="A270" s="131" t="n">
        <x:f>263</x:f>
        <x:v>263</x:v>
      </x:c>
      <x:c r="B270" s="131" t="n">
        <x:f>MOD(ABS(SIN((A270+1)*12.9898+78.233)*43758.5453),1)</x:f>
        <x:v>0.14989344253990566</x:v>
      </x:c>
      <x:c r="C270" s="131" t="n">
        <x:f>MOD(ABS(SIN((A270+2)*12.9898+78.233)*43758.5453),1)</x:f>
        <x:v>0.7377967821958009</x:v>
      </x:c>
      <x:c r="D270" s="131" t="n">
        <x:f>MOD(ABS(SIN((A270+3)*12.9898+78.233)*43758.5453),1)</x:f>
        <x:v>0.6048509907304833</x:v>
      </x:c>
      <x:c r="E270" s="131" t="n">
        <x:f>MOD(ABS(SIN((A270+4)*12.9898+78.233)*43758.5453),1)</x:f>
        <x:v>0.276782019125676</x:v>
      </x:c>
      <x:c r="F270" s="131" t="n">
        <x:f>MOD(ABS(SIN((A270+5)*12.9898+78.233)*43758.5453),1)</x:f>
        <x:v>0.4761101273134045</x:v>
      </x:c>
      <x:c r="G270" s="132" t="n">
        <x:f>IF(B270&lt;(('Assumptions'!$C$47-'Assumptions'!$B$47)/('Assumptions'!$D$47-'Assumptions'!$B$47)),'Assumptions'!$B$47+SQRT(B270*('Assumptions'!$D$47-'Assumptions'!$B$47)*('Assumptions'!$C$47-'Assumptions'!$B$47)),'Assumptions'!$D$47-SQRT((1-B270)*('Assumptions'!$D$47-'Assumptions'!$B$47)*('Assumptions'!$D$47-'Assumptions'!$C$47)))</x:f>
        <x:v>-0.04002131527819457</x:v>
      </x:c>
      <x:c r="H270" s="132" t="n">
        <x:f>IF(C270&lt;(('Assumptions'!$C$48-'Assumptions'!$B$48)/('Assumptions'!$D$48-'Assumptions'!$B$48)),'Assumptions'!$B$48+SQRT(C270*('Assumptions'!$D$48-'Assumptions'!$B$48)*('Assumptions'!$C$48-'Assumptions'!$B$48)),'Assumptions'!$D$48-SQRT((1-C270)*('Assumptions'!$D$48-'Assumptions'!$B$48)*('Assumptions'!$D$48-'Assumptions'!$C$48)))</x:f>
        <x:v>0.09196471800148404</x:v>
      </x:c>
      <x:c r="I270" s="132" t="n">
        <x:f>IF(D270&lt;(('Assumptions'!$C$49-'Assumptions'!$B$49)/('Assumptions'!$D$49-'Assumptions'!$B$49)),'Assumptions'!$B$49+SQRT(D270*('Assumptions'!$D$49-'Assumptions'!$B$49)*('Assumptions'!$C$49-'Assumptions'!$B$49)),'Assumptions'!$D$49-SQRT((1-D270)*('Assumptions'!$D$49-'Assumptions'!$B$49)*('Assumptions'!$D$49-'Assumptions'!$C$49)))</x:f>
        <x:v>0.057613753186843</x:v>
      </x:c>
      <x:c r="J270" s="132" t="n">
        <x:f>IF(E270&lt;(('Assumptions'!$C$50-'Assumptions'!$B$50)/('Assumptions'!$D$50-'Assumptions'!$B$50)),'Assumptions'!$B$50+SQRT(E270*('Assumptions'!$D$50-'Assumptions'!$B$50)*('Assumptions'!$C$50-'Assumptions'!$B$50)),'Assumptions'!$D$50-SQRT((1-E270)*('Assumptions'!$D$50-'Assumptions'!$B$50)*('Assumptions'!$D$50-'Assumptions'!$C$50)))</x:f>
        <x:v>0.0653915115347617</x:v>
      </x:c>
      <x:c r="K270" s="132" t="n">
        <x:f>IF(F270&lt;(('Assumptions'!$C$51-'Assumptions'!$B$51)/('Assumptions'!$D$51-'Assumptions'!$B$51)),'Assumptions'!$B$51+SQRT(F270*('Assumptions'!$D$51-'Assumptions'!$B$51)*('Assumptions'!$C$51-'Assumptions'!$B$51)),'Assumptions'!$D$51-SQRT((1-F270)*('Assumptions'!$D$51-'Assumptions'!$B$51)*('Assumptions'!$D$51-'Assumptions'!$C$51)))</x:f>
        <x:v>0.06912164992102693</x:v>
      </x:c>
      <x:c r="L270" s="133" t="n">
        <x:f>(('Assumptions'!$B$17*(1+G270)+'Assumptions'!$B$18)*(1-H270-'Assumptions'!$B$20)-SUM('Assumptions'!$B$21:$B$25)*(1+I270))-(('Assumptions'!$B$17*(1+G270)+'Assumptions'!$B$18)*(1-H270-'Assumptions'!$B$20)*'Assumptions'!$B$26)</x:f>
        <x:v>180198.65506081548</x:v>
      </x:c>
      <x:c r="M270" s="133" t="n">
        <x:f>'Assumptions'!$B$10*'Assumptions'!$B$33</x:f>
        <x:v>1950000</x:v>
      </x:c>
      <x:c r="N270" s="133" t="n">
        <x:f>-PMT(K270/12,'Assumptions'!$B$35*12,M270)*12</x:f>
        <x:v>154302.87973287707</x:v>
      </x:c>
      <x:c r="O270" s="133" t="n">
        <x:f>(L270*(1+'Assumptions'!$B$29)^('Assumptions'!$B$14/12)/J270)*(1-'Assumptions'!$B$42)-'Debt Schedule'!$F$9</x:f>
        <x:v>3002922.6528767613</x:v>
      </x:c>
      <x:c r="P270" s="132" t="n">
        <x:f>((O270+(L270-N270-'Assumptions'!$B$27-'Assumptions'!$B$28)*('Assumptions'!$B$14/12))/ABS('Monthly Cash Flow'!$S$5))^(1/('Assumptions'!$B$14/12))-1</x:f>
        <x:v>0.17767180205946986</x:v>
      </x:c>
      <x:c r="Q270" s="133" t="n">
        <x:f>-ABS('Monthly Cash Flow'!$S$5)+((L270-N270-'Assumptions'!$B$27-'Assumptions'!$B$28)*(1-(1+'Assumptions'!$B$43)^-('Assumptions'!$B$14/12))/'Assumptions'!$B$43)+(O270/(1+'Assumptions'!$B$43)^('Assumptions'!$B$14/12))</x:f>
        <x:v>516612.5983889308</x:v>
      </x:c>
    </x:row>
    <x:row r="271">
      <x:c r="A271" s="131" t="n">
        <x:f>264</x:f>
        <x:v>264</x:v>
      </x:c>
      <x:c r="B271" s="131" t="n">
        <x:f>MOD(ABS(SIN((A271+1)*12.9898+78.233)*43758.5453),1)</x:f>
        <x:v>0.7377967821958009</x:v>
      </x:c>
      <x:c r="C271" s="131" t="n">
        <x:f>MOD(ABS(SIN((A271+2)*12.9898+78.233)*43758.5453),1)</x:f>
        <x:v>0.6048509907304833</x:v>
      </x:c>
      <x:c r="D271" s="131" t="n">
        <x:f>MOD(ABS(SIN((A271+3)*12.9898+78.233)*43758.5453),1)</x:f>
        <x:v>0.276782019125676</x:v>
      </x:c>
      <x:c r="E271" s="131" t="n">
        <x:f>MOD(ABS(SIN((A271+4)*12.9898+78.233)*43758.5453),1)</x:f>
        <x:v>0.4761101273134045</x:v>
      </x:c>
      <x:c r="F271" s="131" t="n">
        <x:f>MOD(ABS(SIN((A271+5)*12.9898+78.233)*43758.5453),1)</x:f>
        <x:v>0.6830060617467097</x:v>
      </x:c>
      <x:c r="G271" s="132" t="n">
        <x:f>IF(B271&lt;(('Assumptions'!$C$47-'Assumptions'!$B$47)/('Assumptions'!$D$47-'Assumptions'!$B$47)),'Assumptions'!$B$47+SQRT(B271*('Assumptions'!$D$47-'Assumptions'!$B$47)*('Assumptions'!$C$47-'Assumptions'!$B$47)),'Assumptions'!$D$47-SQRT((1-B271)*('Assumptions'!$D$47-'Assumptions'!$B$47)*('Assumptions'!$D$47-'Assumptions'!$C$47)))</x:f>
        <x:v>0.03522923896643497</x:v>
      </x:c>
      <x:c r="H271" s="132" t="n">
        <x:f>IF(C271&lt;(('Assumptions'!$C$48-'Assumptions'!$B$48)/('Assumptions'!$D$48-'Assumptions'!$B$48)),'Assumptions'!$B$48+SQRT(C271*('Assumptions'!$D$48-'Assumptions'!$B$48)*('Assumptions'!$C$48-'Assumptions'!$B$48)),'Assumptions'!$D$48-SQRT((1-C271)*('Assumptions'!$D$48-'Assumptions'!$B$48)*('Assumptions'!$D$48-'Assumptions'!$C$48)))</x:f>
        <x:v>0.08103126861147728</x:v>
      </x:c>
      <x:c r="I271" s="132" t="n">
        <x:f>IF(D271&lt;(('Assumptions'!$C$49-'Assumptions'!$B$49)/('Assumptions'!$D$49-'Assumptions'!$B$49)),'Assumptions'!$B$49+SQRT(D271*('Assumptions'!$D$49-'Assumptions'!$B$49)*('Assumptions'!$C$49-'Assumptions'!$B$49)),'Assumptions'!$D$49-SQRT((1-D271)*('Assumptions'!$D$49-'Assumptions'!$B$49)*('Assumptions'!$D$49-'Assumptions'!$C$49)))</x:f>
        <x:v>0.024673995706892514</x:v>
      </x:c>
      <x:c r="J271" s="132" t="n">
        <x:f>IF(E271&lt;(('Assumptions'!$C$50-'Assumptions'!$B$50)/('Assumptions'!$D$50-'Assumptions'!$B$50)),'Assumptions'!$B$50+SQRT(E271*('Assumptions'!$D$50-'Assumptions'!$B$50)*('Assumptions'!$C$50-'Assumptions'!$B$50)),'Assumptions'!$D$50-SQRT((1-E271)*('Assumptions'!$D$50-'Assumptions'!$B$50)*('Assumptions'!$D$50-'Assumptions'!$C$50)))</x:f>
        <x:v>0.06786146521638196</x:v>
      </x:c>
      <x:c r="K271" s="132" t="n">
        <x:f>IF(F271&lt;(('Assumptions'!$C$51-'Assumptions'!$B$51)/('Assumptions'!$D$51-'Assumptions'!$B$51)),'Assumptions'!$B$51+SQRT(F271*('Assumptions'!$D$51-'Assumptions'!$B$51)*('Assumptions'!$C$51-'Assumptions'!$B$51)),'Assumptions'!$D$51-SQRT((1-F271)*('Assumptions'!$D$51-'Assumptions'!$B$51)*('Assumptions'!$D$51-'Assumptions'!$C$51)))</x:f>
        <x:v>0.07264875177221364</x:v>
      </x:c>
      <x:c r="L271" s="133" t="n">
        <x:f>(('Assumptions'!$B$17*(1+G271)+'Assumptions'!$B$18)*(1-H271-'Assumptions'!$B$20)-SUM('Assumptions'!$B$21:$B$25)*(1+I271))-(('Assumptions'!$B$17*(1+G271)+'Assumptions'!$B$18)*(1-H271-'Assumptions'!$B$20)*'Assumptions'!$B$26)</x:f>
        <x:v>211804.54859782007</x:v>
      </x:c>
      <x:c r="M271" s="133" t="n">
        <x:f>'Assumptions'!$B$10*'Assumptions'!$B$33</x:f>
        <x:v>1950000</x:v>
      </x:c>
      <x:c r="N271" s="133" t="n">
        <x:f>-PMT(K271/12,'Assumptions'!$B$35*12,M271)*12</x:f>
        <x:v>159865.41036747734</x:v>
      </x:c>
      <x:c r="O271" s="133" t="n">
        <x:f>(L271*(1+'Assumptions'!$B$29)^('Assumptions'!$B$14/12)/J271)*(1-'Assumptions'!$B$42)-'Debt Schedule'!$F$9</x:f>
        <x:v>3401151.8901312146</x:v>
      </x:c>
      <x:c r="P271" s="132" t="n">
        <x:f>((O271+(L271-N271-'Assumptions'!$B$27-'Assumptions'!$B$28)*('Assumptions'!$B$14/12))/ABS('Monthly Cash Flow'!$S$5))^(1/('Assumptions'!$B$14/12))-1</x:f>
        <x:v>0.21735174788565303</x:v>
      </x:c>
      <x:c r="Q271" s="133" t="n">
        <x:f>-ABS('Monthly Cash Flow'!$S$5)+((L271-N271-'Assumptions'!$B$27-'Assumptions'!$B$28)*(1-(1+'Assumptions'!$B$43)^-('Assumptions'!$B$14/12))/'Assumptions'!$B$43)+(O271/(1+'Assumptions'!$B$43)^('Assumptions'!$B$14/12))</x:f>
        <x:v>862606.4587871414</x:v>
      </x:c>
    </x:row>
    <x:row r="272">
      <x:c r="A272" s="131" t="n">
        <x:f>265</x:f>
        <x:v>265</x:v>
      </x:c>
      <x:c r="B272" s="131" t="n">
        <x:f>MOD(ABS(SIN((A272+1)*12.9898+78.233)*43758.5453),1)</x:f>
        <x:v>0.6048509907304833</x:v>
      </x:c>
      <x:c r="C272" s="131" t="n">
        <x:f>MOD(ABS(SIN((A272+2)*12.9898+78.233)*43758.5453),1)</x:f>
        <x:v>0.276782019125676</x:v>
      </x:c>
      <x:c r="D272" s="131" t="n">
        <x:f>MOD(ABS(SIN((A272+3)*12.9898+78.233)*43758.5453),1)</x:f>
        <x:v>0.4761101273134045</x:v>
      </x:c>
      <x:c r="E272" s="131" t="n">
        <x:f>MOD(ABS(SIN((A272+4)*12.9898+78.233)*43758.5453),1)</x:f>
        <x:v>0.6830060617467097</x:v>
      </x:c>
      <x:c r="F272" s="131" t="n">
        <x:f>MOD(ABS(SIN((A272+5)*12.9898+78.233)*43758.5453),1)</x:f>
        <x:v>0.5614273620813037</x:v>
      </x:c>
      <x:c r="G272" s="132" t="n">
        <x:f>IF(B272&lt;(('Assumptions'!$C$47-'Assumptions'!$B$47)/('Assumptions'!$D$47-'Assumptions'!$B$47)),'Assumptions'!$B$47+SQRT(B272*('Assumptions'!$D$47-'Assumptions'!$B$47)*('Assumptions'!$C$47-'Assumptions'!$B$47)),'Assumptions'!$D$47-SQRT((1-B272)*('Assumptions'!$D$47-'Assumptions'!$B$47)*('Assumptions'!$D$47-'Assumptions'!$C$47)))</x:f>
        <x:v>0.020486578816452203</x:v>
      </x:c>
      <x:c r="H272" s="132" t="n">
        <x:f>IF(C272&lt;(('Assumptions'!$C$48-'Assumptions'!$B$48)/('Assumptions'!$D$48-'Assumptions'!$B$48)),'Assumptions'!$B$48+SQRT(C272*('Assumptions'!$D$48-'Assumptions'!$B$48)*('Assumptions'!$C$48-'Assumptions'!$B$48)),'Assumptions'!$D$48-SQRT((1-C272)*('Assumptions'!$D$48-'Assumptions'!$B$48)*('Assumptions'!$D$48-'Assumptions'!$C$48)))</x:f>
        <x:v>0.06022332275850259</x:v>
      </x:c>
      <x:c r="I272" s="132" t="n">
        <x:f>IF(D272&lt;(('Assumptions'!$C$49-'Assumptions'!$B$49)/('Assumptions'!$D$49-'Assumptions'!$B$49)),'Assumptions'!$B$49+SQRT(D272*('Assumptions'!$D$49-'Assumptions'!$B$49)*('Assumptions'!$C$49-'Assumptions'!$B$49)),'Assumptions'!$D$49-SQRT((1-D272)*('Assumptions'!$D$49-'Assumptions'!$B$49)*('Assumptions'!$D$49-'Assumptions'!$C$49)))</x:f>
        <x:v>0.04362321094322097</x:v>
      </x:c>
      <x:c r="J272" s="132" t="n">
        <x:f>IF(E272&lt;(('Assumptions'!$C$50-'Assumptions'!$B$50)/('Assumptions'!$D$50-'Assumptions'!$B$50)),'Assumptions'!$B$50+SQRT(E272*('Assumptions'!$D$50-'Assumptions'!$B$50)*('Assumptions'!$C$50-'Assumptions'!$B$50)),'Assumptions'!$D$50-SQRT((1-E272)*('Assumptions'!$D$50-'Assumptions'!$B$50)*('Assumptions'!$D$50-'Assumptions'!$C$50)))</x:f>
        <x:v>0.0705578315449396</x:v>
      </x:c>
      <x:c r="K272" s="132" t="n">
        <x:f>IF(F272&lt;(('Assumptions'!$C$51-'Assumptions'!$B$51)/('Assumptions'!$D$51-'Assumptions'!$B$51)),'Assumptions'!$B$51+SQRT(F272*('Assumptions'!$D$51-'Assumptions'!$B$51)*('Assumptions'!$C$51-'Assumptions'!$B$51)),'Assumptions'!$D$51-SQRT((1-F272)*('Assumptions'!$D$51-'Assumptions'!$B$51)*('Assumptions'!$D$51-'Assumptions'!$C$51)))</x:f>
        <x:v>0.07047198974400237</x:v>
      </x:c>
      <x:c r="L272" s="133" t="n">
        <x:f>(('Assumptions'!$B$17*(1+G272)+'Assumptions'!$B$18)*(1-H272-'Assumptions'!$B$20)-SUM('Assumptions'!$B$21:$B$25)*(1+I272))-(('Assumptions'!$B$17*(1+G272)+'Assumptions'!$B$18)*(1-H272-'Assumptions'!$B$20)*'Assumptions'!$B$26)</x:f>
        <x:v>212483.8052215591</x:v>
      </x:c>
      <x:c r="M272" s="133" t="n">
        <x:f>'Assumptions'!$B$10*'Assumptions'!$B$33</x:f>
        <x:v>1950000</x:v>
      </x:c>
      <x:c r="N272" s="133" t="n">
        <x:f>-PMT(K272/12,'Assumptions'!$B$35*12,M272)*12</x:f>
        <x:v>156423.23789510565</x:v>
      </x:c>
      <x:c r="O272" s="133" t="n">
        <x:f>(L272*(1+'Assumptions'!$B$29)^('Assumptions'!$B$14/12)/J272)*(1-'Assumptions'!$B$42)-'Debt Schedule'!$F$9</x:f>
        <x:v>3281667.584389548</x:v>
      </x:c>
      <x:c r="P272" s="132" t="n">
        <x:f>((O272+(L272-N272-'Assumptions'!$B$27-'Assumptions'!$B$28)*('Assumptions'!$B$14/12))/ABS('Monthly Cash Flow'!$S$5))^(1/('Assumptions'!$B$14/12))-1</x:f>
        <x:v>0.21031486327621374</x:v>
      </x:c>
      <x:c r="Q272" s="133" t="n">
        <x:f>-ABS('Monthly Cash Flow'!$S$5)+((L272-N272-'Assumptions'!$B$27-'Assumptions'!$B$28)*(1-(1+'Assumptions'!$B$43)^-('Assumptions'!$B$14/12))/'Assumptions'!$B$43)+(O272/(1+'Assumptions'!$B$43)^('Assumptions'!$B$14/12))</x:f>
        <x:v>804039.5644698124</x:v>
      </x:c>
    </x:row>
    <x:row r="273">
      <x:c r="A273" s="131" t="n">
        <x:f>266</x:f>
        <x:v>266</x:v>
      </x:c>
      <x:c r="B273" s="131" t="n">
        <x:f>MOD(ABS(SIN((A273+1)*12.9898+78.233)*43758.5453),1)</x:f>
        <x:v>0.276782019125676</x:v>
      </x:c>
      <x:c r="C273" s="131" t="n">
        <x:f>MOD(ABS(SIN((A273+2)*12.9898+78.233)*43758.5453),1)</x:f>
        <x:v>0.4761101273134045</x:v>
      </x:c>
      <x:c r="D273" s="131" t="n">
        <x:f>MOD(ABS(SIN((A273+3)*12.9898+78.233)*43758.5453),1)</x:f>
        <x:v>0.6830060617467097</x:v>
      </x:c>
      <x:c r="E273" s="131" t="n">
        <x:f>MOD(ABS(SIN((A273+4)*12.9898+78.233)*43758.5453),1)</x:f>
        <x:v>0.5614273620813037</x:v>
      </x:c>
      <x:c r="F273" s="131" t="n">
        <x:f>MOD(ABS(SIN((A273+5)*12.9898+78.233)*43758.5453),1)</x:f>
        <x:v>0.8566125233337516</x:v>
      </x:c>
      <x:c r="G273" s="132" t="n">
        <x:f>IF(B273&lt;(('Assumptions'!$C$47-'Assumptions'!$B$47)/('Assumptions'!$D$47-'Assumptions'!$B$47)),'Assumptions'!$B$47+SQRT(B273*('Assumptions'!$D$47-'Assumptions'!$B$47)*('Assumptions'!$C$47-'Assumptions'!$B$47)),'Assumptions'!$D$47-SQRT((1-B273)*('Assumptions'!$D$47-'Assumptions'!$B$47)*('Assumptions'!$D$47-'Assumptions'!$C$47)))</x:f>
        <x:v>-0.018496819331904446</x:v>
      </x:c>
      <x:c r="H273" s="132" t="n">
        <x:f>IF(C273&lt;(('Assumptions'!$C$48-'Assumptions'!$B$48)/('Assumptions'!$D$48-'Assumptions'!$B$48)),'Assumptions'!$B$48+SQRT(C273*('Assumptions'!$D$48-'Assumptions'!$B$48)*('Assumptions'!$C$48-'Assumptions'!$B$48)),'Assumptions'!$D$48-SQRT((1-C273)*('Assumptions'!$D$48-'Assumptions'!$B$48)*('Assumptions'!$D$48-'Assumptions'!$C$48)))</x:f>
        <x:v>0.07210131901397465</x:v>
      </x:c>
      <x:c r="I273" s="132" t="n">
        <x:f>IF(D273&lt;(('Assumptions'!$C$49-'Assumptions'!$B$49)/('Assumptions'!$D$49-'Assumptions'!$B$49)),'Assumptions'!$B$49+SQRT(D273*('Assumptions'!$D$49-'Assumptions'!$B$49)*('Assumptions'!$C$49-'Assumptions'!$B$49)),'Assumptions'!$D$49-SQRT((1-D273)*('Assumptions'!$D$49-'Assumptions'!$B$49)*('Assumptions'!$D$49-'Assumptions'!$C$49)))</x:f>
        <x:v>0.06725298152639535</x:v>
      </x:c>
      <x:c r="J273" s="132" t="n">
        <x:f>IF(E273&lt;(('Assumptions'!$C$50-'Assumptions'!$B$50)/('Assumptions'!$D$50-'Assumptions'!$B$50)),'Assumptions'!$B$50+SQRT(E273*('Assumptions'!$D$50-'Assumptions'!$B$50)*('Assumptions'!$C$50-'Assumptions'!$B$50)),'Assumptions'!$D$50-SQRT((1-E273)*('Assumptions'!$D$50-'Assumptions'!$B$50)*('Assumptions'!$D$50-'Assumptions'!$C$50)))</x:f>
        <x:v>0.06889376056378069</x:v>
      </x:c>
      <x:c r="K273" s="132" t="n">
        <x:f>IF(F273&lt;(('Assumptions'!$C$51-'Assumptions'!$B$51)/('Assumptions'!$D$51-'Assumptions'!$B$51)),'Assumptions'!$B$51+SQRT(F273*('Assumptions'!$D$51-'Assumptions'!$B$51)*('Assumptions'!$C$51-'Assumptions'!$B$51)),'Assumptions'!$D$51-SQRT((1-F273)*('Assumptions'!$D$51-'Assumptions'!$B$51)*('Assumptions'!$D$51-'Assumptions'!$C$51)))</x:f>
        <x:v>0.07669306174661013</x:v>
      </x:c>
      <x:c r="L273" s="133" t="n">
        <x:f>(('Assumptions'!$B$17*(1+G273)+'Assumptions'!$B$18)*(1-H273-'Assumptions'!$B$20)-SUM('Assumptions'!$B$21:$B$25)*(1+I273))-(('Assumptions'!$B$17*(1+G273)+'Assumptions'!$B$18)*(1-H273-'Assumptions'!$B$20)*'Assumptions'!$B$26)</x:f>
        <x:v>192745.52966706152</x:v>
      </x:c>
      <x:c r="M273" s="133" t="n">
        <x:f>'Assumptions'!$B$10*'Assumptions'!$B$33</x:f>
        <x:v>1950000</x:v>
      </x:c>
      <x:c r="N273" s="133" t="n">
        <x:f>-PMT(K273/12,'Assumptions'!$B$35*12,M273)*12</x:f>
        <x:v>166337.52130775637</x:v>
      </x:c>
      <x:c r="O273" s="133" t="n">
        <x:f>(L273*(1+'Assumptions'!$B$29)^('Assumptions'!$B$14/12)/J273)*(1-'Assumptions'!$B$42)-'Debt Schedule'!$F$9</x:f>
        <x:v>3048726.0389419636</x:v>
      </x:c>
      <x:c r="P273" s="132" t="n">
        <x:f>((O273+(L273-N273-'Assumptions'!$B$27-'Assumptions'!$B$28)*('Assumptions'!$B$14/12))/ABS('Monthly Cash Flow'!$S$5))^(1/('Assumptions'!$B$14/12))-1</x:f>
        <x:v>0.18153112894612966</x:v>
      </x:c>
      <x:c r="Q273" s="133" t="n">
        <x:f>-ABS('Monthly Cash Flow'!$S$5)+((L273-N273-'Assumptions'!$B$27-'Assumptions'!$B$28)*(1-(1+'Assumptions'!$B$43)^-('Assumptions'!$B$14/12))/'Assumptions'!$B$43)+(O273/(1+'Assumptions'!$B$43)^('Assumptions'!$B$14/12))</x:f>
        <x:v>546994.6636632846</x:v>
      </x:c>
    </x:row>
    <x:row r="274">
      <x:c r="A274" s="131" t="n">
        <x:f>267</x:f>
        <x:v>267</x:v>
      </x:c>
      <x:c r="B274" s="131" t="n">
        <x:f>MOD(ABS(SIN((A274+1)*12.9898+78.233)*43758.5453),1)</x:f>
        <x:v>0.4761101273134045</x:v>
      </x:c>
      <x:c r="C274" s="131" t="n">
        <x:f>MOD(ABS(SIN((A274+2)*12.9898+78.233)*43758.5453),1)</x:f>
        <x:v>0.6830060617467097</x:v>
      </x:c>
      <x:c r="D274" s="131" t="n">
        <x:f>MOD(ABS(SIN((A274+3)*12.9898+78.233)*43758.5453),1)</x:f>
        <x:v>0.5614273620813037</x:v>
      </x:c>
      <x:c r="E274" s="131" t="n">
        <x:f>MOD(ABS(SIN((A274+4)*12.9898+78.233)*43758.5453),1)</x:f>
        <x:v>0.8566125233337516</x:v>
      </x:c>
      <x:c r="F274" s="131" t="n">
        <x:f>MOD(ABS(SIN((A274+5)*12.9898+78.233)*43758.5453),1)</x:f>
        <x:v>0.9251908151272801</x:v>
      </x:c>
      <x:c r="G274" s="132" t="n">
        <x:f>IF(B274&lt;(('Assumptions'!$C$47-'Assumptions'!$B$47)/('Assumptions'!$D$47-'Assumptions'!$B$47)),'Assumptions'!$B$47+SQRT(B274*('Assumptions'!$D$47-'Assumptions'!$B$47)*('Assumptions'!$C$47-'Assumptions'!$B$47)),'Assumptions'!$D$47-SQRT((1-B274)*('Assumptions'!$D$47-'Assumptions'!$B$47)*('Assumptions'!$D$47-'Assumptions'!$C$47)))</x:f>
        <x:v>0.006895477245399434</x:v>
      </x:c>
      <x:c r="H274" s="132" t="n">
        <x:f>IF(C274&lt;(('Assumptions'!$C$48-'Assumptions'!$B$48)/('Assumptions'!$D$48-'Assumptions'!$B$48)),'Assumptions'!$B$48+SQRT(C274*('Assumptions'!$D$48-'Assumptions'!$B$48)*('Assumptions'!$C$48-'Assumptions'!$B$48)),'Assumptions'!$D$48-SQRT((1-C274)*('Assumptions'!$D$48-'Assumptions'!$B$48)*('Assumptions'!$D$48-'Assumptions'!$C$48)))</x:f>
        <x:v>0.08718384095157095</x:v>
      </x:c>
      <x:c r="I274" s="132" t="n">
        <x:f>IF(D274&lt;(('Assumptions'!$C$49-'Assumptions'!$B$49)/('Assumptions'!$D$49-'Assumptions'!$B$49)),'Assumptions'!$B$49+SQRT(D274*('Assumptions'!$D$49-'Assumptions'!$B$49)*('Assumptions'!$C$49-'Assumptions'!$B$49)),'Assumptions'!$D$49-SQRT((1-D274)*('Assumptions'!$D$49-'Assumptions'!$B$49)*('Assumptions'!$D$49-'Assumptions'!$C$49)))</x:f>
        <x:v>0.05266979410766749</x:v>
      </x:c>
      <x:c r="J274" s="132" t="n">
        <x:f>IF(E274&lt;(('Assumptions'!$C$50-'Assumptions'!$B$50)/('Assumptions'!$D$50-'Assumptions'!$B$50)),'Assumptions'!$B$50+SQRT(E274*('Assumptions'!$D$50-'Assumptions'!$B$50)*('Assumptions'!$C$50-'Assumptions'!$B$50)),'Assumptions'!$D$50-SQRT((1-E274)*('Assumptions'!$D$50-'Assumptions'!$B$50)*('Assumptions'!$D$50-'Assumptions'!$C$50)))</x:f>
        <x:v>0.07364958837457111</x:v>
      </x:c>
      <x:c r="K274" s="132" t="n">
        <x:f>IF(F274&lt;(('Assumptions'!$C$51-'Assumptions'!$B$51)/('Assumptions'!$D$51-'Assumptions'!$B$51)),'Assumptions'!$B$51+SQRT(F274*('Assumptions'!$D$51-'Assumptions'!$B$51)*('Assumptions'!$C$51-'Assumptions'!$B$51)),'Assumptions'!$D$51-SQRT((1-F274)*('Assumptions'!$D$51-'Assumptions'!$B$51)*('Assumptions'!$D$51-'Assumptions'!$C$51)))</x:f>
        <x:v>0.07899983998380074</x:v>
      </x:c>
      <x:c r="L274" s="133" t="n">
        <x:f>(('Assumptions'!$B$17*(1+G274)+'Assumptions'!$B$18)*(1-H274-'Assumptions'!$B$20)-SUM('Assumptions'!$B$21:$B$25)*(1+I274))-(('Assumptions'!$B$17*(1+G274)+'Assumptions'!$B$18)*(1-H274-'Assumptions'!$B$20)*'Assumptions'!$B$26)</x:f>
        <x:v>197129.01410401333</x:v>
      </x:c>
      <x:c r="M274" s="133" t="n">
        <x:f>'Assumptions'!$B$10*'Assumptions'!$B$33</x:f>
        <x:v>1950000</x:v>
      </x:c>
      <x:c r="N274" s="133" t="n">
        <x:f>-PMT(K274/12,'Assumptions'!$B$35*12,M274)*12</x:f>
        <x:v>170072.20470341673</x:v>
      </x:c>
      <x:c r="O274" s="133" t="n">
        <x:f>(L274*(1+'Assumptions'!$B$29)^('Assumptions'!$B$14/12)/J274)*(1-'Assumptions'!$B$42)-'Debt Schedule'!$F$9</x:f>
        <x:v>2916716.396702693</x:v>
      </x:c>
      <x:c r="P274" s="132" t="n">
        <x:f>((O274+(L274-N274-'Assumptions'!$B$27-'Assumptions'!$B$28)*('Assumptions'!$B$14/12))/ABS('Monthly Cash Flow'!$S$5))^(1/('Assumptions'!$B$14/12))-1</x:f>
        <x:v>0.17114186700884937</x:v>
      </x:c>
      <x:c r="Q274" s="133" t="n">
        <x:f>-ABS('Monthly Cash Flow'!$S$5)+((L274-N274-'Assumptions'!$B$27-'Assumptions'!$B$28)*(1-(1+'Assumptions'!$B$43)^-('Assumptions'!$B$14/12))/'Assumptions'!$B$43)+(O274/(1+'Assumptions'!$B$43)^('Assumptions'!$B$14/12))</x:f>
        <x:v>467486.5283508168</x:v>
      </x:c>
    </x:row>
    <x:row r="275">
      <x:c r="A275" s="131" t="n">
        <x:f>268</x:f>
        <x:v>268</x:v>
      </x:c>
      <x:c r="B275" s="131" t="n">
        <x:f>MOD(ABS(SIN((A275+1)*12.9898+78.233)*43758.5453),1)</x:f>
        <x:v>0.6830060617467097</x:v>
      </x:c>
      <x:c r="C275" s="131" t="n">
        <x:f>MOD(ABS(SIN((A275+2)*12.9898+78.233)*43758.5453),1)</x:f>
        <x:v>0.5614273620813037</x:v>
      </x:c>
      <x:c r="D275" s="131" t="n">
        <x:f>MOD(ABS(SIN((A275+3)*12.9898+78.233)*43758.5453),1)</x:f>
        <x:v>0.8566125233337516</x:v>
      </x:c>
      <x:c r="E275" s="131" t="n">
        <x:f>MOD(ABS(SIN((A275+4)*12.9898+78.233)*43758.5453),1)</x:f>
        <x:v>0.9251908151272801</x:v>
      </x:c>
      <x:c r="F275" s="131" t="n">
        <x:f>MOD(ABS(SIN((A275+5)*12.9898+78.233)*43758.5453),1)</x:f>
        <x:v>0.7145043233904289</x:v>
      </x:c>
      <x:c r="G275" s="132" t="n">
        <x:f>IF(B275&lt;(('Assumptions'!$C$47-'Assumptions'!$B$47)/('Assumptions'!$D$47-'Assumptions'!$B$47)),'Assumptions'!$B$47+SQRT(B275*('Assumptions'!$D$47-'Assumptions'!$B$47)*('Assumptions'!$C$47-'Assumptions'!$B$47)),'Assumptions'!$D$47-SQRT((1-B275)*('Assumptions'!$D$47-'Assumptions'!$B$47)*('Assumptions'!$D$47-'Assumptions'!$C$47)))</x:f>
        <x:v>0.02878270566742483</x:v>
      </x:c>
      <x:c r="H275" s="132" t="n">
        <x:f>IF(C275&lt;(('Assumptions'!$C$48-'Assumptions'!$B$48)/('Assumptions'!$D$48-'Assumptions'!$B$48)),'Assumptions'!$B$48+SQRT(C275*('Assumptions'!$D$48-'Assumptions'!$B$48)*('Assumptions'!$C$48-'Assumptions'!$B$48)),'Assumptions'!$D$48-SQRT((1-C275)*('Assumptions'!$D$48-'Assumptions'!$B$48)*('Assumptions'!$D$48-'Assumptions'!$C$48)))</x:f>
        <x:v>0.07787561498345012</x:v>
      </x:c>
      <x:c r="I275" s="132" t="n">
        <x:f>IF(D275&lt;(('Assumptions'!$C$49-'Assumptions'!$B$49)/('Assumptions'!$D$49-'Assumptions'!$B$49)),'Assumptions'!$B$49+SQRT(D275*('Assumptions'!$D$49-'Assumptions'!$B$49)*('Assumptions'!$C$49-'Assumptions'!$B$49)),'Assumptions'!$D$49-SQRT((1-D275)*('Assumptions'!$D$49-'Assumptions'!$B$49)*('Assumptions'!$D$49-'Assumptions'!$C$49)))</x:f>
        <x:v>0.09434778085295281</x:v>
      </x:c>
      <x:c r="J275" s="132" t="n">
        <x:f>IF(E275&lt;(('Assumptions'!$C$50-'Assumptions'!$B$50)/('Assumptions'!$D$50-'Assumptions'!$B$50)),'Assumptions'!$B$50+SQRT(E275*('Assumptions'!$D$50-'Assumptions'!$B$50)*('Assumptions'!$C$50-'Assumptions'!$B$50)),'Assumptions'!$D$50-SQRT((1-E275)*('Assumptions'!$D$50-'Assumptions'!$B$50)*('Assumptions'!$D$50-'Assumptions'!$C$50)))</x:f>
        <x:v>0.07541305294935155</x:v>
      </x:c>
      <x:c r="K275" s="132" t="n">
        <x:f>IF(F275&lt;(('Assumptions'!$C$51-'Assumptions'!$B$51)/('Assumptions'!$D$51-'Assumptions'!$B$51)),'Assumptions'!$B$51+SQRT(F275*('Assumptions'!$D$51-'Assumptions'!$B$51)*('Assumptions'!$C$51-'Assumptions'!$B$51)),'Assumptions'!$D$51-SQRT((1-F275)*('Assumptions'!$D$51-'Assumptions'!$B$51)*('Assumptions'!$D$51-'Assumptions'!$C$51)))</x:f>
        <x:v>0.07327844744206827</x:v>
      </x:c>
      <x:c r="L275" s="133" t="n">
        <x:f>(('Assumptions'!$B$17*(1+G275)+'Assumptions'!$B$18)*(1-H275-'Assumptions'!$B$20)-SUM('Assumptions'!$B$21:$B$25)*(1+I275))-(('Assumptions'!$B$17*(1+G275)+'Assumptions'!$B$18)*(1-H275-'Assumptions'!$B$20)*'Assumptions'!$B$26)</x:f>
        <x:v>202177.05415053136</x:v>
      </x:c>
      <x:c r="M275" s="133" t="n">
        <x:f>'Assumptions'!$B$10*'Assumptions'!$B$33</x:f>
        <x:v>1950000</x:v>
      </x:c>
      <x:c r="N275" s="133" t="n">
        <x:f>-PMT(K275/12,'Assumptions'!$B$35*12,M275)*12</x:f>
        <x:v>160866.62925081205</x:v>
      </x:c>
      <x:c r="O275" s="133" t="n">
        <x:f>(L275*(1+'Assumptions'!$B$29)^('Assumptions'!$B$14/12)/J275)*(1-'Assumptions'!$B$42)-'Debt Schedule'!$F$9</x:f>
        <x:v>2921455.791019652</x:v>
      </x:c>
      <x:c r="P275" s="132" t="n">
        <x:f>((O275+(L275-N275-'Assumptions'!$B$27-'Assumptions'!$B$28)*('Assumptions'!$B$14/12))/ABS('Monthly Cash Flow'!$S$5))^(1/('Assumptions'!$B$14/12))-1</x:f>
        <x:v>0.1773186894946437</x:v>
      </x:c>
      <x:c r="Q275" s="133" t="n">
        <x:f>-ABS('Monthly Cash Flow'!$S$5)+((L275-N275-'Assumptions'!$B$27-'Assumptions'!$B$28)*(1-(1+'Assumptions'!$B$43)^-('Assumptions'!$B$14/12))/'Assumptions'!$B$43)+(O275/(1+'Assumptions'!$B$43)^('Assumptions'!$B$14/12))</x:f>
        <x:v>524461.7363909117</x:v>
      </x:c>
    </x:row>
    <x:row r="276">
      <x:c r="A276" s="131" t="n">
        <x:f>269</x:f>
        <x:v>269</x:v>
      </x:c>
      <x:c r="B276" s="131" t="n">
        <x:f>MOD(ABS(SIN((A276+1)*12.9898+78.233)*43758.5453),1)</x:f>
        <x:v>0.5614273620813037</x:v>
      </x:c>
      <x:c r="C276" s="131" t="n">
        <x:f>MOD(ABS(SIN((A276+2)*12.9898+78.233)*43758.5453),1)</x:f>
        <x:v>0.8566125233337516</x:v>
      </x:c>
      <x:c r="D276" s="131" t="n">
        <x:f>MOD(ABS(SIN((A276+3)*12.9898+78.233)*43758.5453),1)</x:f>
        <x:v>0.9251908151272801</x:v>
      </x:c>
      <x:c r="E276" s="131" t="n">
        <x:f>MOD(ABS(SIN((A276+4)*12.9898+78.233)*43758.5453),1)</x:f>
        <x:v>0.7145043233904289</x:v>
      </x:c>
      <x:c r="F276" s="131" t="n">
        <x:f>MOD(ABS(SIN((A276+5)*12.9898+78.233)*43758.5453),1)</x:f>
        <x:v>0.7202403037190379</x:v>
      </x:c>
      <x:c r="G276" s="132" t="n">
        <x:f>IF(B276&lt;(('Assumptions'!$C$47-'Assumptions'!$B$47)/('Assumptions'!$D$47-'Assumptions'!$B$47)),'Assumptions'!$B$47+SQRT(B276*('Assumptions'!$D$47-'Assumptions'!$B$47)*('Assumptions'!$C$47-'Assumptions'!$B$47)),'Assumptions'!$D$47-SQRT((1-B276)*('Assumptions'!$D$47-'Assumptions'!$B$47)*('Assumptions'!$D$47-'Assumptions'!$C$47)))</x:f>
        <x:v>0.01607866595525334</x:v>
      </x:c>
      <x:c r="H276" s="132" t="n">
        <x:f>IF(C276&lt;(('Assumptions'!$C$48-'Assumptions'!$B$48)/('Assumptions'!$D$48-'Assumptions'!$B$48)),'Assumptions'!$B$48+SQRT(C276*('Assumptions'!$D$48-'Assumptions'!$B$48)*('Assumptions'!$C$48-'Assumptions'!$B$48)),'Assumptions'!$D$48-SQRT((1-C276)*('Assumptions'!$D$48-'Assumptions'!$B$48)*('Assumptions'!$D$48-'Assumptions'!$C$48)))</x:f>
        <x:v>0.10447803785454715</x:v>
      </x:c>
      <x:c r="I276" s="132" t="n">
        <x:f>IF(D276&lt;(('Assumptions'!$C$49-'Assumptions'!$B$49)/('Assumptions'!$D$49-'Assumptions'!$B$49)),'Assumptions'!$B$49+SQRT(D276*('Assumptions'!$D$49-'Assumptions'!$B$49)*('Assumptions'!$C$49-'Assumptions'!$B$49)),'Assumptions'!$D$49-SQRT((1-D276)*('Assumptions'!$D$49-'Assumptions'!$B$49)*('Assumptions'!$D$49-'Assumptions'!$C$49)))</x:f>
        <x:v>0.10980201008444887</x:v>
      </x:c>
      <x:c r="J276" s="132" t="n">
        <x:f>IF(E276&lt;(('Assumptions'!$C$50-'Assumptions'!$B$50)/('Assumptions'!$D$50-'Assumptions'!$B$50)),'Assumptions'!$B$50+SQRT(E276*('Assumptions'!$D$50-'Assumptions'!$B$50)*('Assumptions'!$C$50-'Assumptions'!$B$50)),'Assumptions'!$D$50-SQRT((1-E276)*('Assumptions'!$D$50-'Assumptions'!$B$50)*('Assumptions'!$D$50-'Assumptions'!$C$50)))</x:f>
        <x:v>0.07103921548934236</x:v>
      </x:c>
      <x:c r="K276" s="132" t="n">
        <x:f>IF(F276&lt;(('Assumptions'!$C$51-'Assumptions'!$B$51)/('Assumptions'!$D$51-'Assumptions'!$B$51)),'Assumptions'!$B$51+SQRT(F276*('Assumptions'!$D$51-'Assumptions'!$B$51)*('Assumptions'!$C$51-'Assumptions'!$B$51)),'Assumptions'!$D$51-SQRT((1-F276)*('Assumptions'!$D$51-'Assumptions'!$B$51)*('Assumptions'!$D$51-'Assumptions'!$C$51)))</x:f>
        <x:v>0.07339679553592143</x:v>
      </x:c>
      <x:c r="L276" s="133" t="n">
        <x:f>(('Assumptions'!$B$17*(1+G276)+'Assumptions'!$B$18)*(1-H276-'Assumptions'!$B$20)-SUM('Assumptions'!$B$21:$B$25)*(1+I276))-(('Assumptions'!$B$17*(1+G276)+'Assumptions'!$B$18)*(1-H276-'Assumptions'!$B$20)*'Assumptions'!$B$26)</x:f>
        <x:v>186423.81323955182</x:v>
      </x:c>
      <x:c r="M276" s="133" t="n">
        <x:f>'Assumptions'!$B$10*'Assumptions'!$B$33</x:f>
        <x:v>1950000</x:v>
      </x:c>
      <x:c r="N276" s="133" t="n">
        <x:f>-PMT(K276/12,'Assumptions'!$B$35*12,M276)*12</x:f>
        <x:v>161055.07377605521</x:v>
      </x:c>
      <x:c r="O276" s="133" t="n">
        <x:f>(L276*(1+'Assumptions'!$B$29)^('Assumptions'!$B$14/12)/J276)*(1-'Assumptions'!$B$42)-'Debt Schedule'!$F$9</x:f>
        <x:v>2859678.48195043</x:v>
      </x:c>
      <x:c r="P276" s="132" t="n">
        <x:f>((O276+(L276-N276-'Assumptions'!$B$27-'Assumptions'!$B$28)*('Assumptions'!$B$14/12))/ABS('Monthly Cash Flow'!$S$5))^(1/('Assumptions'!$B$14/12))-1</x:f>
        <x:v>0.16571420824704663</x:v>
      </x:c>
      <x:c r="Q276" s="133" t="n">
        <x:f>-ABS('Monthly Cash Flow'!$S$5)+((L276-N276-'Assumptions'!$B$27-'Assumptions'!$B$28)*(1-(1+'Assumptions'!$B$43)^-('Assumptions'!$B$14/12))/'Assumptions'!$B$43)+(O276/(1+'Assumptions'!$B$43)^('Assumptions'!$B$14/12))</x:f>
        <x:v>425671.35767491185</x:v>
      </x:c>
    </x:row>
    <x:row r="277">
      <x:c r="A277" s="131" t="n">
        <x:f>270</x:f>
        <x:v>270</x:v>
      </x:c>
      <x:c r="B277" s="131" t="n">
        <x:f>MOD(ABS(SIN((A277+1)*12.9898+78.233)*43758.5453),1)</x:f>
        <x:v>0.8566125233337516</x:v>
      </x:c>
      <x:c r="C277" s="131" t="n">
        <x:f>MOD(ABS(SIN((A277+2)*12.9898+78.233)*43758.5453),1)</x:f>
        <x:v>0.9251908151272801</x:v>
      </x:c>
      <x:c r="D277" s="131" t="n">
        <x:f>MOD(ABS(SIN((A277+3)*12.9898+78.233)*43758.5453),1)</x:f>
        <x:v>0.7145043233904289</x:v>
      </x:c>
      <x:c r="E277" s="131" t="n">
        <x:f>MOD(ABS(SIN((A277+4)*12.9898+78.233)*43758.5453),1)</x:f>
        <x:v>0.7202403037190379</x:v>
      </x:c>
      <x:c r="F277" s="131" t="n">
        <x:f>MOD(ABS(SIN((A277+5)*12.9898+78.233)*43758.5453),1)</x:f>
        <x:v>0.516820781327624</x:v>
      </x:c>
      <x:c r="G277" s="132" t="n">
        <x:f>IF(B277&lt;(('Assumptions'!$C$47-'Assumptions'!$B$47)/('Assumptions'!$D$47-'Assumptions'!$B$47)),'Assumptions'!$B$47+SQRT(B277*('Assumptions'!$D$47-'Assumptions'!$B$47)*('Assumptions'!$C$47-'Assumptions'!$B$47)),'Assumptions'!$D$47-SQRT((1-B277)*('Assumptions'!$D$47-'Assumptions'!$B$47)*('Assumptions'!$D$47-'Assumptions'!$C$47)))</x:f>
        <x:v>0.052102196014222384</x:v>
      </x:c>
      <x:c r="H277" s="132" t="n">
        <x:f>IF(C277&lt;(('Assumptions'!$C$48-'Assumptions'!$B$48)/('Assumptions'!$D$48-'Assumptions'!$B$48)),'Assumptions'!$B$48+SQRT(C277*('Assumptions'!$D$48-'Assumptions'!$B$48)*('Assumptions'!$C$48-'Assumptions'!$B$48)),'Assumptions'!$D$48-SQRT((1-C277)*('Assumptions'!$D$48-'Assumptions'!$B$48)*('Assumptions'!$D$48-'Assumptions'!$C$48)))</x:f>
        <x:v>0.11434223651835697</x:v>
      </x:c>
      <x:c r="I277" s="132" t="n">
        <x:f>IF(D277&lt;(('Assumptions'!$C$49-'Assumptions'!$B$49)/('Assumptions'!$D$49-'Assumptions'!$B$49)),'Assumptions'!$B$49+SQRT(D277*('Assumptions'!$D$49-'Assumptions'!$B$49)*('Assumptions'!$C$49-'Assumptions'!$B$49)),'Assumptions'!$D$49-SQRT((1-D277)*('Assumptions'!$D$49-'Assumptions'!$B$49)*('Assumptions'!$D$49-'Assumptions'!$C$49)))</x:f>
        <x:v>0.07147161904911871</x:v>
      </x:c>
      <x:c r="J277" s="132" t="n">
        <x:f>IF(E277&lt;(('Assumptions'!$C$50-'Assumptions'!$B$50)/('Assumptions'!$D$50-'Assumptions'!$B$50)),'Assumptions'!$B$50+SQRT(E277*('Assumptions'!$D$50-'Assumptions'!$B$50)*('Assumptions'!$C$50-'Assumptions'!$B$50)),'Assumptions'!$D$50-SQRT((1-E277)*('Assumptions'!$D$50-'Assumptions'!$B$50)*('Assumptions'!$D$50-'Assumptions'!$C$50)))</x:f>
        <x:v>0.07112968914980876</x:v>
      </x:c>
      <x:c r="K277" s="132" t="n">
        <x:f>IF(F277&lt;(('Assumptions'!$C$51-'Assumptions'!$B$51)/('Assumptions'!$D$51-'Assumptions'!$B$51)),'Assumptions'!$B$51+SQRT(F277*('Assumptions'!$D$51-'Assumptions'!$B$51)*('Assumptions'!$C$51-'Assumptions'!$B$51)),'Assumptions'!$D$51-SQRT((1-F277)*('Assumptions'!$D$51-'Assumptions'!$B$51)*('Assumptions'!$D$51-'Assumptions'!$C$51)))</x:f>
        <x:v>0.06975106564424645</x:v>
      </x:c>
      <x:c r="L277" s="133" t="n">
        <x:f>(('Assumptions'!$B$17*(1+G277)+'Assumptions'!$B$18)*(1-H277-'Assumptions'!$B$20)-SUM('Assumptions'!$B$21:$B$25)*(1+I277))-(('Assumptions'!$B$17*(1+G277)+'Assumptions'!$B$18)*(1-H277-'Assumptions'!$B$20)*'Assumptions'!$B$26)</x:f>
        <x:v>198520.81331732238</x:v>
      </x:c>
      <x:c r="M277" s="133" t="n">
        <x:f>'Assumptions'!$B$10*'Assumptions'!$B$33</x:f>
        <x:v>1950000</x:v>
      </x:c>
      <x:c r="N277" s="133" t="n">
        <x:f>-PMT(K277/12,'Assumptions'!$B$35*12,M277)*12</x:f>
        <x:v>155289.7712317404</x:v>
      </x:c>
      <x:c r="O277" s="133" t="n">
        <x:f>(L277*(1+'Assumptions'!$B$29)^('Assumptions'!$B$14/12)/J277)*(1-'Assumptions'!$B$42)-'Debt Schedule'!$F$9</x:f>
        <x:v>3041368.9803541102</x:v>
      </x:c>
      <x:c r="P277" s="132" t="n">
        <x:f>((O277+(L277-N277-'Assumptions'!$B$27-'Assumptions'!$B$28)*('Assumptions'!$B$14/12))/ABS('Monthly Cash Flow'!$S$5))^(1/('Assumptions'!$B$14/12))-1</x:f>
        <x:v>0.1875545539707706</x:v>
      </x:c>
      <x:c r="Q277" s="133" t="n">
        <x:f>-ABS('Monthly Cash Flow'!$S$5)+((L277-N277-'Assumptions'!$B$27-'Assumptions'!$B$28)*(1-(1+'Assumptions'!$B$43)^-('Assumptions'!$B$14/12))/'Assumptions'!$B$43)+(O277/(1+'Assumptions'!$B$43)^('Assumptions'!$B$14/12))</x:f>
        <x:v>606199.0427819733</x:v>
      </x:c>
    </x:row>
    <x:row r="278">
      <x:c r="A278" s="131" t="n">
        <x:f>271</x:f>
        <x:v>271</x:v>
      </x:c>
      <x:c r="B278" s="131" t="n">
        <x:f>MOD(ABS(SIN((A278+1)*12.9898+78.233)*43758.5453),1)</x:f>
        <x:v>0.9251908151272801</x:v>
      </x:c>
      <x:c r="C278" s="131" t="n">
        <x:f>MOD(ABS(SIN((A278+2)*12.9898+78.233)*43758.5453),1)</x:f>
        <x:v>0.7145043233904289</x:v>
      </x:c>
      <x:c r="D278" s="131" t="n">
        <x:f>MOD(ABS(SIN((A278+3)*12.9898+78.233)*43758.5453),1)</x:f>
        <x:v>0.7202403037190379</x:v>
      </x:c>
      <x:c r="E278" s="131" t="n">
        <x:f>MOD(ABS(SIN((A278+4)*12.9898+78.233)*43758.5453),1)</x:f>
        <x:v>0.516820781327624</x:v>
      </x:c>
      <x:c r="F278" s="131" t="n">
        <x:f>MOD(ABS(SIN((A278+5)*12.9898+78.233)*43758.5453),1)</x:f>
        <x:v>0.7849577139731991</x:v>
      </x:c>
      <x:c r="G278" s="132" t="n">
        <x:f>IF(B278&lt;(('Assumptions'!$C$47-'Assumptions'!$B$47)/('Assumptions'!$D$47-'Assumptions'!$B$47)),'Assumptions'!$B$47+SQRT(B278*('Assumptions'!$D$47-'Assumptions'!$B$47)*('Assumptions'!$C$47-'Assumptions'!$B$47)),'Assumptions'!$D$47-SQRT((1-B278)*('Assumptions'!$D$47-'Assumptions'!$B$47)*('Assumptions'!$D$47-'Assumptions'!$C$47)))</x:f>
        <x:v>0.06540307877912374</x:v>
      </x:c>
      <x:c r="H278" s="132" t="n">
        <x:f>IF(C278&lt;(('Assumptions'!$C$48-'Assumptions'!$B$48)/('Assumptions'!$D$48-'Assumptions'!$B$48)),'Assumptions'!$B$48+SQRT(C278*('Assumptions'!$D$48-'Assumptions'!$B$48)*('Assumptions'!$C$48-'Assumptions'!$B$48)),'Assumptions'!$D$48-SQRT((1-C278)*('Assumptions'!$D$48-'Assumptions'!$B$48)*('Assumptions'!$D$48-'Assumptions'!$C$48)))</x:f>
        <x:v>0.08987653289960654</x:v>
      </x:c>
      <x:c r="I278" s="132" t="n">
        <x:f>IF(D278&lt;(('Assumptions'!$C$49-'Assumptions'!$B$49)/('Assumptions'!$D$49-'Assumptions'!$B$49)),'Assumptions'!$B$49+SQRT(D278*('Assumptions'!$D$49-'Assumptions'!$B$49)*('Assumptions'!$C$49-'Assumptions'!$B$49)),'Assumptions'!$D$49-SQRT((1-D278)*('Assumptions'!$D$49-'Assumptions'!$B$49)*('Assumptions'!$D$49-'Assumptions'!$C$49)))</x:f>
        <x:v>0.0722644904842788</x:v>
      </x:c>
      <x:c r="J278" s="132" t="n">
        <x:f>IF(E278&lt;(('Assumptions'!$C$50-'Assumptions'!$B$50)/('Assumptions'!$D$50-'Assumptions'!$B$50)),'Assumptions'!$B$50+SQRT(E278*('Assumptions'!$D$50-'Assumptions'!$B$50)*('Assumptions'!$C$50-'Assumptions'!$B$50)),'Assumptions'!$D$50-SQRT((1-E278)*('Assumptions'!$D$50-'Assumptions'!$B$50)*('Assumptions'!$D$50-'Assumptions'!$C$50)))</x:f>
        <x:v>0.06834263514976023</x:v>
      </x:c>
      <x:c r="K278" s="132" t="n">
        <x:f>IF(F278&lt;(('Assumptions'!$C$51-'Assumptions'!$B$51)/('Assumptions'!$D$51-'Assumptions'!$B$51)),'Assumptions'!$B$51+SQRT(F278*('Assumptions'!$D$51-'Assumptions'!$B$51)*('Assumptions'!$C$51-'Assumptions'!$B$51)),'Assumptions'!$D$51-SQRT((1-F278)*('Assumptions'!$D$51-'Assumptions'!$B$51)*('Assumptions'!$D$51-'Assumptions'!$C$51)))</x:f>
        <x:v>0.07482704073779917</x:v>
      </x:c>
      <x:c r="L278" s="133" t="n">
        <x:f>(('Assumptions'!$B$17*(1+G278)+'Assumptions'!$B$18)*(1-H278-'Assumptions'!$B$20)-SUM('Assumptions'!$B$21:$B$25)*(1+I278))-(('Assumptions'!$B$17*(1+G278)+'Assumptions'!$B$18)*(1-H278-'Assumptions'!$B$20)*'Assumptions'!$B$26)</x:f>
        <x:v>211877.24232823765</x:v>
      </x:c>
      <x:c r="M278" s="133" t="n">
        <x:f>'Assumptions'!$B$10*'Assumptions'!$B$33</x:f>
        <x:v>1950000</x:v>
      </x:c>
      <x:c r="N278" s="133" t="n">
        <x:f>-PMT(K278/12,'Assumptions'!$B$35*12,M278)*12</x:f>
        <x:v>163339.14829379728</x:v>
      </x:c>
      <x:c r="O278" s="133" t="n">
        <x:f>(L278*(1+'Assumptions'!$B$29)^('Assumptions'!$B$14/12)/J278)*(1-'Assumptions'!$B$42)-'Debt Schedule'!$F$9</x:f>
        <x:v>3378364.9960444383</x:v>
      </x:c>
      <x:c r="P278" s="132" t="n">
        <x:f>((O278+(L278-N278-'Assumptions'!$B$27-'Assumptions'!$B$28)*('Assumptions'!$B$14/12))/ABS('Monthly Cash Flow'!$S$5))^(1/('Assumptions'!$B$14/12))-1</x:f>
        <x:v>0.2145394116029764</x:v>
      </x:c>
      <x:c r="Q278" s="133" t="n">
        <x:f>-ABS('Monthly Cash Flow'!$S$5)+((L278-N278-'Assumptions'!$B$27-'Assumptions'!$B$28)*(1-(1+'Assumptions'!$B$43)^-('Assumptions'!$B$14/12))/'Assumptions'!$B$43)+(O278/(1+'Assumptions'!$B$43)^('Assumptions'!$B$14/12))</x:f>
        <x:v>835564.9570223712</x:v>
      </x:c>
    </x:row>
    <x:row r="279">
      <x:c r="A279" s="131" t="n">
        <x:f>272</x:f>
        <x:v>272</x:v>
      </x:c>
      <x:c r="B279" s="131" t="n">
        <x:f>MOD(ABS(SIN((A279+1)*12.9898+78.233)*43758.5453),1)</x:f>
        <x:v>0.7145043233904289</x:v>
      </x:c>
      <x:c r="C279" s="131" t="n">
        <x:f>MOD(ABS(SIN((A279+2)*12.9898+78.233)*43758.5453),1)</x:f>
        <x:v>0.7202403037190379</x:v>
      </x:c>
      <x:c r="D279" s="131" t="n">
        <x:f>MOD(ABS(SIN((A279+3)*12.9898+78.233)*43758.5453),1)</x:f>
        <x:v>0.516820781327624</x:v>
      </x:c>
      <x:c r="E279" s="131" t="n">
        <x:f>MOD(ABS(SIN((A279+4)*12.9898+78.233)*43758.5453),1)</x:f>
        <x:v>0.7849577139731991</x:v>
      </x:c>
      <x:c r="F279" s="131" t="n">
        <x:f>MOD(ABS(SIN((A279+5)*12.9898+78.233)*43758.5453),1)</x:f>
        <x:v>0.16629175932393991</x:v>
      </x:c>
      <x:c r="G279" s="132" t="n">
        <x:f>IF(B279&lt;(('Assumptions'!$C$47-'Assumptions'!$B$47)/('Assumptions'!$D$47-'Assumptions'!$B$47)),'Assumptions'!$B$47+SQRT(B279*('Assumptions'!$D$47-'Assumptions'!$B$47)*('Assumptions'!$C$47-'Assumptions'!$B$47)),'Assumptions'!$D$47-SQRT((1-B279)*('Assumptions'!$D$47-'Assumptions'!$B$47)*('Assumptions'!$D$47-'Assumptions'!$C$47)))</x:f>
        <x:v>0.03241353074946779</x:v>
      </x:c>
      <x:c r="H279" s="132" t="n">
        <x:f>IF(C279&lt;(('Assumptions'!$C$48-'Assumptions'!$B$48)/('Assumptions'!$D$48-'Assumptions'!$B$48)),'Assumptions'!$B$48+SQRT(C279*('Assumptions'!$D$48-'Assumptions'!$B$48)*('Assumptions'!$C$48-'Assumptions'!$B$48)),'Assumptions'!$D$48-SQRT((1-C279)*('Assumptions'!$D$48-'Assumptions'!$B$48)*('Assumptions'!$D$48-'Assumptions'!$C$48)))</x:f>
        <x:v>0.09038261063626518</x:v>
      </x:c>
      <x:c r="I279" s="132" t="n">
        <x:f>IF(D279&lt;(('Assumptions'!$C$49-'Assumptions'!$B$49)/('Assumptions'!$D$49-'Assumptions'!$B$49)),'Assumptions'!$B$49+SQRT(D279*('Assumptions'!$D$49-'Assumptions'!$B$49)*('Assumptions'!$C$49-'Assumptions'!$B$49)),'Assumptions'!$D$49-SQRT((1-D279)*('Assumptions'!$D$49-'Assumptions'!$B$49)*('Assumptions'!$D$49-'Assumptions'!$C$49)))</x:f>
        <x:v>0.047839972967293504</x:v>
      </x:c>
      <x:c r="J279" s="132" t="n">
        <x:f>IF(E279&lt;(('Assumptions'!$C$50-'Assumptions'!$B$50)/('Assumptions'!$D$50-'Assumptions'!$B$50)),'Assumptions'!$B$50+SQRT(E279*('Assumptions'!$D$50-'Assumptions'!$B$50)*('Assumptions'!$C$50-'Assumptions'!$B$50)),'Assumptions'!$D$50-SQRT((1-E279)*('Assumptions'!$D$50-'Assumptions'!$B$50)*('Assumptions'!$D$50-'Assumptions'!$C$50)))</x:f>
        <x:v>0.07222306982511495</x:v>
      </x:c>
      <x:c r="K279" s="132" t="n">
        <x:f>IF(F279&lt;(('Assumptions'!$C$51-'Assumptions'!$B$51)/('Assumptions'!$D$51-'Assumptions'!$B$51)),'Assumptions'!$B$51+SQRT(F279*('Assumptions'!$D$51-'Assumptions'!$B$51)*('Assumptions'!$C$51-'Assumptions'!$B$51)),'Assumptions'!$D$51-SQRT((1-F279)*('Assumptions'!$D$51-'Assumptions'!$B$51)*('Assumptions'!$D$51-'Assumptions'!$C$51)))</x:f>
        <x:v>0.06426241331287015</x:v>
      </x:c>
      <x:c r="L279" s="133" t="n">
        <x:f>(('Assumptions'!$B$17*(1+G279)+'Assumptions'!$B$18)*(1-H279-'Assumptions'!$B$20)-SUM('Assumptions'!$B$21:$B$25)*(1+I279))-(('Assumptions'!$B$17*(1+G279)+'Assumptions'!$B$18)*(1-H279-'Assumptions'!$B$20)*'Assumptions'!$B$26)</x:f>
        <x:v>204502.9402139304</x:v>
      </x:c>
      <x:c r="M279" s="133" t="n">
        <x:f>'Assumptions'!$B$10*'Assumptions'!$B$33</x:f>
        <x:v>1950000</x:v>
      </x:c>
      <x:c r="N279" s="133" t="n">
        <x:f>-PMT(K279/12,'Assumptions'!$B$35*12,M279)*12</x:f>
        <x:v>146770.67391526082</x:v>
      </x:c>
      <x:c r="O279" s="133" t="n">
        <x:f>(L279*(1+'Assumptions'!$B$29)^('Assumptions'!$B$14/12)/J279)*(1-'Assumptions'!$B$42)-'Debt Schedule'!$F$9</x:f>
        <x:v>3085585.5316766133</x:v>
      </x:c>
      <x:c r="P279" s="132" t="n">
        <x:f>((O279+(L279-N279-'Assumptions'!$B$27-'Assumptions'!$B$28)*('Assumptions'!$B$14/12))/ABS('Monthly Cash Flow'!$S$5))^(1/('Assumptions'!$B$14/12))-1</x:f>
        <x:v>0.19648629625646752</x:v>
      </x:c>
      <x:c r="Q279" s="133" t="n">
        <x:f>-ABS('Monthly Cash Flow'!$S$5)+((L279-N279-'Assumptions'!$B$27-'Assumptions'!$B$28)*(1-(1+'Assumptions'!$B$43)^-('Assumptions'!$B$14/12))/'Assumptions'!$B$43)+(O279/(1+'Assumptions'!$B$43)^('Assumptions'!$B$14/12))</x:f>
        <x:v>688625.0912174527</x:v>
      </x:c>
    </x:row>
    <x:row r="280">
      <x:c r="A280" s="131" t="n">
        <x:f>273</x:f>
        <x:v>273</x:v>
      </x:c>
      <x:c r="B280" s="131" t="n">
        <x:f>MOD(ABS(SIN((A280+1)*12.9898+78.233)*43758.5453),1)</x:f>
        <x:v>0.7202403037190379</x:v>
      </x:c>
      <x:c r="C280" s="131" t="n">
        <x:f>MOD(ABS(SIN((A280+2)*12.9898+78.233)*43758.5453),1)</x:f>
        <x:v>0.516820781327624</x:v>
      </x:c>
      <x:c r="D280" s="131" t="n">
        <x:f>MOD(ABS(SIN((A280+3)*12.9898+78.233)*43758.5453),1)</x:f>
        <x:v>0.7849577139731991</x:v>
      </x:c>
      <x:c r="E280" s="131" t="n">
        <x:f>MOD(ABS(SIN((A280+4)*12.9898+78.233)*43758.5453),1)</x:f>
        <x:v>0.16629175932393991</x:v>
      </x:c>
      <x:c r="F280" s="131" t="n">
        <x:f>MOD(ABS(SIN((A280+5)*12.9898+78.233)*43758.5453),1)</x:f>
        <x:v>0.040632268697663676</x:v>
      </x:c>
      <x:c r="G280" s="132" t="n">
        <x:f>IF(B280&lt;(('Assumptions'!$C$47-'Assumptions'!$B$47)/('Assumptions'!$D$47-'Assumptions'!$B$47)),'Assumptions'!$B$47+SQRT(B280*('Assumptions'!$D$47-'Assumptions'!$B$47)*('Assumptions'!$C$47-'Assumptions'!$B$47)),'Assumptions'!$D$47-SQRT((1-B280)*('Assumptions'!$D$47-'Assumptions'!$B$47)*('Assumptions'!$D$47-'Assumptions'!$C$47)))</x:f>
        <x:v>0.03309592583036969</x:v>
      </x:c>
      <x:c r="H280" s="132" t="n">
        <x:f>IF(C280&lt;(('Assumptions'!$C$48-'Assumptions'!$B$48)/('Assumptions'!$D$48-'Assumptions'!$B$48)),'Assumptions'!$B$48+SQRT(C280*('Assumptions'!$D$48-'Assumptions'!$B$48)*('Assumptions'!$C$48-'Assumptions'!$B$48)),'Assumptions'!$D$48-SQRT((1-C280)*('Assumptions'!$D$48-'Assumptions'!$B$48)*('Assumptions'!$D$48-'Assumptions'!$C$48)))</x:f>
        <x:v>0.07479281385984433</x:v>
      </x:c>
      <x:c r="I280" s="132" t="n">
        <x:f>IF(D280&lt;(('Assumptions'!$C$49-'Assumptions'!$B$49)/('Assumptions'!$D$49-'Assumptions'!$B$49)),'Assumptions'!$B$49+SQRT(D280*('Assumptions'!$D$49-'Assumptions'!$B$49)*('Assumptions'!$C$49-'Assumptions'!$B$49)),'Assumptions'!$D$49-SQRT((1-D280)*('Assumptions'!$D$49-'Assumptions'!$B$49)*('Assumptions'!$D$49-'Assumptions'!$C$49)))</x:f>
        <x:v>0.0818463986411657</x:v>
      </x:c>
      <x:c r="J280" s="132" t="n">
        <x:f>IF(E280&lt;(('Assumptions'!$C$50-'Assumptions'!$B$50)/('Assumptions'!$D$50-'Assumptions'!$B$50)),'Assumptions'!$B$50+SQRT(E280*('Assumptions'!$D$50-'Assumptions'!$B$50)*('Assumptions'!$C$50-'Assumptions'!$B$50)),'Assumptions'!$D$50-SQRT((1-E280)*('Assumptions'!$D$50-'Assumptions'!$B$50)*('Assumptions'!$D$50-'Assumptions'!$C$50)))</x:f>
        <x:v>0.06361683299166215</x:v>
      </x:c>
      <x:c r="K280" s="132" t="n">
        <x:f>IF(F280&lt;(('Assumptions'!$C$51-'Assumptions'!$B$51)/('Assumptions'!$D$51-'Assumptions'!$B$51)),'Assumptions'!$B$51+SQRT(F280*('Assumptions'!$D$51-'Assumptions'!$B$51)*('Assumptions'!$C$51-'Assumptions'!$B$51)),'Assumptions'!$D$51-SQRT((1-F280)*('Assumptions'!$D$51-'Assumptions'!$B$51)*('Assumptions'!$D$51-'Assumptions'!$C$51)))</x:f>
        <x:v>0.060842734493174344</x:v>
      </x:c>
      <x:c r="L280" s="133" t="n">
        <x:f>(('Assumptions'!$B$17*(1+G280)+'Assumptions'!$B$18)*(1-H280-'Assumptions'!$B$20)-SUM('Assumptions'!$B$21:$B$25)*(1+I280))-(('Assumptions'!$B$17*(1+G280)+'Assumptions'!$B$18)*(1-H280-'Assumptions'!$B$20)*'Assumptions'!$B$26)</x:f>
        <x:v>206265.83331265493</x:v>
      </x:c>
      <x:c r="M280" s="133" t="n">
        <x:f>'Assumptions'!$B$10*'Assumptions'!$B$33</x:f>
        <x:v>1950000</x:v>
      </x:c>
      <x:c r="N280" s="133" t="n">
        <x:f>-PMT(K280/12,'Assumptions'!$B$35*12,M280)*12</x:f>
        <x:v>141565.1642191717</x:v>
      </x:c>
      <x:c r="O280" s="133" t="n">
        <x:f>(L280*(1+'Assumptions'!$B$29)^('Assumptions'!$B$14/12)/J280)*(1-'Assumptions'!$B$42)-'Debt Schedule'!$F$9</x:f>
        <x:v>3533208.184448772</x:v>
      </x:c>
      <x:c r="P280" s="132" t="n">
        <x:f>((O280+(L280-N280-'Assumptions'!$B$27-'Assumptions'!$B$28)*('Assumptions'!$B$14/12))/ABS('Monthly Cash Flow'!$S$5))^(1/('Assumptions'!$B$14/12))-1</x:f>
        <x:v>0.23082902553502294</x:v>
      </x:c>
      <x:c r="Q280" s="133" t="n">
        <x:f>-ABS('Monthly Cash Flow'!$S$5)+((L280-N280-'Assumptions'!$B$27-'Assumptions'!$B$28)*(1-(1+'Assumptions'!$B$43)^-('Assumptions'!$B$14/12))/'Assumptions'!$B$43)+(O280/(1+'Assumptions'!$B$43)^('Assumptions'!$B$14/12))</x:f>
        <x:v>992979.2701264787</x:v>
      </x:c>
    </x:row>
    <x:row r="281">
      <x:c r="A281" s="131" t="n">
        <x:f>274</x:f>
        <x:v>274</x:v>
      </x:c>
      <x:c r="B281" s="131" t="n">
        <x:f>MOD(ABS(SIN((A281+1)*12.9898+78.233)*43758.5453),1)</x:f>
        <x:v>0.516820781327624</x:v>
      </x:c>
      <x:c r="C281" s="131" t="n">
        <x:f>MOD(ABS(SIN((A281+2)*12.9898+78.233)*43758.5453),1)</x:f>
        <x:v>0.7849577139731991</x:v>
      </x:c>
      <x:c r="D281" s="131" t="n">
        <x:f>MOD(ABS(SIN((A281+3)*12.9898+78.233)*43758.5453),1)</x:f>
        <x:v>0.16629175932393991</x:v>
      </x:c>
      <x:c r="E281" s="131" t="n">
        <x:f>MOD(ABS(SIN((A281+4)*12.9898+78.233)*43758.5453),1)</x:f>
        <x:v>0.040632268697663676</x:v>
      </x:c>
      <x:c r="F281" s="131" t="n">
        <x:f>MOD(ABS(SIN((A281+5)*12.9898+78.233)*43758.5453),1)</x:f>
        <x:v>0.5668740769906435</x:v>
      </x:c>
      <x:c r="G281" s="132" t="n">
        <x:f>IF(B281&lt;(('Assumptions'!$C$47-'Assumptions'!$B$47)/('Assumptions'!$D$47-'Assumptions'!$B$47)),'Assumptions'!$B$47+SQRT(B281*('Assumptions'!$D$47-'Assumptions'!$B$47)*('Assumptions'!$C$47-'Assumptions'!$B$47)),'Assumptions'!$D$47-SQRT((1-B281)*('Assumptions'!$D$47-'Assumptions'!$B$47)*('Assumptions'!$D$47-'Assumptions'!$C$47)))</x:f>
        <x:v>0.01137189390444511</x:v>
      </x:c>
      <x:c r="H281" s="132" t="n">
        <x:f>IF(C281&lt;(('Assumptions'!$C$48-'Assumptions'!$B$48)/('Assumptions'!$D$48-'Assumptions'!$B$48)),'Assumptions'!$B$48+SQRT(C281*('Assumptions'!$D$48-'Assumptions'!$B$48)*('Assumptions'!$C$48-'Assumptions'!$B$48)),'Assumptions'!$D$48-SQRT((1-C281)*('Assumptions'!$D$48-'Assumptions'!$B$48)*('Assumptions'!$D$48-'Assumptions'!$C$48)))</x:f>
        <x:v>0.09649859637855523</x:v>
      </x:c>
      <x:c r="I281" s="132" t="n">
        <x:f>IF(D281&lt;(('Assumptions'!$C$49-'Assumptions'!$B$49)/('Assumptions'!$D$49-'Assumptions'!$B$49)),'Assumptions'!$B$49+SQRT(D281*('Assumptions'!$D$49-'Assumptions'!$B$49)*('Assumptions'!$C$49-'Assumptions'!$B$49)),'Assumptions'!$D$49-SQRT((1-D281)*('Assumptions'!$D$49-'Assumptions'!$B$49)*('Assumptions'!$D$49-'Assumptions'!$C$49)))</x:f>
        <x:v>0.012378662091889488</x:v>
      </x:c>
      <x:c r="J281" s="132" t="n">
        <x:f>IF(E281&lt;(('Assumptions'!$C$50-'Assumptions'!$B$50)/('Assumptions'!$D$50-'Assumptions'!$B$50)),'Assumptions'!$B$50+SQRT(E281*('Assumptions'!$D$50-'Assumptions'!$B$50)*('Assumptions'!$C$50-'Assumptions'!$B$50)),'Assumptions'!$D$50-SQRT((1-E281)*('Assumptions'!$D$50-'Assumptions'!$B$50)*('Assumptions'!$D$50-'Assumptions'!$C$50)))</x:f>
        <x:v>0.0605236171148104</x:v>
      </x:c>
      <x:c r="K281" s="132" t="n">
        <x:f>IF(F281&lt;(('Assumptions'!$C$51-'Assumptions'!$B$51)/('Assumptions'!$D$51-'Assumptions'!$B$51)),'Assumptions'!$B$51+SQRT(F281*('Assumptions'!$D$51-'Assumptions'!$B$51)*('Assumptions'!$C$51-'Assumptions'!$B$51)),'Assumptions'!$D$51-SQRT((1-F281)*('Assumptions'!$D$51-'Assumptions'!$B$51)*('Assumptions'!$D$51-'Assumptions'!$C$51)))</x:f>
        <x:v>0.07056248461651893</x:v>
      </x:c>
      <x:c r="L281" s="133" t="n">
        <x:f>(('Assumptions'!$B$17*(1+G281)+'Assumptions'!$B$18)*(1-H281-'Assumptions'!$B$20)-SUM('Assumptions'!$B$21:$B$25)*(1+I281))-(('Assumptions'!$B$17*(1+G281)+'Assumptions'!$B$18)*(1-H281-'Assumptions'!$B$20)*'Assumptions'!$B$26)</x:f>
        <x:v>200185.65149655333</x:v>
      </x:c>
      <x:c r="M281" s="133" t="n">
        <x:f>'Assumptions'!$B$10*'Assumptions'!$B$33</x:f>
        <x:v>1950000</x:v>
      </x:c>
      <x:c r="N281" s="133" t="n">
        <x:f>-PMT(K281/12,'Assumptions'!$B$35*12,M281)*12</x:f>
        <x:v>156565.7497997805</x:v>
      </x:c>
      <x:c r="O281" s="133" t="n">
        <x:f>(L281*(1+'Assumptions'!$B$29)^('Assumptions'!$B$14/12)/J281)*(1-'Assumptions'!$B$42)-'Debt Schedule'!$F$9</x:f>
        <x:v>3604309.261017704</x:v>
      </x:c>
      <x:c r="P281" s="132" t="n">
        <x:f>((O281+(L281-N281-'Assumptions'!$B$27-'Assumptions'!$B$28)*('Assumptions'!$B$14/12))/ABS('Monthly Cash Flow'!$S$5))^(1/('Assumptions'!$B$14/12))-1</x:f>
        <x:v>0.22851108735786996</x:v>
      </x:c>
      <x:c r="Q281" s="133" t="n">
        <x:f>-ABS('Monthly Cash Flow'!$S$5)+((L281-N281-'Assumptions'!$B$27-'Assumptions'!$B$28)*(1-(1+'Assumptions'!$B$43)^-('Assumptions'!$B$14/12))/'Assumptions'!$B$43)+(O281/(1+'Assumptions'!$B$43)^('Assumptions'!$B$14/12))</x:f>
        <x:v>957214.7505241632</x:v>
      </x:c>
    </x:row>
    <x:row r="282">
      <x:c r="A282" s="131" t="n">
        <x:f>275</x:f>
        <x:v>275</x:v>
      </x:c>
      <x:c r="B282" s="131" t="n">
        <x:f>MOD(ABS(SIN((A282+1)*12.9898+78.233)*43758.5453),1)</x:f>
        <x:v>0.7849577139731991</x:v>
      </x:c>
      <x:c r="C282" s="131" t="n">
        <x:f>MOD(ABS(SIN((A282+2)*12.9898+78.233)*43758.5453),1)</x:f>
        <x:v>0.16629175932393991</x:v>
      </x:c>
      <x:c r="D282" s="131" t="n">
        <x:f>MOD(ABS(SIN((A282+3)*12.9898+78.233)*43758.5453),1)</x:f>
        <x:v>0.040632268697663676</x:v>
      </x:c>
      <x:c r="E282" s="131" t="n">
        <x:f>MOD(ABS(SIN((A282+4)*12.9898+78.233)*43758.5453),1)</x:f>
        <x:v>0.5668740769906435</x:v>
      </x:c>
      <x:c r="F282" s="131" t="n">
        <x:f>MOD(ABS(SIN((A282+5)*12.9898+78.233)*43758.5453),1)</x:f>
        <x:v>0.625138470211823</x:v>
      </x:c>
      <x:c r="G282" s="132" t="n">
        <x:f>IF(B282&lt;(('Assumptions'!$C$47-'Assumptions'!$B$47)/('Assumptions'!$D$47-'Assumptions'!$B$47)),'Assumptions'!$B$47+SQRT(B282*('Assumptions'!$D$47-'Assumptions'!$B$47)*('Assumptions'!$C$47-'Assumptions'!$B$47)),'Assumptions'!$D$47-SQRT((1-B282)*('Assumptions'!$D$47-'Assumptions'!$B$47)*('Assumptions'!$D$47-'Assumptions'!$C$47)))</x:f>
        <x:v>0.04134271932292792</x:v>
      </x:c>
      <x:c r="H282" s="132" t="n">
        <x:f>IF(C282&lt;(('Assumptions'!$C$48-'Assumptions'!$B$48)/('Assumptions'!$D$48-'Assumptions'!$B$48)),'Assumptions'!$B$48+SQRT(C282*('Assumptions'!$D$48-'Assumptions'!$B$48)*('Assumptions'!$C$48-'Assumptions'!$B$48)),'Assumptions'!$D$48-SQRT((1-C282)*('Assumptions'!$D$48-'Assumptions'!$B$48)*('Assumptions'!$D$48-'Assumptions'!$C$48)))</x:f>
        <x:v>0.05342568687934255</x:v>
      </x:c>
      <x:c r="I282" s="132" t="n">
        <x:f>IF(D282&lt;(('Assumptions'!$C$49-'Assumptions'!$B$49)/('Assumptions'!$D$49-'Assumptions'!$B$49)),'Assumptions'!$B$49+SQRT(D282*('Assumptions'!$D$49-'Assumptions'!$B$49)*('Assumptions'!$C$49-'Assumptions'!$B$49)),'Assumptions'!$D$49-SQRT((1-D282)*('Assumptions'!$D$49-'Assumptions'!$B$49)*('Assumptions'!$D$49-'Assumptions'!$C$49)))</x:f>
        <x:v>-0.009051766138054317</x:v>
      </x:c>
      <x:c r="J282" s="132" t="n">
        <x:f>IF(E282&lt;(('Assumptions'!$C$50-'Assumptions'!$B$50)/('Assumptions'!$D$50-'Assumptions'!$B$50)),'Assumptions'!$B$50+SQRT(E282*('Assumptions'!$D$50-'Assumptions'!$B$50)*('Assumptions'!$C$50-'Assumptions'!$B$50)),'Assumptions'!$D$50-SQRT((1-E282)*('Assumptions'!$D$50-'Assumptions'!$B$50)*('Assumptions'!$D$50-'Assumptions'!$C$50)))</x:f>
        <x:v>0.06896294125020704</x:v>
      </x:c>
      <x:c r="K282" s="132" t="n">
        <x:f>IF(F282&lt;(('Assumptions'!$C$51-'Assumptions'!$B$51)/('Assumptions'!$D$51-'Assumptions'!$B$51)),'Assumptions'!$B$51+SQRT(F282*('Assumptions'!$D$51-'Assumptions'!$B$51)*('Assumptions'!$C$51-'Assumptions'!$B$51)),'Assumptions'!$D$51-SQRT((1-F282)*('Assumptions'!$D$51-'Assumptions'!$B$51)*('Assumptions'!$D$51-'Assumptions'!$C$51)))</x:f>
        <x:v>0.07156861469503015</x:v>
      </x:c>
      <x:c r="L282" s="133" t="n">
        <x:f>(('Assumptions'!$B$17*(1+G282)+'Assumptions'!$B$18)*(1-H282-'Assumptions'!$B$20)-SUM('Assumptions'!$B$21:$B$25)*(1+I282))-(('Assumptions'!$B$17*(1+G282)+'Assumptions'!$B$18)*(1-H282-'Assumptions'!$B$20)*'Assumptions'!$B$26)</x:f>
        <x:v>228386.4240845724</x:v>
      </x:c>
      <x:c r="M282" s="133" t="n">
        <x:f>'Assumptions'!$B$10*'Assumptions'!$B$33</x:f>
        <x:v>1950000</x:v>
      </x:c>
      <x:c r="N282" s="133" t="n">
        <x:f>-PMT(K282/12,'Assumptions'!$B$35*12,M282)*12</x:f>
        <x:v>158153.67306833356</x:v>
      </x:c>
      <x:c r="O282" s="133" t="n">
        <x:f>(L282*(1+'Assumptions'!$B$29)^('Assumptions'!$B$14/12)/J282)*(1-'Assumptions'!$B$42)-'Debt Schedule'!$F$9</x:f>
        <x:v>3608847.1319483193</x:v>
      </x:c>
      <x:c r="P282" s="132" t="n">
        <x:f>((O282+(L282-N282-'Assumptions'!$B$27-'Assumptions'!$B$28)*('Assumptions'!$B$14/12))/ABS('Monthly Cash Flow'!$S$5))^(1/('Assumptions'!$B$14/12))-1</x:f>
        <x:v>0.23770575280720752</x:v>
      </x:c>
      <x:c r="Q282" s="133" t="n">
        <x:f>-ABS('Monthly Cash Flow'!$S$5)+((L282-N282-'Assumptions'!$B$27-'Assumptions'!$B$28)*(1-(1+'Assumptions'!$B$43)^-('Assumptions'!$B$14/12))/'Assumptions'!$B$43)+(O282/(1+'Assumptions'!$B$43)^('Assumptions'!$B$14/12))</x:f>
        <x:v>1060916.0484427651</x:v>
      </x:c>
    </x:row>
    <x:row r="283">
      <x:c r="A283" s="131" t="n">
        <x:f>276</x:f>
        <x:v>276</x:v>
      </x:c>
      <x:c r="B283" s="131" t="n">
        <x:f>MOD(ABS(SIN((A283+1)*12.9898+78.233)*43758.5453),1)</x:f>
        <x:v>0.16629175932393991</x:v>
      </x:c>
      <x:c r="C283" s="131" t="n">
        <x:f>MOD(ABS(SIN((A283+2)*12.9898+78.233)*43758.5453),1)</x:f>
        <x:v>0.040632268697663676</x:v>
      </x:c>
      <x:c r="D283" s="131" t="n">
        <x:f>MOD(ABS(SIN((A283+3)*12.9898+78.233)*43758.5453),1)</x:f>
        <x:v>0.5668740769906435</x:v>
      </x:c>
      <x:c r="E283" s="131" t="n">
        <x:f>MOD(ABS(SIN((A283+4)*12.9898+78.233)*43758.5453),1)</x:f>
        <x:v>0.625138470211823</x:v>
      </x:c>
      <x:c r="F283" s="131" t="n">
        <x:f>MOD(ABS(SIN((A283+5)*12.9898+78.233)*43758.5453),1)</x:f>
        <x:v>0.9950328127888497</x:v>
      </x:c>
      <x:c r="G283" s="132" t="n">
        <x:f>IF(B283&lt;(('Assumptions'!$C$47-'Assumptions'!$B$47)/('Assumptions'!$D$47-'Assumptions'!$B$47)),'Assumptions'!$B$47+SQRT(B283*('Assumptions'!$D$47-'Assumptions'!$B$47)*('Assumptions'!$C$47-'Assumptions'!$B$47)),'Assumptions'!$D$47-SQRT((1-B283)*('Assumptions'!$D$47-'Assumptions'!$B$47)*('Assumptions'!$D$47-'Assumptions'!$C$47)))</x:f>
        <x:v>-0.03682562051136111</x:v>
      </x:c>
      <x:c r="H283" s="132" t="n">
        <x:f>IF(C283&lt;(('Assumptions'!$C$48-'Assumptions'!$B$48)/('Assumptions'!$D$48-'Assumptions'!$B$48)),'Assumptions'!$B$48+SQRT(C283*('Assumptions'!$D$48-'Assumptions'!$B$48)*('Assumptions'!$C$48-'Assumptions'!$B$48)),'Assumptions'!$D$48-SQRT((1-C283)*('Assumptions'!$D$48-'Assumptions'!$B$48)*('Assumptions'!$D$48-'Assumptions'!$C$48)))</x:f>
        <x:v>0.04157957195678191</x:v>
      </x:c>
      <x:c r="I283" s="132" t="n">
        <x:f>IF(D283&lt;(('Assumptions'!$C$49-'Assumptions'!$B$49)/('Assumptions'!$D$49-'Assumptions'!$B$49)),'Assumptions'!$B$49+SQRT(D283*('Assumptions'!$D$49-'Assumptions'!$B$49)*('Assumptions'!$C$49-'Assumptions'!$B$49)),'Assumptions'!$D$49-SQRT((1-D283)*('Assumptions'!$D$49-'Assumptions'!$B$49)*('Assumptions'!$D$49-'Assumptions'!$C$49)))</x:f>
        <x:v>0.05327606326765799</x:v>
      </x:c>
      <x:c r="J283" s="132" t="n">
        <x:f>IF(E283&lt;(('Assumptions'!$C$50-'Assumptions'!$B$50)/('Assumptions'!$D$50-'Assumptions'!$B$50)),'Assumptions'!$B$50+SQRT(E283*('Assumptions'!$D$50-'Assumptions'!$B$50)*('Assumptions'!$C$50-'Assumptions'!$B$50)),'Assumptions'!$D$50-SQRT((1-E283)*('Assumptions'!$D$50-'Assumptions'!$B$50)*('Assumptions'!$D$50-'Assumptions'!$C$50)))</x:f>
        <x:v>0.06973209830330827</x:v>
      </x:c>
      <x:c r="K283" s="132" t="n">
        <x:f>IF(F283&lt;(('Assumptions'!$C$51-'Assumptions'!$B$51)/('Assumptions'!$D$51-'Assumptions'!$B$51)),'Assumptions'!$B$51+SQRT(F283*('Assumptions'!$D$51-'Assumptions'!$B$51)*('Assumptions'!$C$51-'Assumptions'!$B$51)),'Assumptions'!$D$51-SQRT((1-F283)*('Assumptions'!$D$51-'Assumptions'!$B$51)*('Assumptions'!$D$51-'Assumptions'!$C$51)))</x:f>
        <x:v>0.08345388912255101</x:v>
      </x:c>
      <x:c r="L283" s="133" t="n">
        <x:f>(('Assumptions'!$B$17*(1+G283)+'Assumptions'!$B$18)*(1-H283-'Assumptions'!$B$20)-SUM('Assumptions'!$B$21:$B$25)*(1+I283))-(('Assumptions'!$B$17*(1+G283)+'Assumptions'!$B$18)*(1-H283-'Assumptions'!$B$20)*'Assumptions'!$B$26)</x:f>
        <x:v>199379.53633905895</x:v>
      </x:c>
      <x:c r="M283" s="133" t="n">
        <x:f>'Assumptions'!$B$10*'Assumptions'!$B$33</x:f>
        <x:v>1950000</x:v>
      </x:c>
      <x:c r="N283" s="133" t="n">
        <x:f>-PMT(K283/12,'Assumptions'!$B$35*12,M283)*12</x:f>
        <x:v>177368.03200898698</x:v>
      </x:c>
      <x:c r="O283" s="133" t="n">
        <x:f>(L283*(1+'Assumptions'!$B$29)^('Assumptions'!$B$14/12)/J283)*(1-'Assumptions'!$B$42)-'Debt Schedule'!$F$9</x:f>
        <x:v>3115744.4141916563</x:v>
      </x:c>
      <x:c r="P283" s="132" t="n">
        <x:f>((O283+(L283-N283-'Assumptions'!$B$27-'Assumptions'!$B$28)*('Assumptions'!$B$14/12))/ABS('Monthly Cash Flow'!$S$5))^(1/('Assumptions'!$B$14/12))-1</x:f>
        <x:v>0.18508005323689924</x:v>
      </x:c>
      <x:c r="Q283" s="133" t="n">
        <x:f>-ABS('Monthly Cash Flow'!$S$5)+((L283-N283-'Assumptions'!$B$27-'Assumptions'!$B$28)*(1-(1+'Assumptions'!$B$43)^-('Assumptions'!$B$14/12))/'Assumptions'!$B$43)+(O283/(1+'Assumptions'!$B$43)^('Assumptions'!$B$14/12))</x:f>
        <x:v>571941.5925869304</x:v>
      </x:c>
    </x:row>
    <x:row r="284">
      <x:c r="A284" s="131" t="n">
        <x:f>277</x:f>
        <x:v>277</x:v>
      </x:c>
      <x:c r="B284" s="131" t="n">
        <x:f>MOD(ABS(SIN((A284+1)*12.9898+78.233)*43758.5453),1)</x:f>
        <x:v>0.040632268697663676</x:v>
      </x:c>
      <x:c r="C284" s="131" t="n">
        <x:f>MOD(ABS(SIN((A284+2)*12.9898+78.233)*43758.5453),1)</x:f>
        <x:v>0.5668740769906435</x:v>
      </x:c>
      <x:c r="D284" s="131" t="n">
        <x:f>MOD(ABS(SIN((A284+3)*12.9898+78.233)*43758.5453),1)</x:f>
        <x:v>0.625138470211823</x:v>
      </x:c>
      <x:c r="E284" s="131" t="n">
        <x:f>MOD(ABS(SIN((A284+4)*12.9898+78.233)*43758.5453),1)</x:f>
        <x:v>0.9950328127888497</x:v>
      </x:c>
      <x:c r="F284" s="131" t="n">
        <x:f>MOD(ABS(SIN((A284+5)*12.9898+78.233)*43758.5453),1)</x:f>
        <x:v>0.4522760400213883</x:v>
      </x:c>
      <x:c r="G284" s="132" t="n">
        <x:f>IF(B284&lt;(('Assumptions'!$C$47-'Assumptions'!$B$47)/('Assumptions'!$D$47-'Assumptions'!$B$47)),'Assumptions'!$B$47+SQRT(B284*('Assumptions'!$D$47-'Assumptions'!$B$47)*('Assumptions'!$C$47-'Assumptions'!$B$47)),'Assumptions'!$D$47-SQRT((1-B284)*('Assumptions'!$D$47-'Assumptions'!$B$47)*('Assumptions'!$D$47-'Assumptions'!$C$47)))</x:f>
        <x:v>-0.06877221671741768</x:v>
      </x:c>
      <x:c r="H284" s="132" t="n">
        <x:f>IF(C284&lt;(('Assumptions'!$C$48-'Assumptions'!$B$48)/('Assumptions'!$D$48-'Assumptions'!$B$48)),'Assumptions'!$B$48+SQRT(C284*('Assumptions'!$D$48-'Assumptions'!$B$48)*('Assumptions'!$C$48-'Assumptions'!$B$48)),'Assumptions'!$D$48-SQRT((1-C284)*('Assumptions'!$D$48-'Assumptions'!$B$48)*('Assumptions'!$D$48-'Assumptions'!$C$48)))</x:f>
        <x:v>0.07826258733569784</x:v>
      </x:c>
      <x:c r="I284" s="132" t="n">
        <x:f>IF(D284&lt;(('Assumptions'!$C$49-'Assumptions'!$B$49)/('Assumptions'!$D$49-'Assumptions'!$B$49)),'Assumptions'!$B$49+SQRT(D284*('Assumptions'!$D$49-'Assumptions'!$B$49)*('Assumptions'!$C$49-'Assumptions'!$B$49)),'Assumptions'!$D$49-SQRT((1-D284)*('Assumptions'!$D$49-'Assumptions'!$B$49)*('Assumptions'!$D$49-'Assumptions'!$C$49)))</x:f>
        <x:v>0.06001661795962199</x:v>
      </x:c>
      <x:c r="J284" s="132" t="n">
        <x:f>IF(E284&lt;(('Assumptions'!$C$50-'Assumptions'!$B$50)/('Assumptions'!$D$50-'Assumptions'!$B$50)),'Assumptions'!$B$50+SQRT(E284*('Assumptions'!$D$50-'Assumptions'!$B$50)*('Assumptions'!$C$50-'Assumptions'!$B$50)),'Assumptions'!$D$50-SQRT((1-E284)*('Assumptions'!$D$50-'Assumptions'!$B$50)*('Assumptions'!$D$50-'Assumptions'!$C$50)))</x:f>
        <x:v>0.07881804340048544</x:v>
      </x:c>
      <x:c r="K284" s="132" t="n">
        <x:f>IF(F284&lt;(('Assumptions'!$C$51-'Assumptions'!$B$51)/('Assumptions'!$D$51-'Assumptions'!$B$51)),'Assumptions'!$B$51+SQRT(F284*('Assumptions'!$D$51-'Assumptions'!$B$51)*('Assumptions'!$C$51-'Assumptions'!$B$51)),'Assumptions'!$D$51-SQRT((1-F284)*('Assumptions'!$D$51-'Assumptions'!$B$51)*('Assumptions'!$D$51-'Assumptions'!$C$51)))</x:f>
        <x:v>0.06876447858121869</x:v>
      </x:c>
      <x:c r="L284" s="133" t="n">
        <x:f>(('Assumptions'!$B$17*(1+G284)+'Assumptions'!$B$18)*(1-H284-'Assumptions'!$B$20)-SUM('Assumptions'!$B$21:$B$25)*(1+I284))-(('Assumptions'!$B$17*(1+G284)+'Assumptions'!$B$18)*(1-H284-'Assumptions'!$B$20)*'Assumptions'!$B$26)</x:f>
        <x:v>175619.29711102086</x:v>
      </x:c>
      <x:c r="M284" s="133" t="n">
        <x:f>'Assumptions'!$B$10*'Assumptions'!$B$33</x:f>
        <x:v>1950000</x:v>
      </x:c>
      <x:c r="N284" s="133" t="n">
        <x:f>-PMT(K284/12,'Assumptions'!$B$35*12,M284)*12</x:f>
        <x:v>153743.98107427426</x:v>
      </x:c>
      <x:c r="O284" s="133" t="n">
        <x:f>(L284*(1+'Assumptions'!$B$29)^('Assumptions'!$B$14/12)/J284)*(1-'Assumptions'!$B$42)-'Debt Schedule'!$F$9</x:f>
        <x:v>2428066.4165936527</x:v>
      </x:c>
      <x:c r="P284" s="132" t="n">
        <x:f>((O284+(L284-N284-'Assumptions'!$B$27-'Assumptions'!$B$28)*('Assumptions'!$B$14/12))/ABS('Monthly Cash Flow'!$S$5))^(1/('Assumptions'!$B$14/12))-1</x:f>
        <x:v>0.12545411845224308</x:v>
      </x:c>
      <x:c r="Q284" s="133" t="n">
        <x:f>-ABS('Monthly Cash Flow'!$S$5)+((L284-N284-'Assumptions'!$B$27-'Assumptions'!$B$28)*(1-(1+'Assumptions'!$B$43)^-('Assumptions'!$B$14/12))/'Assumptions'!$B$43)+(O284/(1+'Assumptions'!$B$43)^('Assumptions'!$B$14/12))</x:f>
        <x:v>144431.3996992216</x:v>
      </x:c>
    </x:row>
    <x:row r="285">
      <x:c r="A285" s="131" t="n">
        <x:f>278</x:f>
        <x:v>278</x:v>
      </x:c>
      <x:c r="B285" s="131" t="n">
        <x:f>MOD(ABS(SIN((A285+1)*12.9898+78.233)*43758.5453),1)</x:f>
        <x:v>0.5668740769906435</x:v>
      </x:c>
      <x:c r="C285" s="131" t="n">
        <x:f>MOD(ABS(SIN((A285+2)*12.9898+78.233)*43758.5453),1)</x:f>
        <x:v>0.625138470211823</x:v>
      </x:c>
      <x:c r="D285" s="131" t="n">
        <x:f>MOD(ABS(SIN((A285+3)*12.9898+78.233)*43758.5453),1)</x:f>
        <x:v>0.9950328127888497</x:v>
      </x:c>
      <x:c r="E285" s="131" t="n">
        <x:f>MOD(ABS(SIN((A285+4)*12.9898+78.233)*43758.5453),1)</x:f>
        <x:v>0.4522760400213883</x:v>
      </x:c>
      <x:c r="F285" s="131" t="n">
        <x:f>MOD(ABS(SIN((A285+5)*12.9898+78.233)*43758.5453),1)</x:f>
        <x:v>0.9182710675431736</x:v>
      </x:c>
      <x:c r="G285" s="132" t="n">
        <x:f>IF(B285&lt;(('Assumptions'!$C$47-'Assumptions'!$B$47)/('Assumptions'!$D$47-'Assumptions'!$B$47)),'Assumptions'!$B$47+SQRT(B285*('Assumptions'!$D$47-'Assumptions'!$B$47)*('Assumptions'!$C$47-'Assumptions'!$B$47)),'Assumptions'!$D$47-SQRT((1-B285)*('Assumptions'!$D$47-'Assumptions'!$B$47)*('Assumptions'!$D$47-'Assumptions'!$C$47)))</x:f>
        <x:v>0.016640378290605023</x:v>
      </x:c>
      <x:c r="H285" s="132" t="n">
        <x:f>IF(C285&lt;(('Assumptions'!$C$48-'Assumptions'!$B$48)/('Assumptions'!$D$48-'Assumptions'!$B$48)),'Assumptions'!$B$48+SQRT(C285*('Assumptions'!$D$48-'Assumptions'!$B$48)*('Assumptions'!$C$48-'Assumptions'!$B$48)),'Assumptions'!$D$48-SQRT((1-C285)*('Assumptions'!$D$48-'Assumptions'!$B$48)*('Assumptions'!$D$48-'Assumptions'!$C$48)))</x:f>
        <x:v>0.08256498052463151</x:v>
      </x:c>
      <x:c r="I285" s="132" t="n">
        <x:f>IF(D285&lt;(('Assumptions'!$C$49-'Assumptions'!$B$49)/('Assumptions'!$D$49-'Assumptions'!$B$49)),'Assumptions'!$B$49+SQRT(D285*('Assumptions'!$D$49-'Assumptions'!$B$49)*('Assumptions'!$C$49-'Assumptions'!$B$49)),'Assumptions'!$D$49-SQRT((1-D285)*('Assumptions'!$D$49-'Assumptions'!$B$49)*('Assumptions'!$D$49-'Assumptions'!$C$49)))</x:f>
        <x:v>0.13964185133526041</x:v>
      </x:c>
      <x:c r="J285" s="132" t="n">
        <x:f>IF(E285&lt;(('Assumptions'!$C$50-'Assumptions'!$B$50)/('Assumptions'!$D$50-'Assumptions'!$B$50)),'Assumptions'!$B$50+SQRT(E285*('Assumptions'!$D$50-'Assumptions'!$B$50)*('Assumptions'!$C$50-'Assumptions'!$B$50)),'Assumptions'!$D$50-SQRT((1-E285)*('Assumptions'!$D$50-'Assumptions'!$B$50)*('Assumptions'!$D$50-'Assumptions'!$C$50)))</x:f>
        <x:v>0.06758841816108904</x:v>
      </x:c>
      <x:c r="K285" s="132" t="n">
        <x:f>IF(F285&lt;(('Assumptions'!$C$51-'Assumptions'!$B$51)/('Assumptions'!$D$51-'Assumptions'!$B$51)),'Assumptions'!$B$51+SQRT(F285*('Assumptions'!$D$51-'Assumptions'!$B$51)*('Assumptions'!$C$51-'Assumptions'!$B$51)),'Assumptions'!$D$51-SQRT((1-F285)*('Assumptions'!$D$51-'Assumptions'!$B$51)*('Assumptions'!$D$51-'Assumptions'!$C$51)))</x:f>
        <x:v>0.07872847317275548</x:v>
      </x:c>
      <x:c r="L285" s="133" t="n">
        <x:f>(('Assumptions'!$B$17*(1+G285)+'Assumptions'!$B$18)*(1-H285-'Assumptions'!$B$20)-SUM('Assumptions'!$B$21:$B$25)*(1+I285))-(('Assumptions'!$B$17*(1+G285)+'Assumptions'!$B$18)*(1-H285-'Assumptions'!$B$20)*'Assumptions'!$B$26)</x:f>
        <x:v>190913.7280255612</x:v>
      </x:c>
      <x:c r="M285" s="133" t="n">
        <x:f>'Assumptions'!$B$10*'Assumptions'!$B$33</x:f>
        <x:v>1950000</x:v>
      </x:c>
      <x:c r="N285" s="133" t="n">
        <x:f>-PMT(K285/12,'Assumptions'!$B$35*12,M285)*12</x:f>
        <x:v>169631.27527647157</x:v>
      </x:c>
      <x:c r="O285" s="133" t="n">
        <x:f>(L285*(1+'Assumptions'!$B$29)^('Assumptions'!$B$14/12)/J285)*(1-'Assumptions'!$B$42)-'Debt Schedule'!$F$9</x:f>
        <x:v>3078072.5584148304</x:v>
      </x:c>
      <x:c r="P285" s="132" t="n">
        <x:f>((O285+(L285-N285-'Assumptions'!$B$27-'Assumptions'!$B$28)*('Assumptions'!$B$14/12))/ABS('Monthly Cash Flow'!$S$5))^(1/('Assumptions'!$B$14/12))-1</x:f>
        <x:v>0.18182579264141485</x:v>
      </x:c>
      <x:c r="Q285" s="133" t="n">
        <x:f>-ABS('Monthly Cash Flow'!$S$5)+((L285-N285-'Assumptions'!$B$27-'Assumptions'!$B$28)*(1-(1+'Assumptions'!$B$43)^-('Assumptions'!$B$14/12))/'Assumptions'!$B$43)+(O285/(1+'Assumptions'!$B$43)^('Assumptions'!$B$14/12))</x:f>
        <x:v>545786.6549684859</x:v>
      </x:c>
    </x:row>
    <x:row r="286">
      <x:c r="A286" s="131" t="n">
        <x:f>279</x:f>
        <x:v>279</x:v>
      </x:c>
      <x:c r="B286" s="131" t="n">
        <x:f>MOD(ABS(SIN((A286+1)*12.9898+78.233)*43758.5453),1)</x:f>
        <x:v>0.625138470211823</x:v>
      </x:c>
      <x:c r="C286" s="131" t="n">
        <x:f>MOD(ABS(SIN((A286+2)*12.9898+78.233)*43758.5453),1)</x:f>
        <x:v>0.9950328127888497</x:v>
      </x:c>
      <x:c r="D286" s="131" t="n">
        <x:f>MOD(ABS(SIN((A286+3)*12.9898+78.233)*43758.5453),1)</x:f>
        <x:v>0.4522760400213883</x:v>
      </x:c>
      <x:c r="E286" s="131" t="n">
        <x:f>MOD(ABS(SIN((A286+4)*12.9898+78.233)*43758.5453),1)</x:f>
        <x:v>0.9182710675431736</x:v>
      </x:c>
      <x:c r="F286" s="131" t="n">
        <x:f>MOD(ABS(SIN((A286+5)*12.9898+78.233)*43758.5453),1)</x:f>
        <x:v>0.4281056999861903</x:v>
      </x:c>
      <x:c r="G286" s="132" t="n">
        <x:f>IF(B286&lt;(('Assumptions'!$C$47-'Assumptions'!$B$47)/('Assumptions'!$D$47-'Assumptions'!$B$47)),'Assumptions'!$B$47+SQRT(B286*('Assumptions'!$D$47-'Assumptions'!$B$47)*('Assumptions'!$C$47-'Assumptions'!$B$47)),'Assumptions'!$D$47-SQRT((1-B286)*('Assumptions'!$D$47-'Assumptions'!$B$47)*('Assumptions'!$D$47-'Assumptions'!$C$47)))</x:f>
        <x:v>0.022554635538265866</x:v>
      </x:c>
      <x:c r="H286" s="132" t="n">
        <x:f>IF(C286&lt;(('Assumptions'!$C$48-'Assumptions'!$B$48)/('Assumptions'!$D$48-'Assumptions'!$B$48)),'Assumptions'!$B$48+SQRT(C286*('Assumptions'!$D$48-'Assumptions'!$B$48)*('Assumptions'!$C$48-'Assumptions'!$B$48)),'Assumptions'!$D$48-SQRT((1-C286)*('Assumptions'!$D$48-'Assumptions'!$B$48)*('Assumptions'!$D$48-'Assumptions'!$C$48)))</x:f>
        <x:v>0.1333885517881388</x:v>
      </x:c>
      <x:c r="I286" s="132" t="n">
        <x:f>IF(D286&lt;(('Assumptions'!$C$49-'Assumptions'!$B$49)/('Assumptions'!$D$49-'Assumptions'!$B$49)),'Assumptions'!$B$49+SQRT(D286*('Assumptions'!$D$49-'Assumptions'!$B$49)*('Assumptions'!$C$49-'Assumptions'!$B$49)),'Assumptions'!$D$49-SQRT((1-D286)*('Assumptions'!$D$49-'Assumptions'!$B$49)*('Assumptions'!$D$49-'Assumptions'!$C$49)))</x:f>
        <x:v>0.0412303464401122</x:v>
      </x:c>
      <x:c r="J286" s="132" t="n">
        <x:f>IF(E286&lt;(('Assumptions'!$C$50-'Assumptions'!$B$50)/('Assumptions'!$D$50-'Assumptions'!$B$50)),'Assumptions'!$B$50+SQRT(E286*('Assumptions'!$D$50-'Assumptions'!$B$50)*('Assumptions'!$C$50-'Assumptions'!$B$50)),'Assumptions'!$D$50-SQRT((1-E286)*('Assumptions'!$D$50-'Assumptions'!$B$50)*('Assumptions'!$D$50-'Assumptions'!$C$50)))</x:f>
        <x:v>0.07520560094970366</x:v>
      </x:c>
      <x:c r="K286" s="132" t="n">
        <x:f>IF(F286&lt;(('Assumptions'!$C$51-'Assumptions'!$B$51)/('Assumptions'!$D$51-'Assumptions'!$B$51)),'Assumptions'!$B$51+SQRT(F286*('Assumptions'!$D$51-'Assumptions'!$B$51)*('Assumptions'!$C$51-'Assumptions'!$B$51)),'Assumptions'!$D$51-SQRT((1-F286)*('Assumptions'!$D$51-'Assumptions'!$B$51)*('Assumptions'!$D$51-'Assumptions'!$C$51)))</x:f>
        <x:v>0.06841011959411263</x:v>
      </x:c>
      <x:c r="L286" s="133" t="n">
        <x:f>(('Assumptions'!$B$17*(1+G286)+'Assumptions'!$B$18)*(1-H286-'Assumptions'!$B$20)-SUM('Assumptions'!$B$21:$B$25)*(1+I286))-(('Assumptions'!$B$17*(1+G286)+'Assumptions'!$B$18)*(1-H286-'Assumptions'!$B$20)*'Assumptions'!$B$26)</x:f>
        <x:v>186329.32387032543</x:v>
      </x:c>
      <x:c r="M286" s="133" t="n">
        <x:f>'Assumptions'!$B$10*'Assumptions'!$B$33</x:f>
        <x:v>1950000</x:v>
      </x:c>
      <x:c r="N286" s="133" t="n">
        <x:f>-PMT(K286/12,'Assumptions'!$B$35*12,M286)*12</x:f>
        <x:v>153190.29418727485</x:v>
      </x:c>
      <x:c r="O286" s="133" t="n">
        <x:f>(L286*(1+'Assumptions'!$B$29)^('Assumptions'!$B$14/12)/J286)*(1-'Assumptions'!$B$42)-'Debt Schedule'!$F$9</x:f>
        <x:v>2699883.341319587</x:v>
      </x:c>
      <x:c r="P286" s="132" t="n">
        <x:f>((O286+(L286-N286-'Assumptions'!$B$27-'Assumptions'!$B$28)*('Assumptions'!$B$14/12))/ABS('Monthly Cash Flow'!$S$5))^(1/('Assumptions'!$B$14/12))-1</x:f>
        <x:v>0.15541468784918355</x:v>
      </x:c>
      <x:c r="Q286" s="133" t="n">
        <x:f>-ABS('Monthly Cash Flow'!$S$5)+((L286-N286-'Assumptions'!$B$27-'Assumptions'!$B$28)*(1-(1+'Assumptions'!$B$43)^-('Assumptions'!$B$14/12))/'Assumptions'!$B$43)+(O286/(1+'Assumptions'!$B$43)^('Assumptions'!$B$14/12))</x:f>
        <x:v>355906.6608947341</x:v>
      </x:c>
    </x:row>
    <x:row r="287">
      <x:c r="A287" s="131" t="n">
        <x:f>280</x:f>
        <x:v>280</x:v>
      </x:c>
      <x:c r="B287" s="131" t="n">
        <x:f>MOD(ABS(SIN((A287+1)*12.9898+78.233)*43758.5453),1)</x:f>
        <x:v>0.9950328127888497</x:v>
      </x:c>
      <x:c r="C287" s="131" t="n">
        <x:f>MOD(ABS(SIN((A287+2)*12.9898+78.233)*43758.5453),1)</x:f>
        <x:v>0.4522760400213883</x:v>
      </x:c>
      <x:c r="D287" s="131" t="n">
        <x:f>MOD(ABS(SIN((A287+3)*12.9898+78.233)*43758.5453),1)</x:f>
        <x:v>0.9182710675431736</x:v>
      </x:c>
      <x:c r="E287" s="131" t="n">
        <x:f>MOD(ABS(SIN((A287+4)*12.9898+78.233)*43758.5453),1)</x:f>
        <x:v>0.4281056999861903</x:v>
      </x:c>
      <x:c r="F287" s="131" t="n">
        <x:f>MOD(ABS(SIN((A287+5)*12.9898+78.233)*43758.5453),1)</x:f>
        <x:v>0.1865584416082129</x:v>
      </x:c>
      <x:c r="G287" s="132" t="n">
        <x:f>IF(B287&lt;(('Assumptions'!$C$47-'Assumptions'!$B$47)/('Assumptions'!$D$47-'Assumptions'!$B$47)),'Assumptions'!$B$47+SQRT(B287*('Assumptions'!$D$47-'Assumptions'!$B$47)*('Assumptions'!$C$47-'Assumptions'!$B$47)),'Assumptions'!$D$47-SQRT((1-B287)*('Assumptions'!$D$47-'Assumptions'!$B$47)*('Assumptions'!$D$47-'Assumptions'!$C$47)))</x:f>
        <x:v>0.09108512504976067</x:v>
      </x:c>
      <x:c r="H287" s="132" t="n">
        <x:f>IF(C287&lt;(('Assumptions'!$C$48-'Assumptions'!$B$48)/('Assumptions'!$D$48-'Assumptions'!$B$48)),'Assumptions'!$B$48+SQRT(C287*('Assumptions'!$D$48-'Assumptions'!$B$48)*('Assumptions'!$C$48-'Assumptions'!$B$48)),'Assumptions'!$D$48-SQRT((1-C287)*('Assumptions'!$D$48-'Assumptions'!$B$48)*('Assumptions'!$D$48-'Assumptions'!$C$48)))</x:f>
        <x:v>0.07057399012033183</x:v>
      </x:c>
      <x:c r="I287" s="132" t="n">
        <x:f>IF(D287&lt;(('Assumptions'!$C$49-'Assumptions'!$B$49)/('Assumptions'!$D$49-'Assumptions'!$B$49)),'Assumptions'!$B$49+SQRT(D287*('Assumptions'!$D$49-'Assumptions'!$B$49)*('Assumptions'!$C$49-'Assumptions'!$B$49)),'Assumptions'!$D$49-SQRT((1-D287)*('Assumptions'!$D$49-'Assumptions'!$B$49)*('Assumptions'!$D$49-'Assumptions'!$C$49)))</x:f>
        <x:v>0.1079839918475416</x:v>
      </x:c>
      <x:c r="J287" s="132" t="n">
        <x:f>IF(E287&lt;(('Assumptions'!$C$50-'Assumptions'!$B$50)/('Assumptions'!$D$50-'Assumptions'!$B$50)),'Assumptions'!$B$50+SQRT(E287*('Assumptions'!$D$50-'Assumptions'!$B$50)*('Assumptions'!$C$50-'Assumptions'!$B$50)),'Assumptions'!$D$50-SQRT((1-E287)*('Assumptions'!$D$50-'Assumptions'!$B$50)*('Assumptions'!$D$50-'Assumptions'!$C$50)))</x:f>
        <x:v>0.06731446801904682</x:v>
      </x:c>
      <x:c r="K287" s="132" t="n">
        <x:f>IF(F287&lt;(('Assumptions'!$C$51-'Assumptions'!$B$51)/('Assumptions'!$D$51-'Assumptions'!$B$51)),'Assumptions'!$B$51+SQRT(F287*('Assumptions'!$D$51-'Assumptions'!$B$51)*('Assumptions'!$C$51-'Assumptions'!$B$51)),'Assumptions'!$D$51-SQRT((1-F287)*('Assumptions'!$D$51-'Assumptions'!$B$51)*('Assumptions'!$D$51-'Assumptions'!$C$51)))</x:f>
        <x:v>0.06466265114620687</x:v>
      </x:c>
      <x:c r="L287" s="133" t="n">
        <x:f>(('Assumptions'!$B$17*(1+G287)+'Assumptions'!$B$18)*(1-H287-'Assumptions'!$B$20)-SUM('Assumptions'!$B$21:$B$25)*(1+I287))-(('Assumptions'!$B$17*(1+G287)+'Assumptions'!$B$18)*(1-H287-'Assumptions'!$B$20)*'Assumptions'!$B$26)</x:f>
        <x:v>222977.9565261368</x:v>
      </x:c>
      <x:c r="M287" s="133" t="n">
        <x:f>'Assumptions'!$B$10*'Assumptions'!$B$33</x:f>
        <x:v>1950000</x:v>
      </x:c>
      <x:c r="N287" s="133" t="n">
        <x:f>-PMT(K287/12,'Assumptions'!$B$35*12,M287)*12</x:f>
        <x:v>147385.1528247798</x:v>
      </x:c>
      <x:c r="O287" s="133" t="n">
        <x:f>(L287*(1+'Assumptions'!$B$29)^('Assumptions'!$B$14/12)/J287)*(1-'Assumptions'!$B$42)-'Debt Schedule'!$F$9</x:f>
        <x:v>3609669.9185667126</x:v>
      </x:c>
      <x:c r="P287" s="132" t="n">
        <x:f>((O287+(L287-N287-'Assumptions'!$B$27-'Assumptions'!$B$28)*('Assumptions'!$B$14/12))/ABS('Monthly Cash Flow'!$S$5))^(1/('Assumptions'!$B$14/12))-1</x:f>
        <x:v>0.23951900179441887</x:v>
      </x:c>
      <x:c r="Q287" s="133" t="n">
        <x:f>-ABS('Monthly Cash Flow'!$S$5)+((L287-N287-'Assumptions'!$B$27-'Assumptions'!$B$28)*(1-(1+'Assumptions'!$B$43)^-('Assumptions'!$B$14/12))/'Assumptions'!$B$43)+(O287/(1+'Assumptions'!$B$43)^('Assumptions'!$B$14/12))</x:f>
        <x:v>1081745.7510005317</x:v>
      </x:c>
    </x:row>
    <x:row r="288">
      <x:c r="A288" s="131" t="n">
        <x:f>281</x:f>
        <x:v>281</x:v>
      </x:c>
      <x:c r="B288" s="131" t="n">
        <x:f>MOD(ABS(SIN((A288+1)*12.9898+78.233)*43758.5453),1)</x:f>
        <x:v>0.4522760400213883</x:v>
      </x:c>
      <x:c r="C288" s="131" t="n">
        <x:f>MOD(ABS(SIN((A288+2)*12.9898+78.233)*43758.5453),1)</x:f>
        <x:v>0.9182710675431736</x:v>
      </x:c>
      <x:c r="D288" s="131" t="n">
        <x:f>MOD(ABS(SIN((A288+3)*12.9898+78.233)*43758.5453),1)</x:f>
        <x:v>0.4281056999861903</x:v>
      </x:c>
      <x:c r="E288" s="131" t="n">
        <x:f>MOD(ABS(SIN((A288+4)*12.9898+78.233)*43758.5453),1)</x:f>
        <x:v>0.1865584416082129</x:v>
      </x:c>
      <x:c r="F288" s="131" t="n">
        <x:f>MOD(ABS(SIN((A288+5)*12.9898+78.233)*43758.5453),1)</x:f>
        <x:v>0.0952076347602997</x:v>
      </x:c>
      <x:c r="G288" s="132" t="n">
        <x:f>IF(B288&lt;(('Assumptions'!$C$47-'Assumptions'!$B$47)/('Assumptions'!$D$47-'Assumptions'!$B$47)),'Assumptions'!$B$47+SQRT(B288*('Assumptions'!$D$47-'Assumptions'!$B$47)*('Assumptions'!$C$47-'Assumptions'!$B$47)),'Assumptions'!$D$47-SQRT((1-B288)*('Assumptions'!$D$47-'Assumptions'!$B$47)*('Assumptions'!$D$47-'Assumptions'!$C$47)))</x:f>
        <x:v>0.004185531435575637</x:v>
      </x:c>
      <x:c r="H288" s="132" t="n">
        <x:f>IF(C288&lt;(('Assumptions'!$C$48-'Assumptions'!$B$48)/('Assumptions'!$D$48-'Assumptions'!$B$48)),'Assumptions'!$B$48+SQRT(C288*('Assumptions'!$D$48-'Assumptions'!$B$48)*('Assumptions'!$C$48-'Assumptions'!$B$48)),'Assumptions'!$D$48-SQRT((1-C288)*('Assumptions'!$D$48-'Assumptions'!$B$48)*('Assumptions'!$D$48-'Assumptions'!$C$48)))</x:f>
        <x:v>0.11318182322341669</x:v>
      </x:c>
      <x:c r="I288" s="132" t="n">
        <x:f>IF(D288&lt;(('Assumptions'!$C$49-'Assumptions'!$B$49)/('Assumptions'!$D$49-'Assumptions'!$B$49)),'Assumptions'!$B$49+SQRT(D288*('Assumptions'!$D$49-'Assumptions'!$B$49)*('Assumptions'!$C$49-'Assumptions'!$B$49)),'Assumptions'!$D$49-SQRT((1-D288)*('Assumptions'!$D$49-'Assumptions'!$B$49)*('Assumptions'!$D$49-'Assumptions'!$C$49)))</x:f>
        <x:v>0.03885632325544432</x:v>
      </x:c>
      <x:c r="J288" s="132" t="n">
        <x:f>IF(E288&lt;(('Assumptions'!$C$50-'Assumptions'!$B$50)/('Assumptions'!$D$50-'Assumptions'!$B$50)),'Assumptions'!$B$50+SQRT(E288*('Assumptions'!$D$50-'Assumptions'!$B$50)*('Assumptions'!$C$50-'Assumptions'!$B$50)),'Assumptions'!$D$50-SQRT((1-E288)*('Assumptions'!$D$50-'Assumptions'!$B$50)*('Assumptions'!$D$50-'Assumptions'!$C$50)))</x:f>
        <x:v>0.06397886173350288</x:v>
      </x:c>
      <x:c r="K288" s="132" t="n">
        <x:f>IF(F288&lt;(('Assumptions'!$C$51-'Assumptions'!$B$51)/('Assumptions'!$D$51-'Assumptions'!$B$51)),'Assumptions'!$B$51+SQRT(F288*('Assumptions'!$D$51-'Assumptions'!$B$51)*('Assumptions'!$C$51-'Assumptions'!$B$51)),'Assumptions'!$D$51-SQRT((1-F288)*('Assumptions'!$D$51-'Assumptions'!$B$51)*('Assumptions'!$D$51-'Assumptions'!$C$51)))</x:f>
        <x:v>0.0626168446878015</x:v>
      </x:c>
      <x:c r="L288" s="133" t="n">
        <x:f>(('Assumptions'!$B$17*(1+G288)+'Assumptions'!$B$18)*(1-H288-'Assumptions'!$B$20)-SUM('Assumptions'!$B$21:$B$25)*(1+I288))-(('Assumptions'!$B$17*(1+G288)+'Assumptions'!$B$18)*(1-H288-'Assumptions'!$B$20)*'Assumptions'!$B$26)</x:f>
        <x:v>188552.21799307875</x:v>
      </x:c>
      <x:c r="M288" s="133" t="n">
        <x:f>'Assumptions'!$B$10*'Assumptions'!$B$33</x:f>
        <x:v>1950000</x:v>
      </x:c>
      <x:c r="N288" s="133" t="n">
        <x:f>-PMT(K288/12,'Assumptions'!$B$35*12,M288)*12</x:f>
        <x:v>144255.69729877618</x:v>
      </x:c>
      <x:c r="O288" s="133" t="n">
        <x:f>(L288*(1+'Assumptions'!$B$29)^('Assumptions'!$B$14/12)/J288)*(1-'Assumptions'!$B$42)-'Debt Schedule'!$F$9</x:f>
        <x:v>3211508.778457606</x:v>
      </x:c>
      <x:c r="P288" s="132" t="n">
        <x:f>((O288+(L288-N288-'Assumptions'!$B$27-'Assumptions'!$B$28)*('Assumptions'!$B$14/12))/ABS('Monthly Cash Flow'!$S$5))^(1/('Assumptions'!$B$14/12))-1</x:f>
        <x:v>0.20088245124447712</x:v>
      </x:c>
      <x:c r="Q288" s="133" t="n">
        <x:f>-ABS('Monthly Cash Flow'!$S$5)+((L288-N288-'Assumptions'!$B$27-'Assumptions'!$B$28)*(1-(1+'Assumptions'!$B$43)^-('Assumptions'!$B$14/12))/'Assumptions'!$B$43)+(O288/(1+'Assumptions'!$B$43)^('Assumptions'!$B$14/12))</x:f>
        <x:v>715881.4735384393</x:v>
      </x:c>
    </x:row>
    <x:row r="289">
      <x:c r="A289" s="131" t="n">
        <x:f>282</x:f>
        <x:v>282</x:v>
      </x:c>
      <x:c r="B289" s="131" t="n">
        <x:f>MOD(ABS(SIN((A289+1)*12.9898+78.233)*43758.5453),1)</x:f>
        <x:v>0.9182710675431736</x:v>
      </x:c>
      <x:c r="C289" s="131" t="n">
        <x:f>MOD(ABS(SIN((A289+2)*12.9898+78.233)*43758.5453),1)</x:f>
        <x:v>0.4281056999861903</x:v>
      </x:c>
      <x:c r="D289" s="131" t="n">
        <x:f>MOD(ABS(SIN((A289+3)*12.9898+78.233)*43758.5453),1)</x:f>
        <x:v>0.1865584416082129</x:v>
      </x:c>
      <x:c r="E289" s="131" t="n">
        <x:f>MOD(ABS(SIN((A289+4)*12.9898+78.233)*43758.5453),1)</x:f>
        <x:v>0.0952076347602997</x:v>
      </x:c>
      <x:c r="F289" s="131" t="n">
        <x:f>MOD(ABS(SIN((A289+5)*12.9898+78.233)*43758.5453),1)</x:f>
        <x:v>0.40950095668813447</x:v>
      </x:c>
      <x:c r="G289" s="132" t="n">
        <x:f>IF(B289&lt;(('Assumptions'!$C$47-'Assumptions'!$B$47)/('Assumptions'!$D$47-'Assumptions'!$B$47)),'Assumptions'!$B$47+SQRT(B289*('Assumptions'!$D$47-'Assumptions'!$B$47)*('Assumptions'!$C$47-'Assumptions'!$B$47)),'Assumptions'!$D$47-SQRT((1-B289)*('Assumptions'!$D$47-'Assumptions'!$B$47)*('Assumptions'!$D$47-'Assumptions'!$C$47)))</x:f>
        <x:v>0.06383837781142523</x:v>
      </x:c>
      <x:c r="H289" s="132" t="n">
        <x:f>IF(C289&lt;(('Assumptions'!$C$48-'Assumptions'!$B$48)/('Assumptions'!$D$48-'Assumptions'!$B$48)),'Assumptions'!$B$48+SQRT(C289*('Assumptions'!$D$48-'Assumptions'!$B$48)*('Assumptions'!$C$48-'Assumptions'!$B$48)),'Assumptions'!$D$48-SQRT((1-C289)*('Assumptions'!$D$48-'Assumptions'!$B$48)*('Assumptions'!$D$48-'Assumptions'!$C$48)))</x:f>
        <x:v>0.06905868735270311</x:v>
      </x:c>
      <x:c r="I289" s="132" t="n">
        <x:f>IF(D289&lt;(('Assumptions'!$C$49-'Assumptions'!$B$49)/('Assumptions'!$D$49-'Assumptions'!$B$49)),'Assumptions'!$B$49+SQRT(D289*('Assumptions'!$D$49-'Assumptions'!$B$49)*('Assumptions'!$C$49-'Assumptions'!$B$49)),'Assumptions'!$D$49-SQRT((1-D289)*('Assumptions'!$D$49-'Assumptions'!$B$49)*('Assumptions'!$D$49-'Assumptions'!$C$49)))</x:f>
        <x:v>0.014886870790563014</x:v>
      </x:c>
      <x:c r="J289" s="132" t="n">
        <x:f>IF(E289&lt;(('Assumptions'!$C$50-'Assumptions'!$B$50)/('Assumptions'!$D$50-'Assumptions'!$B$50)),'Assumptions'!$B$50+SQRT(E289*('Assumptions'!$D$50-'Assumptions'!$B$50)*('Assumptions'!$C$50-'Assumptions'!$B$50)),'Assumptions'!$D$50-SQRT((1-E289)*('Assumptions'!$D$50-'Assumptions'!$B$50)*('Assumptions'!$D$50-'Assumptions'!$C$50)))</x:f>
        <x:v>0.062128360165443854</x:v>
      </x:c>
      <x:c r="K289" s="132" t="n">
        <x:f>IF(F289&lt;(('Assumptions'!$C$51-'Assumptions'!$B$51)/('Assumptions'!$D$51-'Assumptions'!$B$51)),'Assumptions'!$B$51+SQRT(F289*('Assumptions'!$D$51-'Assumptions'!$B$51)*('Assumptions'!$C$51-'Assumptions'!$B$51)),'Assumptions'!$D$51-SQRT((1-F289)*('Assumptions'!$D$51-'Assumptions'!$B$51)*('Assumptions'!$D$51-'Assumptions'!$C$51)))</x:f>
        <x:v>0.06814243005075063</x:v>
      </x:c>
      <x:c r="L289" s="133" t="n">
        <x:f>(('Assumptions'!$B$17*(1+G289)+'Assumptions'!$B$18)*(1-H289-'Assumptions'!$B$20)-SUM('Assumptions'!$B$21:$B$25)*(1+I289))-(('Assumptions'!$B$17*(1+G289)+'Assumptions'!$B$18)*(1-H289-'Assumptions'!$B$20)*'Assumptions'!$B$26)</x:f>
        <x:v>226633.74546684572</x:v>
      </x:c>
      <x:c r="M289" s="133" t="n">
        <x:f>'Assumptions'!$B$10*'Assumptions'!$B$33</x:f>
        <x:v>1950000</x:v>
      </x:c>
      <x:c r="N289" s="133" t="n">
        <x:f>-PMT(K289/12,'Assumptions'!$B$35*12,M289)*12</x:f>
        <x:v>152772.56617000746</x:v>
      </x:c>
      <x:c r="O289" s="133" t="n">
        <x:f>(L289*(1+'Assumptions'!$B$29)^('Assumptions'!$B$14/12)/J289)*(1-'Assumptions'!$B$42)-'Debt Schedule'!$F$9</x:f>
        <x:v>3975105.528211102</x:v>
      </x:c>
      <x:c r="P289" s="132" t="n">
        <x:f>((O289+(L289-N289-'Assumptions'!$B$27-'Assumptions'!$B$28)*('Assumptions'!$B$14/12))/ABS('Monthly Cash Flow'!$S$5))^(1/('Assumptions'!$B$14/12))-1</x:f>
        <x:v>0.2620372147190728</x:v>
      </x:c>
      <x:c r="Q289" s="133" t="n">
        <x:f>-ABS('Monthly Cash Flow'!$S$5)+((L289-N289-'Assumptions'!$B$27-'Assumptions'!$B$28)*(1-(1+'Assumptions'!$B$43)^-('Assumptions'!$B$14/12))/'Assumptions'!$B$43)+(O289/(1+'Assumptions'!$B$43)^('Assumptions'!$B$14/12))</x:f>
        <x:v>1302088.2943516201</x:v>
      </x:c>
    </x:row>
    <x:row r="290">
      <x:c r="A290" s="131" t="n">
        <x:f>283</x:f>
        <x:v>283</x:v>
      </x:c>
      <x:c r="B290" s="131" t="n">
        <x:f>MOD(ABS(SIN((A290+1)*12.9898+78.233)*43758.5453),1)</x:f>
        <x:v>0.4281056999861903</x:v>
      </x:c>
      <x:c r="C290" s="131" t="n">
        <x:f>MOD(ABS(SIN((A290+2)*12.9898+78.233)*43758.5453),1)</x:f>
        <x:v>0.1865584416082129</x:v>
      </x:c>
      <x:c r="D290" s="131" t="n">
        <x:f>MOD(ABS(SIN((A290+3)*12.9898+78.233)*43758.5453),1)</x:f>
        <x:v>0.0952076347602997</x:v>
      </x:c>
      <x:c r="E290" s="131" t="n">
        <x:f>MOD(ABS(SIN((A290+4)*12.9898+78.233)*43758.5453),1)</x:f>
        <x:v>0.40950095668813447</x:v>
      </x:c>
      <x:c r="F290" s="131" t="n">
        <x:f>MOD(ABS(SIN((A290+5)*12.9898+78.233)*43758.5453),1)</x:f>
        <x:v>0.7035130297517753</x:v>
      </x:c>
      <x:c r="G290" s="132" t="n">
        <x:f>IF(B290&lt;(('Assumptions'!$C$47-'Assumptions'!$B$47)/('Assumptions'!$D$47-'Assumptions'!$B$47)),'Assumptions'!$B$47+SQRT(B290*('Assumptions'!$D$47-'Assumptions'!$B$47)*('Assumptions'!$C$47-'Assumptions'!$B$47)),'Assumptions'!$D$47-SQRT((1-B290)*('Assumptions'!$D$47-'Assumptions'!$B$47)*('Assumptions'!$D$47-'Assumptions'!$C$47)))</x:f>
        <x:v>0.0013633898390763566</x:v>
      </x:c>
      <x:c r="H290" s="132" t="n">
        <x:f>IF(C290&lt;(('Assumptions'!$C$48-'Assumptions'!$B$48)/('Assumptions'!$D$48-'Assumptions'!$B$48)),'Assumptions'!$B$48+SQRT(C290*('Assumptions'!$D$48-'Assumptions'!$B$48)*('Assumptions'!$C$48-'Assumptions'!$B$48)),'Assumptions'!$D$48-SQRT((1-C290)*('Assumptions'!$D$48-'Assumptions'!$B$48)*('Assumptions'!$D$48-'Assumptions'!$C$48)))</x:f>
        <x:v>0.054812151404243496</x:v>
      </x:c>
      <x:c r="I290" s="132" t="n">
        <x:f>IF(D290&lt;(('Assumptions'!$C$49-'Assumptions'!$B$49)/('Assumptions'!$D$49-'Assumptions'!$B$49)),'Assumptions'!$B$49+SQRT(D290*('Assumptions'!$D$49-'Assumptions'!$B$49)*('Assumptions'!$C$49-'Assumptions'!$B$49)),'Assumptions'!$D$49-SQRT((1-D290)*('Assumptions'!$D$49-'Assumptions'!$B$49)*('Assumptions'!$D$49-'Assumptions'!$C$49)))</x:f>
        <x:v>0.002066219849106578</x:v>
      </x:c>
      <x:c r="J290" s="132" t="n">
        <x:f>IF(E290&lt;(('Assumptions'!$C$50-'Assumptions'!$B$50)/('Assumptions'!$D$50-'Assumptions'!$B$50)),'Assumptions'!$B$50+SQRT(E290*('Assumptions'!$D$50-'Assumptions'!$B$50)*('Assumptions'!$C$50-'Assumptions'!$B$50)),'Assumptions'!$D$50-SQRT((1-E290)*('Assumptions'!$D$50-'Assumptions'!$B$50)*('Assumptions'!$D$50-'Assumptions'!$C$50)))</x:f>
        <x:v>0.06709883926601704</x:v>
      </x:c>
      <x:c r="K290" s="132" t="n">
        <x:f>IF(F290&lt;(('Assumptions'!$C$51-'Assumptions'!$B$51)/('Assumptions'!$D$51-'Assumptions'!$B$51)),'Assumptions'!$B$51+SQRT(F290*('Assumptions'!$D$51-'Assumptions'!$B$51)*('Assumptions'!$C$51-'Assumptions'!$B$51)),'Assumptions'!$D$51-SQRT((1-F290)*('Assumptions'!$D$51-'Assumptions'!$B$51)*('Assumptions'!$D$51-'Assumptions'!$C$51)))</x:f>
        <x:v>0.0730549443520778</x:v>
      </x:c>
      <x:c r="L290" s="133" t="n">
        <x:f>(('Assumptions'!$B$17*(1+G290)+'Assumptions'!$B$18)*(1-H290-'Assumptions'!$B$20)-SUM('Assumptions'!$B$21:$B$25)*(1+I290))-(('Assumptions'!$B$17*(1+G290)+'Assumptions'!$B$18)*(1-H290-'Assumptions'!$B$20)*'Assumptions'!$B$26)</x:f>
        <x:v>213541.27164839604</x:v>
      </x:c>
      <x:c r="M290" s="133" t="n">
        <x:f>'Assumptions'!$B$10*'Assumptions'!$B$33</x:f>
        <x:v>1950000</x:v>
      </x:c>
      <x:c r="N290" s="133" t="n">
        <x:f>-PMT(K290/12,'Assumptions'!$B$35*12,M290)*12</x:f>
        <x:v>160510.98054352275</x:v>
      </x:c>
      <x:c r="O290" s="133" t="n">
        <x:f>(L290*(1+'Assumptions'!$B$29)^('Assumptions'!$B$14/12)/J290)*(1-'Assumptions'!$B$42)-'Debt Schedule'!$F$9</x:f>
        <x:v>3468013.619305486</x:v>
      </x:c>
      <x:c r="P290" s="132" t="n">
        <x:f>((O290+(L290-N290-'Assumptions'!$B$27-'Assumptions'!$B$28)*('Assumptions'!$B$14/12))/ABS('Monthly Cash Flow'!$S$5))^(1/('Assumptions'!$B$14/12))-1</x:f>
        <x:v>0.22239727982681856</x:v>
      </x:c>
      <x:c r="Q290" s="133" t="n">
        <x:f>-ABS('Monthly Cash Flow'!$S$5)+((L290-N290-'Assumptions'!$B$27-'Assumptions'!$B$28)*(1-(1+'Assumptions'!$B$43)^-('Assumptions'!$B$14/12))/'Assumptions'!$B$43)+(O290/(1+'Assumptions'!$B$43)^('Assumptions'!$B$14/12))</x:f>
        <x:v>908258.6600082249</x:v>
      </x:c>
    </x:row>
    <x:row r="291">
      <x:c r="A291" s="131" t="n">
        <x:f>284</x:f>
        <x:v>284</x:v>
      </x:c>
      <x:c r="B291" s="131" t="n">
        <x:f>MOD(ABS(SIN((A291+1)*12.9898+78.233)*43758.5453),1)</x:f>
        <x:v>0.1865584416082129</x:v>
      </x:c>
      <x:c r="C291" s="131" t="n">
        <x:f>MOD(ABS(SIN((A291+2)*12.9898+78.233)*43758.5453),1)</x:f>
        <x:v>0.0952076347602997</x:v>
      </x:c>
      <x:c r="D291" s="131" t="n">
        <x:f>MOD(ABS(SIN((A291+3)*12.9898+78.233)*43758.5453),1)</x:f>
        <x:v>0.40950095668813447</x:v>
      </x:c>
      <x:c r="E291" s="131" t="n">
        <x:f>MOD(ABS(SIN((A291+4)*12.9898+78.233)*43758.5453),1)</x:f>
        <x:v>0.7035130297517753</x:v>
      </x:c>
      <x:c r="F291" s="131" t="n">
        <x:f>MOD(ABS(SIN((A291+5)*12.9898+78.233)*43758.5453),1)</x:f>
        <x:v>0.6817393585915852</x:v>
      </x:c>
      <x:c r="G291" s="132" t="n">
        <x:f>IF(B291&lt;(('Assumptions'!$C$47-'Assumptions'!$B$47)/('Assumptions'!$D$47-'Assumptions'!$B$47)),'Assumptions'!$B$47+SQRT(B291*('Assumptions'!$D$47-'Assumptions'!$B$47)*('Assumptions'!$C$47-'Assumptions'!$B$47)),'Assumptions'!$D$47-SQRT((1-B291)*('Assumptions'!$D$47-'Assumptions'!$B$47)*('Assumptions'!$D$47-'Assumptions'!$C$47)))</x:f>
        <x:v>-0.03308660374336758</x:v>
      </x:c>
      <x:c r="H291" s="132" t="n">
        <x:f>IF(C291&lt;(('Assumptions'!$C$48-'Assumptions'!$B$48)/('Assumptions'!$D$48-'Assumptions'!$B$48)),'Assumptions'!$B$48+SQRT(C291*('Assumptions'!$D$48-'Assumptions'!$B$48)*('Assumptions'!$C$48-'Assumptions'!$B$48)),'Assumptions'!$D$48-SQRT((1-C291)*('Assumptions'!$D$48-'Assumptions'!$B$48)*('Assumptions'!$D$48-'Assumptions'!$C$48)))</x:f>
        <x:v>0.04772526994742221</x:v>
      </x:c>
      <x:c r="I291" s="132" t="n">
        <x:f>IF(D291&lt;(('Assumptions'!$C$49-'Assumptions'!$B$49)/('Assumptions'!$D$49-'Assumptions'!$B$49)),'Assumptions'!$B$49+SQRT(D291*('Assumptions'!$D$49-'Assumptions'!$B$49)*('Assumptions'!$C$49-'Assumptions'!$B$49)),'Assumptions'!$D$49-SQRT((1-D291)*('Assumptions'!$D$49-'Assumptions'!$B$49)*('Assumptions'!$D$49-'Assumptions'!$C$49)))</x:f>
        <x:v>0.03706294082305714</x:v>
      </x:c>
      <x:c r="J291" s="132" t="n">
        <x:f>IF(E291&lt;(('Assumptions'!$C$50-'Assumptions'!$B$50)/('Assumptions'!$D$50-'Assumptions'!$B$50)),'Assumptions'!$B$50+SQRT(E291*('Assumptions'!$D$50-'Assumptions'!$B$50)*('Assumptions'!$C$50-'Assumptions'!$B$50)),'Assumptions'!$D$50-SQRT((1-E291)*('Assumptions'!$D$50-'Assumptions'!$B$50)*('Assumptions'!$D$50-'Assumptions'!$C$50)))</x:f>
        <x:v>0.07086835390620545</x:v>
      </x:c>
      <x:c r="K291" s="132" t="n">
        <x:f>IF(F291&lt;(('Assumptions'!$C$51-'Assumptions'!$B$51)/('Assumptions'!$D$51-'Assumptions'!$B$51)),'Assumptions'!$B$51+SQRT(F291*('Assumptions'!$D$51-'Assumptions'!$B$51)*('Assumptions'!$C$51-'Assumptions'!$B$51)),'Assumptions'!$D$51-SQRT((1-F291)*('Assumptions'!$D$51-'Assumptions'!$B$51)*('Assumptions'!$D$51-'Assumptions'!$C$51)))</x:f>
        <x:v>0.07262409867210474</x:v>
      </x:c>
      <x:c r="L291" s="133" t="n">
        <x:f>(('Assumptions'!$B$17*(1+G291)+'Assumptions'!$B$18)*(1-H291-'Assumptions'!$B$20)-SUM('Assumptions'!$B$21:$B$25)*(1+I291))-(('Assumptions'!$B$17*(1+G291)+'Assumptions'!$B$18)*(1-H291-'Assumptions'!$B$20)*'Assumptions'!$B$26)</x:f>
        <x:v>200488.06613473763</x:v>
      </x:c>
      <x:c r="M291" s="133" t="n">
        <x:f>'Assumptions'!$B$10*'Assumptions'!$B$33</x:f>
        <x:v>1950000</x:v>
      </x:c>
      <x:c r="N291" s="133" t="n">
        <x:f>-PMT(K291/12,'Assumptions'!$B$35*12,M291)*12</x:f>
        <x:v>159826.26128024064</x:v>
      </x:c>
      <x:c r="O291" s="133" t="n">
        <x:f>(L291*(1+'Assumptions'!$B$29)^('Assumptions'!$B$14/12)/J291)*(1-'Assumptions'!$B$42)-'Debt Schedule'!$F$9</x:f>
        <x:v>3082834.131142731</x:v>
      </x:c>
      <x:c r="P291" s="132" t="n">
        <x:f>((O291+(L291-N291-'Assumptions'!$B$27-'Assumptions'!$B$28)*('Assumptions'!$B$14/12))/ABS('Monthly Cash Flow'!$S$5))^(1/('Assumptions'!$B$14/12))-1</x:f>
        <x:v>0.18976942073890224</x:v>
      </x:c>
      <x:c r="Q291" s="133" t="n">
        <x:f>-ABS('Monthly Cash Flow'!$S$5)+((L291-N291-'Assumptions'!$B$27-'Assumptions'!$B$28)*(1-(1+'Assumptions'!$B$43)^-('Assumptions'!$B$14/12))/'Assumptions'!$B$43)+(O291/(1+'Assumptions'!$B$43)^('Assumptions'!$B$14/12))</x:f>
        <x:v>622206.2085674223</x:v>
      </x:c>
    </x:row>
    <x:row r="292">
      <x:c r="A292" s="131" t="n">
        <x:f>285</x:f>
        <x:v>285</x:v>
      </x:c>
      <x:c r="B292" s="131" t="n">
        <x:f>MOD(ABS(SIN((A292+1)*12.9898+78.233)*43758.5453),1)</x:f>
        <x:v>0.0952076347602997</x:v>
      </x:c>
      <x:c r="C292" s="131" t="n">
        <x:f>MOD(ABS(SIN((A292+2)*12.9898+78.233)*43758.5453),1)</x:f>
        <x:v>0.40950095668813447</x:v>
      </x:c>
      <x:c r="D292" s="131" t="n">
        <x:f>MOD(ABS(SIN((A292+3)*12.9898+78.233)*43758.5453),1)</x:f>
        <x:v>0.7035130297517753</x:v>
      </x:c>
      <x:c r="E292" s="131" t="n">
        <x:f>MOD(ABS(SIN((A292+4)*12.9898+78.233)*43758.5453),1)</x:f>
        <x:v>0.6817393585915852</x:v>
      </x:c>
      <x:c r="F292" s="131" t="n">
        <x:f>MOD(ABS(SIN((A292+5)*12.9898+78.233)*43758.5453),1)</x:f>
        <x:v>0.3466864918054853</x:v>
      </x:c>
      <x:c r="G292" s="132" t="n">
        <x:f>IF(B292&lt;(('Assumptions'!$C$47-'Assumptions'!$B$47)/('Assumptions'!$D$47-'Assumptions'!$B$47)),'Assumptions'!$B$47+SQRT(B292*('Assumptions'!$D$47-'Assumptions'!$B$47)*('Assumptions'!$C$47-'Assumptions'!$B$47)),'Assumptions'!$D$47-SQRT((1-B292)*('Assumptions'!$D$47-'Assumptions'!$B$47)*('Assumptions'!$D$47-'Assumptions'!$C$47)))</x:f>
        <x:v>-0.05219850175729643</x:v>
      </x:c>
      <x:c r="H292" s="132" t="n">
        <x:f>IF(C292&lt;(('Assumptions'!$C$48-'Assumptions'!$B$48)/('Assumptions'!$D$48-'Assumptions'!$B$48)),'Assumptions'!$B$48+SQRT(C292*('Assumptions'!$D$48-'Assumptions'!$B$48)*('Assumptions'!$C$48-'Assumptions'!$B$48)),'Assumptions'!$D$48-SQRT((1-C292)*('Assumptions'!$D$48-'Assumptions'!$B$48)*('Assumptions'!$D$48-'Assumptions'!$C$48)))</x:f>
        <x:v>0.06791399871580879</x:v>
      </x:c>
      <x:c r="I292" s="132" t="n">
        <x:f>IF(D292&lt;(('Assumptions'!$C$49-'Assumptions'!$B$49)/('Assumptions'!$D$49-'Assumptions'!$B$49)),'Assumptions'!$B$49+SQRT(D292*('Assumptions'!$D$49-'Assumptions'!$B$49)*('Assumptions'!$C$49-'Assumptions'!$B$49)),'Assumptions'!$D$49-SQRT((1-D292)*('Assumptions'!$D$49-'Assumptions'!$B$49)*('Assumptions'!$D$49-'Assumptions'!$C$49)))</x:f>
        <x:v>0.06997426315639665</x:v>
      </x:c>
      <x:c r="J292" s="132" t="n">
        <x:f>IF(E292&lt;(('Assumptions'!$C$50-'Assumptions'!$B$50)/('Assumptions'!$D$50-'Assumptions'!$B$50)),'Assumptions'!$B$50+SQRT(E292*('Assumptions'!$D$50-'Assumptions'!$B$50)*('Assumptions'!$C$50-'Assumptions'!$B$50)),'Assumptions'!$D$50-SQRT((1-E292)*('Assumptions'!$D$50-'Assumptions'!$B$50)*('Assumptions'!$D$50-'Assumptions'!$C$50)))</x:f>
        <x:v>0.0705389849700935</x:v>
      </x:c>
      <x:c r="K292" s="132" t="n">
        <x:f>IF(F292&lt;(('Assumptions'!$C$51-'Assumptions'!$B$51)/('Assumptions'!$D$51-'Assumptions'!$B$51)),'Assumptions'!$B$51+SQRT(F292*('Assumptions'!$D$51-'Assumptions'!$B$51)*('Assumptions'!$C$51-'Assumptions'!$B$51)),'Assumptions'!$D$51-SQRT((1-F292)*('Assumptions'!$D$51-'Assumptions'!$B$51)*('Assumptions'!$D$51-'Assumptions'!$C$51)))</x:f>
        <x:v>0.06726415819446349</x:v>
      </x:c>
      <x:c r="L292" s="133" t="n">
        <x:f>(('Assumptions'!$B$17*(1+G292)+'Assumptions'!$B$18)*(1-H292-'Assumptions'!$B$20)-SUM('Assumptions'!$B$21:$B$25)*(1+I292))-(('Assumptions'!$B$17*(1+G292)+'Assumptions'!$B$18)*(1-H292-'Assumptions'!$B$20)*'Assumptions'!$B$26)</x:f>
        <x:v>183155.56190699435</x:v>
      </x:c>
      <x:c r="M292" s="133" t="n">
        <x:f>'Assumptions'!$B$10*'Assumptions'!$B$33</x:f>
        <x:v>1950000</x:v>
      </x:c>
      <x:c r="N292" s="133" t="n">
        <x:f>-PMT(K292/12,'Assumptions'!$B$35*12,M292)*12</x:f>
        <x:v>151405.2960780691</x:v>
      </x:c>
      <x:c r="O292" s="133" t="n">
        <x:f>(L292*(1+'Assumptions'!$B$29)^('Assumptions'!$B$14/12)/J292)*(1-'Assumptions'!$B$42)-'Debt Schedule'!$F$9</x:f>
        <x:v>2829468.625020463</x:v>
      </x:c>
      <x:c r="P292" s="132" t="n">
        <x:f>((O292+(L292-N292-'Assumptions'!$B$27-'Assumptions'!$B$28)*('Assumptions'!$B$14/12))/ABS('Monthly Cash Flow'!$S$5))^(1/('Assumptions'!$B$14/12))-1</x:f>
        <x:v>0.1658562231339109</x:v>
      </x:c>
      <x:c r="Q292" s="133" t="n">
        <x:f>-ABS('Monthly Cash Flow'!$S$5)+((L292-N292-'Assumptions'!$B$27-'Assumptions'!$B$28)*(1-(1+'Assumptions'!$B$43)^-('Assumptions'!$B$14/12))/'Assumptions'!$B$43)+(O292/(1+'Assumptions'!$B$43)^('Assumptions'!$B$14/12))</x:f>
        <x:v>431104.41905522696</x:v>
      </x:c>
    </x:row>
    <x:row r="293">
      <x:c r="A293" s="131" t="n">
        <x:f>286</x:f>
        <x:v>286</x:v>
      </x:c>
      <x:c r="B293" s="131" t="n">
        <x:f>MOD(ABS(SIN((A293+1)*12.9898+78.233)*43758.5453),1)</x:f>
        <x:v>0.40950095668813447</x:v>
      </x:c>
      <x:c r="C293" s="131" t="n">
        <x:f>MOD(ABS(SIN((A293+2)*12.9898+78.233)*43758.5453),1)</x:f>
        <x:v>0.7035130297517753</x:v>
      </x:c>
      <x:c r="D293" s="131" t="n">
        <x:f>MOD(ABS(SIN((A293+3)*12.9898+78.233)*43758.5453),1)</x:f>
        <x:v>0.6817393585915852</x:v>
      </x:c>
      <x:c r="E293" s="131" t="n">
        <x:f>MOD(ABS(SIN((A293+4)*12.9898+78.233)*43758.5453),1)</x:f>
        <x:v>0.3466864918054853</x:v>
      </x:c>
      <x:c r="F293" s="131" t="n">
        <x:f>MOD(ABS(SIN((A293+5)*12.9898+78.233)*43758.5453),1)</x:f>
        <x:v>0.8771315703525033</x:v>
      </x:c>
      <x:c r="G293" s="132" t="n">
        <x:f>IF(B293&lt;(('Assumptions'!$C$47-'Assumptions'!$B$47)/('Assumptions'!$D$47-'Assumptions'!$B$47)),'Assumptions'!$B$47+SQRT(B293*('Assumptions'!$D$47-'Assumptions'!$B$47)*('Assumptions'!$C$47-'Assumptions'!$B$47)),'Assumptions'!$D$47-SQRT((1-B293)*('Assumptions'!$D$47-'Assumptions'!$B$47)*('Assumptions'!$D$47-'Assumptions'!$C$47)))</x:f>
        <x:v>-0.0008636143461179663</x:v>
      </x:c>
      <x:c r="H293" s="132" t="n">
        <x:f>IF(C293&lt;(('Assumptions'!$C$48-'Assumptions'!$B$48)/('Assumptions'!$D$48-'Assumptions'!$B$48)),'Assumptions'!$B$48+SQRT(C293*('Assumptions'!$D$48-'Assumptions'!$B$48)*('Assumptions'!$C$48-'Assumptions'!$B$48)),'Assumptions'!$D$48-SQRT((1-C293)*('Assumptions'!$D$48-'Assumptions'!$B$48)*('Assumptions'!$D$48-'Assumptions'!$C$48)))</x:f>
        <x:v>0.08892079348517269</x:v>
      </x:c>
      <x:c r="I293" s="132" t="n">
        <x:f>IF(D293&lt;(('Assumptions'!$C$49-'Assumptions'!$B$49)/('Assumptions'!$D$49-'Assumptions'!$B$49)),'Assumptions'!$B$49+SQRT(D293*('Assumptions'!$D$49-'Assumptions'!$B$49)*('Assumptions'!$C$49-'Assumptions'!$B$49)),'Assumptions'!$D$49-SQRT((1-D293)*('Assumptions'!$D$49-'Assumptions'!$B$49)*('Assumptions'!$D$49-'Assumptions'!$C$49)))</x:f>
        <x:v>0.06708781841959675</x:v>
      </x:c>
      <x:c r="J293" s="132" t="n">
        <x:f>IF(E293&lt;(('Assumptions'!$C$50-'Assumptions'!$B$50)/('Assumptions'!$D$50-'Assumptions'!$B$50)),'Assumptions'!$B$50+SQRT(E293*('Assumptions'!$D$50-'Assumptions'!$B$50)*('Assumptions'!$C$50-'Assumptions'!$B$50)),'Assumptions'!$D$50-SQRT((1-E293)*('Assumptions'!$D$50-'Assumptions'!$B$50)*('Assumptions'!$D$50-'Assumptions'!$C$50)))</x:f>
        <x:v>0.06633201339764802</x:v>
      </x:c>
      <x:c r="K293" s="132" t="n">
        <x:f>IF(F293&lt;(('Assumptions'!$C$51-'Assumptions'!$B$51)/('Assumptions'!$D$51-'Assumptions'!$B$51)),'Assumptions'!$B$51+SQRT(F293*('Assumptions'!$D$51-'Assumptions'!$B$51)*('Assumptions'!$C$51-'Assumptions'!$B$51)),'Assumptions'!$D$51-SQRT((1-F293)*('Assumptions'!$D$51-'Assumptions'!$B$51)*('Assumptions'!$D$51-'Assumptions'!$C$51)))</x:f>
        <x:v>0.0773103685544847</x:v>
      </x:c>
      <x:c r="L293" s="133" t="n">
        <x:f>(('Assumptions'!$B$17*(1+G293)+'Assumptions'!$B$18)*(1-H293-'Assumptions'!$B$20)-SUM('Assumptions'!$B$21:$B$25)*(1+I293))-(('Assumptions'!$B$17*(1+G293)+'Assumptions'!$B$18)*(1-H293-'Assumptions'!$B$20)*'Assumptions'!$B$26)</x:f>
        <x:v>192261.61662751506</x:v>
      </x:c>
      <x:c r="M293" s="133" t="n">
        <x:f>'Assumptions'!$B$10*'Assumptions'!$B$33</x:f>
        <x:v>1950000</x:v>
      </x:c>
      <x:c r="N293" s="133" t="n">
        <x:f>-PMT(K293/12,'Assumptions'!$B$35*12,M293)*12</x:f>
        <x:v>167333.93184924463</x:v>
      </x:c>
      <x:c r="O293" s="133" t="n">
        <x:f>(L293*(1+'Assumptions'!$B$29)^('Assumptions'!$B$14/12)/J293)*(1-'Assumptions'!$B$42)-'Debt Schedule'!$F$9</x:f>
        <x:v>3158518.2244499116</x:v>
      </x:c>
      <x:c r="P293" s="132" t="n">
        <x:f>((O293+(L293-N293-'Assumptions'!$B$27-'Assumptions'!$B$28)*('Assumptions'!$B$14/12))/ABS('Monthly Cash Flow'!$S$5))^(1/('Assumptions'!$B$14/12))-1</x:f>
        <x:v>0.18953906000534215</x:v>
      </x:c>
      <x:c r="Q293" s="133" t="n">
        <x:f>-ABS('Monthly Cash Flow'!$S$5)+((L293-N293-'Assumptions'!$B$27-'Assumptions'!$B$28)*(1-(1+'Assumptions'!$B$43)^-('Assumptions'!$B$14/12))/'Assumptions'!$B$43)+(O293/(1+'Assumptions'!$B$43)^('Assumptions'!$B$14/12))</x:f>
        <x:v>609555.3817050059</x:v>
      </x:c>
    </x:row>
    <x:row r="294">
      <x:c r="A294" s="131" t="n">
        <x:f>287</x:f>
        <x:v>287</x:v>
      </x:c>
      <x:c r="B294" s="131" t="n">
        <x:f>MOD(ABS(SIN((A294+1)*12.9898+78.233)*43758.5453),1)</x:f>
        <x:v>0.7035130297517753</x:v>
      </x:c>
      <x:c r="C294" s="131" t="n">
        <x:f>MOD(ABS(SIN((A294+2)*12.9898+78.233)*43758.5453),1)</x:f>
        <x:v>0.6817393585915852</x:v>
      </x:c>
      <x:c r="D294" s="131" t="n">
        <x:f>MOD(ABS(SIN((A294+3)*12.9898+78.233)*43758.5453),1)</x:f>
        <x:v>0.3466864918054853</x:v>
      </x:c>
      <x:c r="E294" s="131" t="n">
        <x:f>MOD(ABS(SIN((A294+4)*12.9898+78.233)*43758.5453),1)</x:f>
        <x:v>0.8771315703525033</x:v>
      </x:c>
      <x:c r="F294" s="131" t="n">
        <x:f>MOD(ABS(SIN((A294+5)*12.9898+78.233)*43758.5453),1)</x:f>
        <x:v>0.6013778009510133</x:v>
      </x:c>
      <x:c r="G294" s="132" t="n">
        <x:f>IF(B294&lt;(('Assumptions'!$C$47-'Assumptions'!$B$47)/('Assumptions'!$D$47-'Assumptions'!$B$47)),'Assumptions'!$B$47+SQRT(B294*('Assumptions'!$D$47-'Assumptions'!$B$47)*('Assumptions'!$C$47-'Assumptions'!$B$47)),'Assumptions'!$D$47-SQRT((1-B294)*('Assumptions'!$D$47-'Assumptions'!$B$47)*('Assumptions'!$D$47-'Assumptions'!$C$47)))</x:f>
        <x:v>0.031124811985943773</x:v>
      </x:c>
      <x:c r="H294" s="132" t="n">
        <x:f>IF(C294&lt;(('Assumptions'!$C$48-'Assumptions'!$B$48)/('Assumptions'!$D$48-'Assumptions'!$B$48)),'Assumptions'!$B$48+SQRT(C294*('Assumptions'!$D$48-'Assumptions'!$B$48)*('Assumptions'!$C$48-'Assumptions'!$B$48)),'Assumptions'!$D$48-SQRT((1-C294)*('Assumptions'!$D$48-'Assumptions'!$B$48)*('Assumptions'!$D$48-'Assumptions'!$C$48)))</x:f>
        <x:v>0.08707841986113746</x:v>
      </x:c>
      <x:c r="I294" s="132" t="n">
        <x:f>IF(D294&lt;(('Assumptions'!$C$49-'Assumptions'!$B$49)/('Assumptions'!$D$49-'Assumptions'!$B$49)),'Assumptions'!$B$49+SQRT(D294*('Assumptions'!$D$49-'Assumptions'!$B$49)*('Assumptions'!$C$49-'Assumptions'!$B$49)),'Assumptions'!$D$49-SQRT((1-D294)*('Assumptions'!$D$49-'Assumptions'!$B$49)*('Assumptions'!$D$49-'Assumptions'!$C$49)))</x:f>
        <x:v>0.03120786315163146</x:v>
      </x:c>
      <x:c r="J294" s="132" t="n">
        <x:f>IF(E294&lt;(('Assumptions'!$C$50-'Assumptions'!$B$50)/('Assumptions'!$D$50-'Assumptions'!$B$50)),'Assumptions'!$B$50+SQRT(E294*('Assumptions'!$D$50-'Assumptions'!$B$50)*('Assumptions'!$C$50-'Assumptions'!$B$50)),'Assumptions'!$D$50-SQRT((1-E294)*('Assumptions'!$D$50-'Assumptions'!$B$50)*('Assumptions'!$D$50-'Assumptions'!$C$50)))</x:f>
        <x:v>0.07412150139590402</x:v>
      </x:c>
      <x:c r="K294" s="132" t="n">
        <x:f>IF(F294&lt;(('Assumptions'!$C$51-'Assumptions'!$B$51)/('Assumptions'!$D$51-'Assumptions'!$B$51)),'Assumptions'!$B$51+SQRT(F294*('Assumptions'!$D$51-'Assumptions'!$B$51)*('Assumptions'!$C$51-'Assumptions'!$B$51)),'Assumptions'!$D$51-SQRT((1-F294)*('Assumptions'!$D$51-'Assumptions'!$B$51)*('Assumptions'!$D$51-'Assumptions'!$C$51)))</x:f>
        <x:v>0.07114947895231646</x:v>
      </x:c>
      <x:c r="L294" s="133" t="n">
        <x:f>(('Assumptions'!$B$17*(1+G294)+'Assumptions'!$B$18)*(1-H294-'Assumptions'!$B$20)-SUM('Assumptions'!$B$21:$B$25)*(1+I294))-(('Assumptions'!$B$17*(1+G294)+'Assumptions'!$B$18)*(1-H294-'Assumptions'!$B$20)*'Assumptions'!$B$26)</x:f>
        <x:v>207432.4804271931</x:v>
      </x:c>
      <x:c r="M294" s="133" t="n">
        <x:f>'Assumptions'!$B$10*'Assumptions'!$B$33</x:f>
        <x:v>1950000</x:v>
      </x:c>
      <x:c r="N294" s="133" t="n">
        <x:f>-PMT(K294/12,'Assumptions'!$B$35*12,M294)*12</x:f>
        <x:v>157491.402537696</x:v>
      </x:c>
      <x:c r="O294" s="133" t="n">
        <x:f>(L294*(1+'Assumptions'!$B$29)^('Assumptions'!$B$14/12)/J294)*(1-'Assumptions'!$B$42)-'Debt Schedule'!$F$9</x:f>
        <x:v>3049625.6371819675</x:v>
      </x:c>
      <x:c r="P294" s="132" t="n">
        <x:f>((O294+(L294-N294-'Assumptions'!$B$27-'Assumptions'!$B$28)*('Assumptions'!$B$14/12))/ABS('Monthly Cash Flow'!$S$5))^(1/('Assumptions'!$B$14/12))-1</x:f>
        <x:v>0.19078452430539738</x:v>
      </x:c>
      <x:c r="Q294" s="133" t="n">
        <x:f>-ABS('Monthly Cash Flow'!$S$5)+((L294-N294-'Assumptions'!$B$27-'Assumptions'!$B$28)*(1-(1+'Assumptions'!$B$43)^-('Assumptions'!$B$14/12))/'Assumptions'!$B$43)+(O294/(1+'Assumptions'!$B$43)^('Assumptions'!$B$14/12))</x:f>
        <x:v>636762.0920113104</x:v>
      </x:c>
    </x:row>
    <x:row r="295">
      <x:c r="A295" s="131" t="n">
        <x:f>288</x:f>
        <x:v>288</x:v>
      </x:c>
      <x:c r="B295" s="131" t="n">
        <x:f>MOD(ABS(SIN((A295+1)*12.9898+78.233)*43758.5453),1)</x:f>
        <x:v>0.6817393585915852</x:v>
      </x:c>
      <x:c r="C295" s="131" t="n">
        <x:f>MOD(ABS(SIN((A295+2)*12.9898+78.233)*43758.5453),1)</x:f>
        <x:v>0.3466864918054853</x:v>
      </x:c>
      <x:c r="D295" s="131" t="n">
        <x:f>MOD(ABS(SIN((A295+3)*12.9898+78.233)*43758.5453),1)</x:f>
        <x:v>0.8771315703525033</x:v>
      </x:c>
      <x:c r="E295" s="131" t="n">
        <x:f>MOD(ABS(SIN((A295+4)*12.9898+78.233)*43758.5453),1)</x:f>
        <x:v>0.6013778009510133</x:v>
      </x:c>
      <x:c r="F295" s="131" t="n">
        <x:f>MOD(ABS(SIN((A295+5)*12.9898+78.233)*43758.5453),1)</x:f>
        <x:v>0.22727710902836407</x:v>
      </x:c>
      <x:c r="G295" s="132" t="n">
        <x:f>IF(B295&lt;(('Assumptions'!$C$47-'Assumptions'!$B$47)/('Assumptions'!$D$47-'Assumptions'!$B$47)),'Assumptions'!$B$47+SQRT(B295*('Assumptions'!$D$47-'Assumptions'!$B$47)*('Assumptions'!$C$47-'Assumptions'!$B$47)),'Assumptions'!$D$47-SQRT((1-B295)*('Assumptions'!$D$47-'Assumptions'!$B$47)*('Assumptions'!$D$47-'Assumptions'!$C$47)))</x:f>
        <x:v>0.028640555898082856</x:v>
      </x:c>
      <x:c r="H295" s="132" t="n">
        <x:f>IF(C295&lt;(('Assumptions'!$C$48-'Assumptions'!$B$48)/('Assumptions'!$D$48-'Assumptions'!$B$48)),'Assumptions'!$B$48+SQRT(C295*('Assumptions'!$D$48-'Assumptions'!$B$48)*('Assumptions'!$C$48-'Assumptions'!$B$48)),'Assumptions'!$D$48-SQRT((1-C295)*('Assumptions'!$D$48-'Assumptions'!$B$48)*('Assumptions'!$D$48-'Assumptions'!$C$48)))</x:f>
        <x:v>0.06417679199538093</x:v>
      </x:c>
      <x:c r="I295" s="132" t="n">
        <x:f>IF(D295&lt;(('Assumptions'!$C$49-'Assumptions'!$B$49)/('Assumptions'!$D$49-'Assumptions'!$B$49)),'Assumptions'!$B$49+SQRT(D295*('Assumptions'!$D$49-'Assumptions'!$B$49)*('Assumptions'!$C$49-'Assumptions'!$B$49)),'Assumptions'!$D$49-SQRT((1-D295)*('Assumptions'!$D$49-'Assumptions'!$B$49)*('Assumptions'!$D$49-'Assumptions'!$C$49)))</x:f>
        <x:v>0.09848341936438397</x:v>
      </x:c>
      <x:c r="J295" s="132" t="n">
        <x:f>IF(E295&lt;(('Assumptions'!$C$50-'Assumptions'!$B$50)/('Assumptions'!$D$50-'Assumptions'!$B$50)),'Assumptions'!$B$50+SQRT(E295*('Assumptions'!$D$50-'Assumptions'!$B$50)*('Assumptions'!$C$50-'Assumptions'!$B$50)),'Assumptions'!$D$50-SQRT((1-E295)*('Assumptions'!$D$50-'Assumptions'!$B$50)*('Assumptions'!$D$50-'Assumptions'!$C$50)))</x:f>
        <x:v>0.06941168127215055</x:v>
      </x:c>
      <x:c r="K295" s="132" t="n">
        <x:f>IF(F295&lt;(('Assumptions'!$C$51-'Assumptions'!$B$51)/('Assumptions'!$D$51-'Assumptions'!$B$51)),'Assumptions'!$B$51+SQRT(F295*('Assumptions'!$D$51-'Assumptions'!$B$51)*('Assumptions'!$C$51-'Assumptions'!$B$51)),'Assumptions'!$D$51-SQRT((1-F295)*('Assumptions'!$D$51-'Assumptions'!$B$51)*('Assumptions'!$D$51-'Assumptions'!$C$51)))</x:f>
        <x:v>0.06540577035985742</x:v>
      </x:c>
      <x:c r="L295" s="133" t="n">
        <x:f>(('Assumptions'!$B$17*(1+G295)+'Assumptions'!$B$18)*(1-H295-'Assumptions'!$B$20)-SUM('Assumptions'!$B$21:$B$25)*(1+I295))-(('Assumptions'!$B$17*(1+G295)+'Assumptions'!$B$18)*(1-H295-'Assumptions'!$B$20)*'Assumptions'!$B$26)</x:f>
        <x:v>206717.77604811467</x:v>
      </x:c>
      <x:c r="M295" s="133" t="n">
        <x:f>'Assumptions'!$B$10*'Assumptions'!$B$33</x:f>
        <x:v>1950000</x:v>
      </x:c>
      <x:c r="N295" s="133" t="n">
        <x:f>-PMT(K295/12,'Assumptions'!$B$35*12,M295)*12</x:f>
        <x:v>148528.91023420572</x:v>
      </x:c>
      <x:c r="O295" s="133" t="n">
        <x:f>(L295*(1+'Assumptions'!$B$29)^('Assumptions'!$B$14/12)/J295)*(1-'Assumptions'!$B$42)-'Debt Schedule'!$F$9</x:f>
        <x:v>3245332.7859635293</x:v>
      </x:c>
      <x:c r="P295" s="132" t="n">
        <x:f>((O295+(L295-N295-'Assumptions'!$B$27-'Assumptions'!$B$28)*('Assumptions'!$B$14/12))/ABS('Monthly Cash Flow'!$S$5))^(1/('Assumptions'!$B$14/12))-1</x:f>
        <x:v>0.20845925564663936</x:v>
      </x:c>
      <x:c r="Q295" s="133" t="n">
        <x:f>-ABS('Monthly Cash Flow'!$S$5)+((L295-N295-'Assumptions'!$B$27-'Assumptions'!$B$28)*(1-(1+'Assumptions'!$B$43)^-('Assumptions'!$B$14/12))/'Assumptions'!$B$43)+(O295/(1+'Assumptions'!$B$43)^('Assumptions'!$B$14/12))</x:f>
        <x:v>789546.4391056397</x:v>
      </x:c>
    </x:row>
    <x:row r="296">
      <x:c r="A296" s="131" t="n">
        <x:f>289</x:f>
        <x:v>289</x:v>
      </x:c>
      <x:c r="B296" s="131" t="n">
        <x:f>MOD(ABS(SIN((A296+1)*12.9898+78.233)*43758.5453),1)</x:f>
        <x:v>0.3466864918054853</x:v>
      </x:c>
      <x:c r="C296" s="131" t="n">
        <x:f>MOD(ABS(SIN((A296+2)*12.9898+78.233)*43758.5453),1)</x:f>
        <x:v>0.8771315703525033</x:v>
      </x:c>
      <x:c r="D296" s="131" t="n">
        <x:f>MOD(ABS(SIN((A296+3)*12.9898+78.233)*43758.5453),1)</x:f>
        <x:v>0.6013778009510133</x:v>
      </x:c>
      <x:c r="E296" s="131" t="n">
        <x:f>MOD(ABS(SIN((A296+4)*12.9898+78.233)*43758.5453),1)</x:f>
        <x:v>0.22727710902836407</x:v>
      </x:c>
      <x:c r="F296" s="131" t="n">
        <x:f>MOD(ABS(SIN((A296+5)*12.9898+78.233)*43758.5453),1)</x:f>
        <x:v>0.24204429597739363</x:v>
      </x:c>
      <x:c r="G296" s="132" t="n">
        <x:f>IF(B296&lt;(('Assumptions'!$C$47-'Assumptions'!$B$47)/('Assumptions'!$D$47-'Assumptions'!$B$47)),'Assumptions'!$B$47+SQRT(B296*('Assumptions'!$D$47-'Assumptions'!$B$47)*('Assumptions'!$C$47-'Assumptions'!$B$47)),'Assumptions'!$D$47-SQRT((1-B296)*('Assumptions'!$D$47-'Assumptions'!$B$47)*('Assumptions'!$D$47-'Assumptions'!$C$47)))</x:f>
        <x:v>-0.008783357859809118</x:v>
      </x:c>
      <x:c r="H296" s="132" t="n">
        <x:f>IF(C296&lt;(('Assumptions'!$C$48-'Assumptions'!$B$48)/('Assumptions'!$D$48-'Assumptions'!$B$48)),'Assumptions'!$B$48+SQRT(C296*('Assumptions'!$D$48-'Assumptions'!$B$48)*('Assumptions'!$C$48-'Assumptions'!$B$48)),'Assumptions'!$D$48-SQRT((1-C296)*('Assumptions'!$D$48-'Assumptions'!$B$48)*('Assumptions'!$D$48-'Assumptions'!$C$48)))</x:f>
        <x:v>0.107117752800364</x:v>
      </x:c>
      <x:c r="I296" s="132" t="n">
        <x:f>IF(D296&lt;(('Assumptions'!$C$49-'Assumptions'!$B$49)/('Assumptions'!$D$49-'Assumptions'!$B$49)),'Assumptions'!$B$49+SQRT(D296*('Assumptions'!$D$49-'Assumptions'!$B$49)*('Assumptions'!$C$49-'Assumptions'!$B$49)),'Assumptions'!$D$49-SQRT((1-D296)*('Assumptions'!$D$49-'Assumptions'!$B$49)*('Assumptions'!$D$49-'Assumptions'!$C$49)))</x:f>
        <x:v>0.05720862378723919</x:v>
      </x:c>
      <x:c r="J296" s="132" t="n">
        <x:f>IF(E296&lt;(('Assumptions'!$C$50-'Assumptions'!$B$50)/('Assumptions'!$D$50-'Assumptions'!$B$50)),'Assumptions'!$B$50+SQRT(E296*('Assumptions'!$D$50-'Assumptions'!$B$50)*('Assumptions'!$C$50-'Assumptions'!$B$50)),'Assumptions'!$D$50-SQRT((1-E296)*('Assumptions'!$D$50-'Assumptions'!$B$50)*('Assumptions'!$D$50-'Assumptions'!$C$50)))</x:f>
        <x:v>0.06465103835337092</x:v>
      </x:c>
      <x:c r="K296" s="132" t="n">
        <x:f>IF(F296&lt;(('Assumptions'!$C$51-'Assumptions'!$B$51)/('Assumptions'!$D$51-'Assumptions'!$B$51)),'Assumptions'!$B$51+SQRT(F296*('Assumptions'!$D$51-'Assumptions'!$B$51)*('Assumptions'!$C$51-'Assumptions'!$B$51)),'Assumptions'!$D$51-SQRT((1-F296)*('Assumptions'!$D$51-'Assumptions'!$B$51)*('Assumptions'!$D$51-'Assumptions'!$C$51)))</x:f>
        <x:v>0.06565856491018998</x:v>
      </x:c>
      <x:c r="L296" s="133" t="n">
        <x:f>(('Assumptions'!$B$17*(1+G296)+'Assumptions'!$B$18)*(1-H296-'Assumptions'!$B$20)-SUM('Assumptions'!$B$21:$B$25)*(1+I296))-(('Assumptions'!$B$17*(1+G296)+'Assumptions'!$B$18)*(1-H296-'Assumptions'!$B$20)*'Assumptions'!$B$26)</x:f>
        <x:v>184492.0090639734</x:v>
      </x:c>
      <x:c r="M296" s="133" t="n">
        <x:f>'Assumptions'!$B$10*'Assumptions'!$B$33</x:f>
        <x:v>1950000</x:v>
      </x:c>
      <x:c r="N296" s="133" t="n">
        <x:f>-PMT(K296/12,'Assumptions'!$B$35*12,M296)*12</x:f>
        <x:v>148918.8365897054</x:v>
      </x:c>
      <x:c r="O296" s="133" t="n">
        <x:f>(L296*(1+'Assumptions'!$B$29)^('Assumptions'!$B$14/12)/J296)*(1-'Assumptions'!$B$42)-'Debt Schedule'!$F$9</x:f>
        <x:v>3109682.3803990674</x:v>
      </x:c>
      <x:c r="P296" s="132" t="n">
        <x:f>((O296+(L296-N296-'Assumptions'!$B$27-'Assumptions'!$B$28)*('Assumptions'!$B$14/12))/ABS('Monthly Cash Flow'!$S$5))^(1/('Assumptions'!$B$14/12))-1</x:f>
        <x:v>0.18987773882522974</x:v>
      </x:c>
      <x:c r="Q296" s="133" t="n">
        <x:f>-ABS('Monthly Cash Flow'!$S$5)+((L296-N296-'Assumptions'!$B$27-'Assumptions'!$B$28)*(1-(1+'Assumptions'!$B$43)^-('Assumptions'!$B$14/12))/'Assumptions'!$B$43)+(O296/(1+'Assumptions'!$B$43)^('Assumptions'!$B$14/12))</x:f>
        <x:v>619586.9387161334</x:v>
      </x:c>
    </x:row>
    <x:row r="297">
      <x:c r="A297" s="131" t="n">
        <x:f>290</x:f>
        <x:v>290</x:v>
      </x:c>
      <x:c r="B297" s="131" t="n">
        <x:f>MOD(ABS(SIN((A297+1)*12.9898+78.233)*43758.5453),1)</x:f>
        <x:v>0.8771315703525033</x:v>
      </x:c>
      <x:c r="C297" s="131" t="n">
        <x:f>MOD(ABS(SIN((A297+2)*12.9898+78.233)*43758.5453),1)</x:f>
        <x:v>0.6013778009510133</x:v>
      </x:c>
      <x:c r="D297" s="131" t="n">
        <x:f>MOD(ABS(SIN((A297+3)*12.9898+78.233)*43758.5453),1)</x:f>
        <x:v>0.22727710902836407</x:v>
      </x:c>
      <x:c r="E297" s="131" t="n">
        <x:f>MOD(ABS(SIN((A297+4)*12.9898+78.233)*43758.5453),1)</x:f>
        <x:v>0.24204429597739363</x:v>
      </x:c>
      <x:c r="F297" s="131" t="n">
        <x:f>MOD(ABS(SIN((A297+5)*12.9898+78.233)*43758.5453),1)</x:f>
        <x:v>0.4602019015655969</x:v>
      </x:c>
      <x:c r="G297" s="132" t="n">
        <x:f>IF(B297&lt;(('Assumptions'!$C$47-'Assumptions'!$B$47)/('Assumptions'!$D$47-'Assumptions'!$B$47)),'Assumptions'!$B$47+SQRT(B297*('Assumptions'!$D$47-'Assumptions'!$B$47)*('Assumptions'!$C$47-'Assumptions'!$B$47)),'Assumptions'!$D$47-SQRT((1-B297)*('Assumptions'!$D$47-'Assumptions'!$B$47)*('Assumptions'!$D$47-'Assumptions'!$C$47)))</x:f>
        <x:v>0.05566158692104614</x:v>
      </x:c>
      <x:c r="H297" s="132" t="n">
        <x:f>IF(C297&lt;(('Assumptions'!$C$48-'Assumptions'!$B$48)/('Assumptions'!$D$48-'Assumptions'!$B$48)),'Assumptions'!$B$48+SQRT(C297*('Assumptions'!$D$48-'Assumptions'!$B$48)*('Assumptions'!$C$48-'Assumptions'!$B$48)),'Assumptions'!$D$48-SQRT((1-C297)*('Assumptions'!$D$48-'Assumptions'!$B$48)*('Assumptions'!$D$48-'Assumptions'!$C$48)))</x:f>
        <x:v>0.08077268069859077</x:v>
      </x:c>
      <x:c r="I297" s="132" t="n">
        <x:f>IF(D297&lt;(('Assumptions'!$C$49-'Assumptions'!$B$49)/('Assumptions'!$D$49-'Assumptions'!$B$49)),'Assumptions'!$B$49+SQRT(D297*('Assumptions'!$D$49-'Assumptions'!$B$49)*('Assumptions'!$C$49-'Assumptions'!$B$49)),'Assumptions'!$D$49-SQRT((1-D297)*('Assumptions'!$D$49-'Assumptions'!$B$49)*('Assumptions'!$D$49-'Assumptions'!$C$49)))</x:f>
        <x:v>0.01954384701964848</x:v>
      </x:c>
      <x:c r="J297" s="132" t="n">
        <x:f>IF(E297&lt;(('Assumptions'!$C$50-'Assumptions'!$B$50)/('Assumptions'!$D$50-'Assumptions'!$B$50)),'Assumptions'!$B$50+SQRT(E297*('Assumptions'!$D$50-'Assumptions'!$B$50)*('Assumptions'!$C$50-'Assumptions'!$B$50)),'Assumptions'!$D$50-SQRT((1-E297)*('Assumptions'!$D$50-'Assumptions'!$B$50)*('Assumptions'!$D$50-'Assumptions'!$C$50)))</x:f>
        <x:v>0.06487969962768902</x:v>
      </x:c>
      <x:c r="K297" s="132" t="n">
        <x:f>IF(F297&lt;(('Assumptions'!$C$51-'Assumptions'!$B$51)/('Assumptions'!$D$51-'Assumptions'!$B$51)),'Assumptions'!$B$51+SQRT(F297*('Assumptions'!$D$51-'Assumptions'!$B$51)*('Assumptions'!$C$51-'Assumptions'!$B$51)),'Assumptions'!$D$51-SQRT((1-F297)*('Assumptions'!$D$51-'Assumptions'!$B$51)*('Assumptions'!$D$51-'Assumptions'!$C$51)))</x:f>
        <x:v>0.068882375023858</x:v>
      </x:c>
      <x:c r="L297" s="133" t="n">
        <x:f>(('Assumptions'!$B$17*(1+G297)+'Assumptions'!$B$18)*(1-H297-'Assumptions'!$B$20)-SUM('Assumptions'!$B$21:$B$25)*(1+I297))-(('Assumptions'!$B$17*(1+G297)+'Assumptions'!$B$18)*(1-H297-'Assumptions'!$B$20)*'Assumptions'!$B$26)</x:f>
        <x:v>218968.36756007661</x:v>
      </x:c>
      <x:c r="M297" s="133" t="n">
        <x:f>'Assumptions'!$B$10*'Assumptions'!$B$33</x:f>
        <x:v>1950000</x:v>
      </x:c>
      <x:c r="N297" s="133" t="n">
        <x:f>-PMT(K297/12,'Assumptions'!$B$35*12,M297)*12</x:f>
        <x:v>153928.3738445738</x:v>
      </x:c>
      <x:c r="O297" s="133" t="n">
        <x:f>(L297*(1+'Assumptions'!$B$29)^('Assumptions'!$B$14/12)/J297)*(1-'Assumptions'!$B$42)-'Debt Schedule'!$F$9</x:f>
        <x:v>3677786.6093280166</x:v>
      </x:c>
      <x:c r="P297" s="132" t="n">
        <x:f>((O297+(L297-N297-'Assumptions'!$B$27-'Assumptions'!$B$28)*('Assumptions'!$B$14/12))/ABS('Monthly Cash Flow'!$S$5))^(1/('Assumptions'!$B$14/12))-1</x:f>
        <x:v>0.2405222196970953</x:v>
      </x:c>
      <x:c r="Q297" s="133" t="n">
        <x:f>-ABS('Monthly Cash Flow'!$S$5)+((L297-N297-'Assumptions'!$B$27-'Assumptions'!$B$28)*(1-(1+'Assumptions'!$B$43)^-('Assumptions'!$B$14/12))/'Assumptions'!$B$43)+(O297/(1+'Assumptions'!$B$43)^('Assumptions'!$B$14/12))</x:f>
        <x:v>1084037.4042759943</x:v>
      </x:c>
    </x:row>
    <x:row r="298">
      <x:c r="A298" s="131" t="n">
        <x:f>291</x:f>
        <x:v>291</x:v>
      </x:c>
      <x:c r="B298" s="131" t="n">
        <x:f>MOD(ABS(SIN((A298+1)*12.9898+78.233)*43758.5453),1)</x:f>
        <x:v>0.6013778009510133</x:v>
      </x:c>
      <x:c r="C298" s="131" t="n">
        <x:f>MOD(ABS(SIN((A298+2)*12.9898+78.233)*43758.5453),1)</x:f>
        <x:v>0.22727710902836407</x:v>
      </x:c>
      <x:c r="D298" s="131" t="n">
        <x:f>MOD(ABS(SIN((A298+3)*12.9898+78.233)*43758.5453),1)</x:f>
        <x:v>0.24204429597739363</x:v>
      </x:c>
      <x:c r="E298" s="131" t="n">
        <x:f>MOD(ABS(SIN((A298+4)*12.9898+78.233)*43758.5453),1)</x:f>
        <x:v>0.4602019015655969</x:v>
      </x:c>
      <x:c r="F298" s="131" t="n">
        <x:f>MOD(ABS(SIN((A298+5)*12.9898+78.233)*43758.5453),1)</x:f>
        <x:v>0.5315466077736346</x:v>
      </x:c>
      <x:c r="G298" s="132" t="n">
        <x:f>IF(B298&lt;(('Assumptions'!$C$47-'Assumptions'!$B$47)/('Assumptions'!$D$47-'Assumptions'!$B$47)),'Assumptions'!$B$47+SQRT(B298*('Assumptions'!$D$47-'Assumptions'!$B$47)*('Assumptions'!$C$47-'Assumptions'!$B$47)),'Assumptions'!$D$47-SQRT((1-B298)*('Assumptions'!$D$47-'Assumptions'!$B$47)*('Assumptions'!$D$47-'Assumptions'!$C$47)))</x:f>
        <x:v>0.02013789894584675</x:v>
      </x:c>
      <x:c r="H298" s="132" t="n">
        <x:f>IF(C298&lt;(('Assumptions'!$C$48-'Assumptions'!$B$48)/('Assumptions'!$D$48-'Assumptions'!$B$48)),'Assumptions'!$B$48+SQRT(C298*('Assumptions'!$D$48-'Assumptions'!$B$48)*('Assumptions'!$C$48-'Assumptions'!$B$48)),'Assumptions'!$D$48-SQRT((1-C298)*('Assumptions'!$D$48-'Assumptions'!$B$48)*('Assumptions'!$D$48-'Assumptions'!$C$48)))</x:f>
        <x:v>0.057386391872490276</x:v>
      </x:c>
      <x:c r="I298" s="132" t="n">
        <x:f>IF(D298&lt;(('Assumptions'!$C$49-'Assumptions'!$B$49)/('Assumptions'!$D$49-'Assumptions'!$B$49)),'Assumptions'!$B$49+SQRT(D298*('Assumptions'!$D$49-'Assumptions'!$B$49)*('Assumptions'!$C$49-'Assumptions'!$B$49)),'Assumptions'!$D$49-SQRT((1-D298)*('Assumptions'!$D$49-'Assumptions'!$B$49)*('Assumptions'!$D$49-'Assumptions'!$C$49)))</x:f>
        <x:v>0.021128058799018086</x:v>
      </x:c>
      <x:c r="J298" s="132" t="n">
        <x:f>IF(E298&lt;(('Assumptions'!$C$50-'Assumptions'!$B$50)/('Assumptions'!$D$50-'Assumptions'!$B$50)),'Assumptions'!$B$50+SQRT(E298*('Assumptions'!$D$50-'Assumptions'!$B$50)*('Assumptions'!$C$50-'Assumptions'!$B$50)),'Assumptions'!$D$50-SQRT((1-E298)*('Assumptions'!$D$50-'Assumptions'!$B$50)*('Assumptions'!$D$50-'Assumptions'!$C$50)))</x:f>
        <x:v>0.06767854654739645</x:v>
      </x:c>
      <x:c r="K298" s="132" t="n">
        <x:f>IF(F298&lt;(('Assumptions'!$C$51-'Assumptions'!$B$51)/('Assumptions'!$D$51-'Assumptions'!$B$51)),'Assumptions'!$B$51+SQRT(F298*('Assumptions'!$D$51-'Assumptions'!$B$51)*('Assumptions'!$C$51-'Assumptions'!$B$51)),'Assumptions'!$D$51-SQRT((1-F298)*('Assumptions'!$D$51-'Assumptions'!$B$51)*('Assumptions'!$D$51-'Assumptions'!$C$51)))</x:f>
        <x:v>0.0699852341007614</x:v>
      </x:c>
      <x:c r="L298" s="133" t="n">
        <x:f>(('Assumptions'!$B$17*(1+G298)+'Assumptions'!$B$18)*(1-H298-'Assumptions'!$B$20)-SUM('Assumptions'!$B$21:$B$25)*(1+I298))-(('Assumptions'!$B$17*(1+G298)+'Assumptions'!$B$18)*(1-H298-'Assumptions'!$B$20)*'Assumptions'!$B$26)</x:f>
        <x:v>216255.36235140974</x:v>
      </x:c>
      <x:c r="M298" s="133" t="n">
        <x:f>'Assumptions'!$B$10*'Assumptions'!$B$33</x:f>
        <x:v>1950000</x:v>
      </x:c>
      <x:c r="N298" s="133" t="n">
        <x:f>-PMT(K298/12,'Assumptions'!$B$35*12,M298)*12</x:f>
        <x:v>155657.57941961123</x:v>
      </x:c>
      <x:c r="O298" s="133" t="n">
        <x:f>(L298*(1+'Assumptions'!$B$29)^('Assumptions'!$B$14/12)/J298)*(1-'Assumptions'!$B$42)-'Debt Schedule'!$F$9</x:f>
        <x:v>3482008.5968773905</x:v>
      </x:c>
      <x:c r="P298" s="132" t="n">
        <x:f>((O298+(L298-N298-'Assumptions'!$B$27-'Assumptions'!$B$28)*('Assumptions'!$B$14/12))/ABS('Monthly Cash Flow'!$S$5))^(1/('Assumptions'!$B$14/12))-1</x:f>
        <x:v>0.22596299304719003</x:v>
      </x:c>
      <x:c r="Q298" s="133" t="n">
        <x:f>-ABS('Monthly Cash Flow'!$S$5)+((L298-N298-'Assumptions'!$B$27-'Assumptions'!$B$28)*(1-(1+'Assumptions'!$B$43)^-('Assumptions'!$B$14/12))/'Assumptions'!$B$43)+(O298/(1+'Assumptions'!$B$43)^('Assumptions'!$B$14/12))</x:f>
        <x:v>945635.1878934703</x:v>
      </x:c>
    </x:row>
    <x:row r="299">
      <x:c r="A299" s="131" t="n">
        <x:f>292</x:f>
        <x:v>292</x:v>
      </x:c>
      <x:c r="B299" s="131" t="n">
        <x:f>MOD(ABS(SIN((A299+1)*12.9898+78.233)*43758.5453),1)</x:f>
        <x:v>0.22727710902836407</x:v>
      </x:c>
      <x:c r="C299" s="131" t="n">
        <x:f>MOD(ABS(SIN((A299+2)*12.9898+78.233)*43758.5453),1)</x:f>
        <x:v>0.24204429597739363</x:v>
      </x:c>
      <x:c r="D299" s="131" t="n">
        <x:f>MOD(ABS(SIN((A299+3)*12.9898+78.233)*43758.5453),1)</x:f>
        <x:v>0.4602019015655969</x:v>
      </x:c>
      <x:c r="E299" s="131" t="n">
        <x:f>MOD(ABS(SIN((A299+4)*12.9898+78.233)*43758.5453),1)</x:f>
        <x:v>0.5315466077736346</x:v>
      </x:c>
      <x:c r="F299" s="131" t="n">
        <x:f>MOD(ABS(SIN((A299+5)*12.9898+78.233)*43758.5453),1)</x:f>
        <x:v>0.26197139448959206</x:v>
      </x:c>
      <x:c r="G299" s="132" t="n">
        <x:f>IF(B299&lt;(('Assumptions'!$C$47-'Assumptions'!$B$47)/('Assumptions'!$D$47-'Assumptions'!$B$47)),'Assumptions'!$B$47+SQRT(B299*('Assumptions'!$D$47-'Assumptions'!$B$47)*('Assumptions'!$C$47-'Assumptions'!$B$47)),'Assumptions'!$D$47-SQRT((1-B299)*('Assumptions'!$D$47-'Assumptions'!$B$47)*('Assumptions'!$D$47-'Assumptions'!$C$47)))</x:f>
        <x:v>-0.026144393464810414</x:v>
      </x:c>
      <x:c r="H299" s="132" t="n">
        <x:f>IF(C299&lt;(('Assumptions'!$C$48-'Assumptions'!$B$48)/('Assumptions'!$D$48-'Assumptions'!$B$48)),'Assumptions'!$B$48+SQRT(C299*('Assumptions'!$D$48-'Assumptions'!$B$48)*('Assumptions'!$C$48-'Assumptions'!$B$48)),'Assumptions'!$D$48-SQRT((1-C299)*('Assumptions'!$D$48-'Assumptions'!$B$48)*('Assumptions'!$D$48-'Assumptions'!$C$48)))</x:f>
        <x:v>0.05826209788259532</x:v>
      </x:c>
      <x:c r="I299" s="132" t="n">
        <x:f>IF(D299&lt;(('Assumptions'!$C$49-'Assumptions'!$B$49)/('Assumptions'!$D$49-'Assumptions'!$B$49)),'Assumptions'!$B$49+SQRT(D299*('Assumptions'!$D$49-'Assumptions'!$B$49)*('Assumptions'!$C$49-'Assumptions'!$B$49)),'Assumptions'!$D$49-SQRT((1-D299)*('Assumptions'!$D$49-'Assumptions'!$B$49)*('Assumptions'!$D$49-'Assumptions'!$C$49)))</x:f>
        <x:v>0.04202019204414602</x:v>
      </x:c>
      <x:c r="J299" s="132" t="n">
        <x:f>IF(E299&lt;(('Assumptions'!$C$50-'Assumptions'!$B$50)/('Assumptions'!$D$50-'Assumptions'!$B$50)),'Assumptions'!$B$50+SQRT(E299*('Assumptions'!$D$50-'Assumptions'!$B$50)*('Assumptions'!$C$50-'Assumptions'!$B$50)),'Assumptions'!$D$50-SQRT((1-E299)*('Assumptions'!$D$50-'Assumptions'!$B$50)*('Assumptions'!$D$50-'Assumptions'!$C$50)))</x:f>
        <x:v>0.06852165009403942</x:v>
      </x:c>
      <x:c r="K299" s="132" t="n">
        <x:f>IF(F299&lt;(('Assumptions'!$C$51-'Assumptions'!$B$51)/('Assumptions'!$D$51-'Assumptions'!$B$51)),'Assumptions'!$B$51+SQRT(F299*('Assumptions'!$D$51-'Assumptions'!$B$51)*('Assumptions'!$C$51-'Assumptions'!$B$51)),'Assumptions'!$D$51-SQRT((1-F299)*('Assumptions'!$D$51-'Assumptions'!$B$51)*('Assumptions'!$D$51-'Assumptions'!$C$51)))</x:f>
        <x:v>0.06598776375051979</x:v>
      </x:c>
      <x:c r="L299" s="133" t="n">
        <x:f>(('Assumptions'!$B$17*(1+G299)+'Assumptions'!$B$18)*(1-H299-'Assumptions'!$B$20)-SUM('Assumptions'!$B$21:$B$25)*(1+I299))-(('Assumptions'!$B$17*(1+G299)+'Assumptions'!$B$18)*(1-H299-'Assumptions'!$B$20)*'Assumptions'!$B$26)</x:f>
        <x:v>198395.78568934306</x:v>
      </x:c>
      <x:c r="M299" s="133" t="n">
        <x:f>'Assumptions'!$B$10*'Assumptions'!$B$33</x:f>
        <x:v>1950000</x:v>
      </x:c>
      <x:c r="N299" s="133" t="n">
        <x:f>-PMT(K299/12,'Assumptions'!$B$35*12,M299)*12</x:f>
        <x:v>149427.25184928015</x:v>
      </x:c>
      <x:c r="O299" s="133" t="n">
        <x:f>(L299*(1+'Assumptions'!$B$29)^('Assumptions'!$B$14/12)/J299)*(1-'Assumptions'!$B$42)-'Debt Schedule'!$F$9</x:f>
        <x:v>3155139.7996884896</x:v>
      </x:c>
      <x:c r="P299" s="132" t="n">
        <x:f>((O299+(L299-N299-'Assumptions'!$B$27-'Assumptions'!$B$28)*('Assumptions'!$B$14/12))/ABS('Monthly Cash Flow'!$S$5))^(1/('Assumptions'!$B$14/12))-1</x:f>
        <x:v>0.19842016737335788</x:v>
      </x:c>
      <x:c r="Q299" s="133" t="n">
        <x:f>-ABS('Monthly Cash Flow'!$S$5)+((L299-N299-'Assumptions'!$B$27-'Assumptions'!$B$28)*(1-(1+'Assumptions'!$B$43)^-('Assumptions'!$B$14/12))/'Assumptions'!$B$43)+(O299/(1+'Assumptions'!$B$43)^('Assumptions'!$B$14/12))</x:f>
        <x:v>698591.3782810767</x:v>
      </x:c>
    </x:row>
    <x:row r="300">
      <x:c r="A300" s="131" t="n">
        <x:f>293</x:f>
        <x:v>293</x:v>
      </x:c>
      <x:c r="B300" s="131" t="n">
        <x:f>MOD(ABS(SIN((A300+1)*12.9898+78.233)*43758.5453),1)</x:f>
        <x:v>0.24204429597739363</x:v>
      </x:c>
      <x:c r="C300" s="131" t="n">
        <x:f>MOD(ABS(SIN((A300+2)*12.9898+78.233)*43758.5453),1)</x:f>
        <x:v>0.4602019015655969</x:v>
      </x:c>
      <x:c r="D300" s="131" t="n">
        <x:f>MOD(ABS(SIN((A300+3)*12.9898+78.233)*43758.5453),1)</x:f>
        <x:v>0.5315466077736346</x:v>
      </x:c>
      <x:c r="E300" s="131" t="n">
        <x:f>MOD(ABS(SIN((A300+4)*12.9898+78.233)*43758.5453),1)</x:f>
        <x:v>0.26197139448959206</x:v>
      </x:c>
      <x:c r="F300" s="131" t="n">
        <x:f>MOD(ABS(SIN((A300+5)*12.9898+78.233)*43758.5453),1)</x:f>
        <x:v>0.28249356083870225</x:v>
      </x:c>
      <x:c r="G300" s="132" t="n">
        <x:f>IF(B300&lt;(('Assumptions'!$C$47-'Assumptions'!$B$47)/('Assumptions'!$D$47-'Assumptions'!$B$47)),'Assumptions'!$B$47+SQRT(B300*('Assumptions'!$D$47-'Assumptions'!$B$47)*('Assumptions'!$C$47-'Assumptions'!$B$47)),'Assumptions'!$D$47-SQRT((1-B300)*('Assumptions'!$D$47-'Assumptions'!$B$47)*('Assumptions'!$D$47-'Assumptions'!$C$47)))</x:f>
        <x:v>-0.02378278997852619</x:v>
      </x:c>
      <x:c r="H300" s="132" t="n">
        <x:f>IF(C300&lt;(('Assumptions'!$C$48-'Assumptions'!$B$48)/('Assumptions'!$D$48-'Assumptions'!$B$48)),'Assumptions'!$B$48+SQRT(C300*('Assumptions'!$D$48-'Assumptions'!$B$48)*('Assumptions'!$C$48-'Assumptions'!$B$48)),'Assumptions'!$D$48-SQRT((1-C300)*('Assumptions'!$D$48-'Assumptions'!$B$48)*('Assumptions'!$D$48-'Assumptions'!$C$48)))</x:f>
        <x:v>0.07107813651516126</x:v>
      </x:c>
      <x:c r="I300" s="132" t="n">
        <x:f>IF(D300&lt;(('Assumptions'!$C$49-'Assumptions'!$B$49)/('Assumptions'!$D$49-'Assumptions'!$B$49)),'Assumptions'!$B$49+SQRT(D300*('Assumptions'!$D$49-'Assumptions'!$B$49)*('Assumptions'!$C$49-'Assumptions'!$B$49)),'Assumptions'!$D$49-SQRT((1-D300)*('Assumptions'!$D$49-'Assumptions'!$B$49)*('Assumptions'!$D$49-'Assumptions'!$C$49)))</x:f>
        <x:v>0.0494087813370894</x:v>
      </x:c>
      <x:c r="J300" s="132" t="n">
        <x:f>IF(E300&lt;(('Assumptions'!$C$50-'Assumptions'!$B$50)/('Assumptions'!$D$50-'Assumptions'!$B$50)),'Assumptions'!$B$50+SQRT(E300*('Assumptions'!$D$50-'Assumptions'!$B$50)*('Assumptions'!$C$50-'Assumptions'!$B$50)),'Assumptions'!$D$50-SQRT((1-E300)*('Assumptions'!$D$50-'Assumptions'!$B$50)*('Assumptions'!$D$50-'Assumptions'!$C$50)))</x:f>
        <x:v>0.06517747118263288</x:v>
      </x:c>
      <x:c r="K300" s="132" t="n">
        <x:f>IF(F300&lt;(('Assumptions'!$C$51-'Assumptions'!$B$51)/('Assumptions'!$D$51-'Assumptions'!$B$51)),'Assumptions'!$B$51+SQRT(F300*('Assumptions'!$D$51-'Assumptions'!$B$51)*('Assumptions'!$C$51-'Assumptions'!$B$51)),'Assumptions'!$D$51-SQRT((1-F300)*('Assumptions'!$D$51-'Assumptions'!$B$51)*('Assumptions'!$D$51-'Assumptions'!$C$51)))</x:f>
        <x:v>0.066313950829829</x:v>
      </x:c>
      <x:c r="L300" s="133" t="n">
        <x:f>(('Assumptions'!$B$17*(1+G300)+'Assumptions'!$B$18)*(1-H300-'Assumptions'!$B$20)-SUM('Assumptions'!$B$21:$B$25)*(1+I300))-(('Assumptions'!$B$17*(1+G300)+'Assumptions'!$B$18)*(1-H300-'Assumptions'!$B$20)*'Assumptions'!$B$26)</x:f>
        <x:v>193679.9352958456</x:v>
      </x:c>
      <x:c r="M300" s="133" t="n">
        <x:f>'Assumptions'!$B$10*'Assumptions'!$B$33</x:f>
        <x:v>1950000</x:v>
      </x:c>
      <x:c r="N300" s="133" t="n">
        <x:f>-PMT(K300/12,'Assumptions'!$B$35*12,M300)*12</x:f>
        <x:v>149931.72532491758</x:v>
      </x:c>
      <x:c r="O300" s="133" t="n">
        <x:f>(L300*(1+'Assumptions'!$B$29)^('Assumptions'!$B$14/12)/J300)*(1-'Assumptions'!$B$42)-'Debt Schedule'!$F$9</x:f>
        <x:v>3238180.8653966105</x:v>
      </x:c>
      <x:c r="P300" s="132" t="n">
        <x:f>((O300+(L300-N300-'Assumptions'!$B$27-'Assumptions'!$B$28)*('Assumptions'!$B$14/12))/ABS('Monthly Cash Flow'!$S$5))^(1/('Assumptions'!$B$14/12))-1</x:f>
        <x:v>0.2026549921244929</x:v>
      </x:c>
      <x:c r="Q300" s="133" t="n">
        <x:f>-ABS('Monthly Cash Flow'!$S$5)+((L300-N300-'Assumptions'!$B$27-'Assumptions'!$B$28)*(1-(1+'Assumptions'!$B$43)^-('Assumptions'!$B$14/12))/'Assumptions'!$B$43)+(O300/(1+'Assumptions'!$B$43)^('Assumptions'!$B$14/12))</x:f>
        <x:v>730364.2120136614</x:v>
      </x:c>
    </x:row>
    <x:row r="301">
      <x:c r="A301" s="131" t="n">
        <x:f>294</x:f>
        <x:v>294</x:v>
      </x:c>
      <x:c r="B301" s="131" t="n">
        <x:f>MOD(ABS(SIN((A301+1)*12.9898+78.233)*43758.5453),1)</x:f>
        <x:v>0.4602019015655969</x:v>
      </x:c>
      <x:c r="C301" s="131" t="n">
        <x:f>MOD(ABS(SIN((A301+2)*12.9898+78.233)*43758.5453),1)</x:f>
        <x:v>0.5315466077736346</x:v>
      </x:c>
      <x:c r="D301" s="131" t="n">
        <x:f>MOD(ABS(SIN((A301+3)*12.9898+78.233)*43758.5453),1)</x:f>
        <x:v>0.26197139448959206</x:v>
      </x:c>
      <x:c r="E301" s="131" t="n">
        <x:f>MOD(ABS(SIN((A301+4)*12.9898+78.233)*43758.5453),1)</x:f>
        <x:v>0.28249356083870225</x:v>
      </x:c>
      <x:c r="F301" s="131" t="n">
        <x:f>MOD(ABS(SIN((A301+5)*12.9898+78.233)*43758.5453),1)</x:f>
        <x:v>0.7875540672212082</x:v>
      </x:c>
      <x:c r="G301" s="132" t="n">
        <x:f>IF(B301&lt;(('Assumptions'!$C$47-'Assumptions'!$B$47)/('Assumptions'!$D$47-'Assumptions'!$B$47)),'Assumptions'!$B$47+SQRT(B301*('Assumptions'!$D$47-'Assumptions'!$B$47)*('Assumptions'!$C$47-'Assumptions'!$B$47)),'Assumptions'!$D$47-SQRT((1-B301)*('Assumptions'!$D$47-'Assumptions'!$B$47)*('Assumptions'!$D$47-'Assumptions'!$C$47)))</x:f>
        <x:v>0.005094460546568896</x:v>
      </x:c>
      <x:c r="H301" s="132" t="n">
        <x:f>IF(C301&lt;(('Assumptions'!$C$48-'Assumptions'!$B$48)/('Assumptions'!$D$48-'Assumptions'!$B$48)),'Assumptions'!$B$48+SQRT(C301*('Assumptions'!$D$48-'Assumptions'!$B$48)*('Assumptions'!$C$48-'Assumptions'!$B$48)),'Assumptions'!$D$48-SQRT((1-C301)*('Assumptions'!$D$48-'Assumptions'!$B$48)*('Assumptions'!$D$48-'Assumptions'!$C$48)))</x:f>
        <x:v>0.07579416029992275</x:v>
      </x:c>
      <x:c r="I301" s="132" t="n">
        <x:f>IF(D301&lt;(('Assumptions'!$C$49-'Assumptions'!$B$49)/('Assumptions'!$D$49-'Assumptions'!$B$49)),'Assumptions'!$B$49+SQRT(D301*('Assumptions'!$D$49-'Assumptions'!$B$49)*('Assumptions'!$C$49-'Assumptions'!$B$49)),'Assumptions'!$D$49-SQRT((1-D301)*('Assumptions'!$D$49-'Assumptions'!$B$49)*('Assumptions'!$D$49-'Assumptions'!$C$49)))</x:f>
        <x:v>0.02319108064786421</x:v>
      </x:c>
      <x:c r="J301" s="132" t="n">
        <x:f>IF(E301&lt;(('Assumptions'!$C$50-'Assumptions'!$B$50)/('Assumptions'!$D$50-'Assumptions'!$B$50)),'Assumptions'!$B$50+SQRT(E301*('Assumptions'!$D$50-'Assumptions'!$B$50)*('Assumptions'!$C$50-'Assumptions'!$B$50)),'Assumptions'!$D$50-SQRT((1-E301)*('Assumptions'!$D$50-'Assumptions'!$B$50)*('Assumptions'!$D$50-'Assumptions'!$C$50)))</x:f>
        <x:v>0.06547251849723211</x:v>
      </x:c>
      <x:c r="K301" s="132" t="n">
        <x:f>IF(F301&lt;(('Assumptions'!$C$51-'Assumptions'!$B$51)/('Assumptions'!$D$51-'Assumptions'!$B$51)),'Assumptions'!$B$51+SQRT(F301*('Assumptions'!$D$51-'Assumptions'!$B$51)*('Assumptions'!$C$51-'Assumptions'!$B$51)),'Assumptions'!$D$51-SQRT((1-F301)*('Assumptions'!$D$51-'Assumptions'!$B$51)*('Assumptions'!$D$51-'Assumptions'!$C$51)))</x:f>
        <x:v>0.07488863979724818</x:v>
      </x:c>
      <x:c r="L301" s="133" t="n">
        <x:f>(('Assumptions'!$B$17*(1+G301)+'Assumptions'!$B$18)*(1-H301-'Assumptions'!$B$20)-SUM('Assumptions'!$B$21:$B$25)*(1+I301))-(('Assumptions'!$B$17*(1+G301)+'Assumptions'!$B$18)*(1-H301-'Assumptions'!$B$20)*'Assumptions'!$B$26)</x:f>
        <x:v>204434.53140580142</x:v>
      </x:c>
      <x:c r="M301" s="133" t="n">
        <x:f>'Assumptions'!$B$10*'Assumptions'!$B$33</x:f>
        <x:v>1950000</x:v>
      </x:c>
      <x:c r="N301" s="133" t="n">
        <x:f>-PMT(K301/12,'Assumptions'!$B$35*12,M301)*12</x:f>
        <x:v>163437.7973603364</x:v>
      </x:c>
      <x:c r="O301" s="133" t="n">
        <x:f>(L301*(1+'Assumptions'!$B$29)^('Assumptions'!$B$14/12)/J301)*(1-'Assumptions'!$B$42)-'Debt Schedule'!$F$9</x:f>
        <x:v>3402586.5834198487</x:v>
      </x:c>
      <x:c r="P301" s="132" t="n">
        <x:f>((O301+(L301-N301-'Assumptions'!$B$27-'Assumptions'!$B$28)*('Assumptions'!$B$14/12))/ABS('Monthly Cash Flow'!$S$5))^(1/('Assumptions'!$B$14/12))-1</x:f>
        <x:v>0.21358039718421407</x:v>
      </x:c>
      <x:c r="Q301" s="133" t="n">
        <x:f>-ABS('Monthly Cash Flow'!$S$5)+((L301-N301-'Assumptions'!$B$27-'Assumptions'!$B$28)*(1-(1+'Assumptions'!$B$43)^-('Assumptions'!$B$14/12))/'Assumptions'!$B$43)+(O301/(1+'Assumptions'!$B$43)^('Assumptions'!$B$14/12))</x:f>
        <x:v>822016.9694325498</x:v>
      </x:c>
    </x:row>
    <x:row r="302">
      <x:c r="A302" s="131" t="n">
        <x:f>295</x:f>
        <x:v>295</x:v>
      </x:c>
      <x:c r="B302" s="131" t="n">
        <x:f>MOD(ABS(SIN((A302+1)*12.9898+78.233)*43758.5453),1)</x:f>
        <x:v>0.5315466077736346</x:v>
      </x:c>
      <x:c r="C302" s="131" t="n">
        <x:f>MOD(ABS(SIN((A302+2)*12.9898+78.233)*43758.5453),1)</x:f>
        <x:v>0.26197139448959206</x:v>
      </x:c>
      <x:c r="D302" s="131" t="n">
        <x:f>MOD(ABS(SIN((A302+3)*12.9898+78.233)*43758.5453),1)</x:f>
        <x:v>0.28249356083870225</x:v>
      </x:c>
      <x:c r="E302" s="131" t="n">
        <x:f>MOD(ABS(SIN((A302+4)*12.9898+78.233)*43758.5453),1)</x:f>
        <x:v>0.7875540672212082</x:v>
      </x:c>
      <x:c r="F302" s="131" t="n">
        <x:f>MOD(ABS(SIN((A302+5)*12.9898+78.233)*43758.5453),1)</x:f>
        <x:v>0.43906791465269635</x:v>
      </x:c>
      <x:c r="G302" s="132" t="n">
        <x:f>IF(B302&lt;(('Assumptions'!$C$47-'Assumptions'!$B$47)/('Assumptions'!$D$47-'Assumptions'!$B$47)),'Assumptions'!$B$47+SQRT(B302*('Assumptions'!$D$47-'Assumptions'!$B$47)*('Assumptions'!$C$47-'Assumptions'!$B$47)),'Assumptions'!$D$47-SQRT((1-B302)*('Assumptions'!$D$47-'Assumptions'!$B$47)*('Assumptions'!$D$47-'Assumptions'!$C$47)))</x:f>
        <x:v>0.012947415138936366</x:v>
      </x:c>
      <x:c r="H302" s="132" t="n">
        <x:f>IF(C302&lt;(('Assumptions'!$C$48-'Assumptions'!$B$48)/('Assumptions'!$D$48-'Assumptions'!$B$48)),'Assumptions'!$B$48+SQRT(C302*('Assumptions'!$D$48-'Assumptions'!$B$48)*('Assumptions'!$C$48-'Assumptions'!$B$48)),'Assumptions'!$D$48-SQRT((1-C302)*('Assumptions'!$D$48-'Assumptions'!$B$48)*('Assumptions'!$D$48-'Assumptions'!$C$48)))</x:f>
        <x:v>0.0594024761170833</x:v>
      </x:c>
      <x:c r="I302" s="132" t="n">
        <x:f>IF(D302&lt;(('Assumptions'!$C$49-'Assumptions'!$B$49)/('Assumptions'!$D$49-'Assumptions'!$B$49)),'Assumptions'!$B$49+SQRT(D302*('Assumptions'!$D$49-'Assumptions'!$B$49)*('Assumptions'!$C$49-'Assumptions'!$B$49)),'Assumptions'!$D$49-SQRT((1-D302)*('Assumptions'!$D$49-'Assumptions'!$B$49)*('Assumptions'!$D$49-'Assumptions'!$C$49)))</x:f>
        <x:v>0.025235228405954692</x:v>
      </x:c>
      <x:c r="J302" s="132" t="n">
        <x:f>IF(E302&lt;(('Assumptions'!$C$50-'Assumptions'!$B$50)/('Assumptions'!$D$50-'Assumptions'!$B$50)),'Assumptions'!$B$50+SQRT(E302*('Assumptions'!$D$50-'Assumptions'!$B$50)*('Assumptions'!$C$50-'Assumptions'!$B$50)),'Assumptions'!$D$50-SQRT((1-E302)*('Assumptions'!$D$50-'Assumptions'!$B$50)*('Assumptions'!$D$50-'Assumptions'!$C$50)))</x:f>
        <x:v>0.07227016050658003</x:v>
      </x:c>
      <x:c r="K302" s="132" t="n">
        <x:f>IF(F302&lt;(('Assumptions'!$C$51-'Assumptions'!$B$51)/('Assumptions'!$D$51-'Assumptions'!$B$51)),'Assumptions'!$B$51+SQRT(F302*('Assumptions'!$D$51-'Assumptions'!$B$51)*('Assumptions'!$C$51-'Assumptions'!$B$51)),'Assumptions'!$D$51-SQRT((1-F302)*('Assumptions'!$D$51-'Assumptions'!$B$51)*('Assumptions'!$D$51-'Assumptions'!$C$51)))</x:f>
        <x:v>0.06856988843393358</x:v>
      </x:c>
      <x:c r="L302" s="133" t="n">
        <x:f>(('Assumptions'!$B$17*(1+G302)+'Assumptions'!$B$18)*(1-H302-'Assumptions'!$B$20)-SUM('Assumptions'!$B$21:$B$25)*(1+I302))-(('Assumptions'!$B$17*(1+G302)+'Assumptions'!$B$18)*(1-H302-'Assumptions'!$B$20)*'Assumptions'!$B$26)</x:f>
        <x:v>212679.66718876146</x:v>
      </x:c>
      <x:c r="M302" s="133" t="n">
        <x:f>'Assumptions'!$B$10*'Assumptions'!$B$33</x:f>
        <x:v>1950000</x:v>
      </x:c>
      <x:c r="N302" s="133" t="n">
        <x:f>-PMT(K302/12,'Assumptions'!$B$35*12,M302)*12</x:f>
        <x:v>153439.83322262703</x:v>
      </x:c>
      <x:c r="O302" s="133" t="n">
        <x:f>(L302*(1+'Assumptions'!$B$29)^('Assumptions'!$B$14/12)/J302)*(1-'Assumptions'!$B$42)-'Debt Schedule'!$F$9</x:f>
        <x:v>3206866.8620629567</x:v>
      </x:c>
      <x:c r="P302" s="132" t="n">
        <x:f>((O302+(L302-N302-'Assumptions'!$B$27-'Assumptions'!$B$28)*('Assumptions'!$B$14/12))/ABS('Monthly Cash Flow'!$S$5))^(1/('Assumptions'!$B$14/12))-1</x:f>
        <x:v>0.20604368837407638</x:v>
      </x:c>
      <x:c r="Q302" s="133" t="n">
        <x:f>-ABS('Monthly Cash Flow'!$S$5)+((L302-N302-'Assumptions'!$B$27-'Assumptions'!$B$28)*(1-(1+'Assumptions'!$B$43)^-('Assumptions'!$B$14/12))/'Assumptions'!$B$43)+(O302/(1+'Assumptions'!$B$43)^('Assumptions'!$B$14/12))</x:f>
        <x:v>769646.1229111294</x:v>
      </x:c>
    </x:row>
    <x:row r="303">
      <x:c r="A303" s="131" t="n">
        <x:f>296</x:f>
        <x:v>296</x:v>
      </x:c>
      <x:c r="B303" s="131" t="n">
        <x:f>MOD(ABS(SIN((A303+1)*12.9898+78.233)*43758.5453),1)</x:f>
        <x:v>0.26197139448959206</x:v>
      </x:c>
      <x:c r="C303" s="131" t="n">
        <x:f>MOD(ABS(SIN((A303+2)*12.9898+78.233)*43758.5453),1)</x:f>
        <x:v>0.28249356083870225</x:v>
      </x:c>
      <x:c r="D303" s="131" t="n">
        <x:f>MOD(ABS(SIN((A303+3)*12.9898+78.233)*43758.5453),1)</x:f>
        <x:v>0.7875540672212082</x:v>
      </x:c>
      <x:c r="E303" s="131" t="n">
        <x:f>MOD(ABS(SIN((A303+4)*12.9898+78.233)*43758.5453),1)</x:f>
        <x:v>0.43906791465269635</x:v>
      </x:c>
      <x:c r="F303" s="131" t="n">
        <x:f>MOD(ABS(SIN((A303+5)*12.9898+78.233)*43758.5453),1)</x:f>
        <x:v>0.06705682533356594</x:v>
      </x:c>
      <x:c r="G303" s="132" t="n">
        <x:f>IF(B303&lt;(('Assumptions'!$C$47-'Assumptions'!$B$47)/('Assumptions'!$D$47-'Assumptions'!$B$47)),'Assumptions'!$B$47+SQRT(B303*('Assumptions'!$D$47-'Assumptions'!$B$47)*('Assumptions'!$C$47-'Assumptions'!$B$47)),'Assumptions'!$D$47-SQRT((1-B303)*('Assumptions'!$D$47-'Assumptions'!$B$47)*('Assumptions'!$D$47-'Assumptions'!$C$47)))</x:f>
        <x:v>-0.020707418583134712</x:v>
      </x:c>
      <x:c r="H303" s="132" t="n">
        <x:f>IF(C303&lt;(('Assumptions'!$C$48-'Assumptions'!$B$48)/('Assumptions'!$D$48-'Assumptions'!$B$48)),'Assumptions'!$B$48+SQRT(C303*('Assumptions'!$D$48-'Assumptions'!$B$48)*('Assumptions'!$C$48-'Assumptions'!$B$48)),'Assumptions'!$D$48-SQRT((1-C303)*('Assumptions'!$D$48-'Assumptions'!$B$48)*('Assumptions'!$D$48-'Assumptions'!$C$48)))</x:f>
        <x:v>0.06053896134192921</x:v>
      </x:c>
      <x:c r="I303" s="132" t="n">
        <x:f>IF(D303&lt;(('Assumptions'!$C$49-'Assumptions'!$B$49)/('Assumptions'!$D$49-'Assumptions'!$B$49)),'Assumptions'!$B$49+SQRT(D303*('Assumptions'!$D$49-'Assumptions'!$B$49)*('Assumptions'!$C$49-'Assumptions'!$B$49)),'Assumptions'!$D$49-SQRT((1-D303)*('Assumptions'!$D$49-'Assumptions'!$B$49)*('Assumptions'!$D$49-'Assumptions'!$C$49)))</x:f>
        <x:v>0.08225908069695317</x:v>
      </x:c>
      <x:c r="J303" s="132" t="n">
        <x:f>IF(E303&lt;(('Assumptions'!$C$50-'Assumptions'!$B$50)/('Assumptions'!$D$50-'Assumptions'!$B$50)),'Assumptions'!$B$50+SQRT(E303*('Assumptions'!$D$50-'Assumptions'!$B$50)*('Assumptions'!$C$50-'Assumptions'!$B$50)),'Assumptions'!$D$50-SQRT((1-E303)*('Assumptions'!$D$50-'Assumptions'!$B$50)*('Assumptions'!$D$50-'Assumptions'!$C$50)))</x:f>
        <x:v>0.06743932999738195</x:v>
      </x:c>
      <x:c r="K303" s="132" t="n">
        <x:f>IF(F303&lt;(('Assumptions'!$C$51-'Assumptions'!$B$51)/('Assumptions'!$D$51-'Assumptions'!$B$51)),'Assumptions'!$B$51+SQRT(F303*('Assumptions'!$D$51-'Assumptions'!$B$51)*('Assumptions'!$C$51-'Assumptions'!$B$51)),'Assumptions'!$D$51-SQRT((1-F303)*('Assumptions'!$D$51-'Assumptions'!$B$51)*('Assumptions'!$D$51-'Assumptions'!$C$51)))</x:f>
        <x:v>0.061794255111975845</x:v>
      </x:c>
      <x:c r="L303" s="133" t="n">
        <x:f>(('Assumptions'!$B$17*(1+G303)+'Assumptions'!$B$18)*(1-H303-'Assumptions'!$B$20)-SUM('Assumptions'!$B$21:$B$25)*(1+I303))-(('Assumptions'!$B$17*(1+G303)+'Assumptions'!$B$18)*(1-H303-'Assumptions'!$B$20)*'Assumptions'!$B$26)</x:f>
        <x:v>194266.50461660238</x:v>
      </x:c>
      <x:c r="M303" s="133" t="n">
        <x:f>'Assumptions'!$B$10*'Assumptions'!$B$33</x:f>
        <x:v>1950000</x:v>
      </x:c>
      <x:c r="N303" s="133" t="n">
        <x:f>-PMT(K303/12,'Assumptions'!$B$35*12,M303)*12</x:f>
        <x:v>143005.47654025775</x:v>
      </x:c>
      <x:c r="O303" s="133" t="n">
        <x:f>(L303*(1+'Assumptions'!$B$29)^('Assumptions'!$B$14/12)/J303)*(1-'Assumptions'!$B$42)-'Debt Schedule'!$F$9</x:f>
        <x:v>3139053.0566764544</x:v>
      </x:c>
      <x:c r="P303" s="132" t="n">
        <x:f>((O303+(L303-N303-'Assumptions'!$B$27-'Assumptions'!$B$28)*('Assumptions'!$B$14/12))/ABS('Monthly Cash Flow'!$S$5))^(1/('Assumptions'!$B$14/12))-1</x:f>
        <x:v>0.19807360130097207</x:v>
      </x:c>
      <x:c r="Q303" s="133" t="n">
        <x:f>-ABS('Monthly Cash Flow'!$S$5)+((L303-N303-'Assumptions'!$B$27-'Assumptions'!$B$28)*(1-(1+'Assumptions'!$B$43)^-('Assumptions'!$B$14/12))/'Assumptions'!$B$43)+(O303/(1+'Assumptions'!$B$43)^('Assumptions'!$B$14/12))</x:f>
        <x:v>697293.133346173</x:v>
      </x:c>
    </x:row>
    <x:row r="304">
      <x:c r="A304" s="131" t="n">
        <x:f>297</x:f>
        <x:v>297</x:v>
      </x:c>
      <x:c r="B304" s="131" t="n">
        <x:f>MOD(ABS(SIN((A304+1)*12.9898+78.233)*43758.5453),1)</x:f>
        <x:v>0.28249356083870225</x:v>
      </x:c>
      <x:c r="C304" s="131" t="n">
        <x:f>MOD(ABS(SIN((A304+2)*12.9898+78.233)*43758.5453),1)</x:f>
        <x:v>0.7875540672212082</x:v>
      </x:c>
      <x:c r="D304" s="131" t="n">
        <x:f>MOD(ABS(SIN((A304+3)*12.9898+78.233)*43758.5453),1)</x:f>
        <x:v>0.43906791465269635</x:v>
      </x:c>
      <x:c r="E304" s="131" t="n">
        <x:f>MOD(ABS(SIN((A304+4)*12.9898+78.233)*43758.5453),1)</x:f>
        <x:v>0.06705682533356594</x:v>
      </x:c>
      <x:c r="F304" s="131" t="n">
        <x:f>MOD(ABS(SIN((A304+5)*12.9898+78.233)*43758.5453),1)</x:f>
        <x:v>0.28260328600299545</x:v>
      </x:c>
      <x:c r="G304" s="132" t="n">
        <x:f>IF(B304&lt;(('Assumptions'!$C$47-'Assumptions'!$B$47)/('Assumptions'!$D$47-'Assumptions'!$B$47)),'Assumptions'!$B$47+SQRT(B304*('Assumptions'!$D$47-'Assumptions'!$B$47)*('Assumptions'!$C$47-'Assumptions'!$B$47)),'Assumptions'!$D$47-SQRT((1-B304)*('Assumptions'!$D$47-'Assumptions'!$B$47)*('Assumptions'!$D$47-'Assumptions'!$C$47)))</x:f>
        <x:v>-0.01766018302103864</x:v>
      </x:c>
      <x:c r="H304" s="132" t="n">
        <x:f>IF(C304&lt;(('Assumptions'!$C$48-'Assumptions'!$B$48)/('Assumptions'!$D$48-'Assumptions'!$B$48)),'Assumptions'!$B$48+SQRT(C304*('Assumptions'!$D$48-'Assumptions'!$B$48)*('Assumptions'!$C$48-'Assumptions'!$B$48)),'Assumptions'!$D$48-SQRT((1-C304)*('Assumptions'!$D$48-'Assumptions'!$B$48)*('Assumptions'!$D$48-'Assumptions'!$C$48)))</x:f>
        <x:v>0.09676200503661893</x:v>
      </x:c>
      <x:c r="I304" s="132" t="n">
        <x:f>IF(D304&lt;(('Assumptions'!$C$49-'Assumptions'!$B$49)/('Assumptions'!$D$49-'Assumptions'!$B$49)),'Assumptions'!$B$49+SQRT(D304*('Assumptions'!$D$49-'Assumptions'!$B$49)*('Assumptions'!$C$49-'Assumptions'!$B$49)),'Assumptions'!$D$49-SQRT((1-D304)*('Assumptions'!$D$49-'Assumptions'!$B$49)*('Assumptions'!$D$49-'Assumptions'!$C$49)))</x:f>
        <x:v>0.039926692411367246</x:v>
      </x:c>
      <x:c r="J304" s="132" t="n">
        <x:f>IF(E304&lt;(('Assumptions'!$C$50-'Assumptions'!$B$50)/('Assumptions'!$D$50-'Assumptions'!$B$50)),'Assumptions'!$B$50+SQRT(E304*('Assumptions'!$D$50-'Assumptions'!$B$50)*('Assumptions'!$C$50-'Assumptions'!$B$50)),'Assumptions'!$D$50-SQRT((1-E304)*('Assumptions'!$D$50-'Assumptions'!$B$50)*('Assumptions'!$D$50-'Assumptions'!$C$50)))</x:f>
        <x:v>0.061384299898315314</x:v>
      </x:c>
      <x:c r="K304" s="132" t="n">
        <x:f>IF(F304&lt;(('Assumptions'!$C$51-'Assumptions'!$B$51)/('Assumptions'!$D$51-'Assumptions'!$B$51)),'Assumptions'!$B$51+SQRT(F304*('Assumptions'!$D$51-'Assumptions'!$B$51)*('Assumptions'!$C$51-'Assumptions'!$B$51)),'Assumptions'!$D$51-SQRT((1-F304)*('Assumptions'!$D$51-'Assumptions'!$B$51)*('Assumptions'!$D$51-'Assumptions'!$C$51)))</x:f>
        <x:v>0.06631566240567456</x:v>
      </x:c>
      <x:c r="L304" s="133" t="n">
        <x:f>(('Assumptions'!$B$17*(1+G304)+'Assumptions'!$B$18)*(1-H304-'Assumptions'!$B$20)-SUM('Assumptions'!$B$21:$B$25)*(1+I304))-(('Assumptions'!$B$17*(1+G304)+'Assumptions'!$B$18)*(1-H304-'Assumptions'!$B$20)*'Assumptions'!$B$26)</x:f>
        <x:v>187655.68798761838</x:v>
      </x:c>
      <x:c r="M304" s="133" t="n">
        <x:f>'Assumptions'!$B$10*'Assumptions'!$B$33</x:f>
        <x:v>1950000</x:v>
      </x:c>
      <x:c r="N304" s="133" t="n">
        <x:f>-PMT(K304/12,'Assumptions'!$B$35*12,M304)*12</x:f>
        <x:v>149934.37426728028</x:v>
      </x:c>
      <x:c r="O304" s="133" t="n">
        <x:f>(L304*(1+'Assumptions'!$B$29)^('Assumptions'!$B$14/12)/J304)*(1-'Assumptions'!$B$42)-'Debt Schedule'!$F$9</x:f>
        <x:v>3331335.7304552337</x:v>
      </x:c>
      <x:c r="P304" s="132" t="n">
        <x:f>((O304+(L304-N304-'Assumptions'!$B$27-'Assumptions'!$B$28)*('Assumptions'!$B$14/12))/ABS('Monthly Cash Flow'!$S$5))^(1/('Assumptions'!$B$14/12))-1</x:f>
        <x:v>0.20727357876639219</x:v>
      </x:c>
      <x:c r="Q304" s="133" t="n">
        <x:f>-ABS('Monthly Cash Flow'!$S$5)+((L304-N304-'Assumptions'!$B$27-'Assumptions'!$B$28)*(1-(1+'Assumptions'!$B$43)^-('Assumptions'!$B$14/12))/'Assumptions'!$B$43)+(O304/(1+'Assumptions'!$B$43)^('Assumptions'!$B$14/12))</x:f>
        <x:v>765359.3755079252</x:v>
      </x:c>
    </x:row>
    <x:row r="305">
      <x:c r="A305" s="131" t="n">
        <x:f>298</x:f>
        <x:v>298</x:v>
      </x:c>
      <x:c r="B305" s="131" t="n">
        <x:f>MOD(ABS(SIN((A305+1)*12.9898+78.233)*43758.5453),1)</x:f>
        <x:v>0.7875540672212082</x:v>
      </x:c>
      <x:c r="C305" s="131" t="n">
        <x:f>MOD(ABS(SIN((A305+2)*12.9898+78.233)*43758.5453),1)</x:f>
        <x:v>0.43906791465269635</x:v>
      </x:c>
      <x:c r="D305" s="131" t="n">
        <x:f>MOD(ABS(SIN((A305+3)*12.9898+78.233)*43758.5453),1)</x:f>
        <x:v>0.06705682533356594</x:v>
      </x:c>
      <x:c r="E305" s="131" t="n">
        <x:f>MOD(ABS(SIN((A305+4)*12.9898+78.233)*43758.5453),1)</x:f>
        <x:v>0.28260328600299545</x:v>
      </x:c>
      <x:c r="F305" s="131" t="n">
        <x:f>MOD(ABS(SIN((A305+5)*12.9898+78.233)*43758.5453),1)</x:f>
        <x:v>0.46420869441863033</x:v>
      </x:c>
      <x:c r="G305" s="132" t="n">
        <x:f>IF(B305&lt;(('Assumptions'!$C$47-'Assumptions'!$B$47)/('Assumptions'!$D$47-'Assumptions'!$B$47)),'Assumptions'!$B$47+SQRT(B305*('Assumptions'!$D$47-'Assumptions'!$B$47)*('Assumptions'!$C$47-'Assumptions'!$B$47)),'Assumptions'!$D$47-SQRT((1-B305)*('Assumptions'!$D$47-'Assumptions'!$B$47)*('Assumptions'!$D$47-'Assumptions'!$C$47)))</x:f>
        <x:v>0.04169789948500425</x:v>
      </x:c>
      <x:c r="H305" s="132" t="n">
        <x:f>IF(C305&lt;(('Assumptions'!$C$48-'Assumptions'!$B$48)/('Assumptions'!$D$48-'Assumptions'!$B$48)),'Assumptions'!$B$48+SQRT(C305*('Assumptions'!$D$48-'Assumptions'!$B$48)*('Assumptions'!$C$48-'Assumptions'!$B$48)),'Assumptions'!$D$48-SQRT((1-C305)*('Assumptions'!$D$48-'Assumptions'!$B$48)*('Assumptions'!$D$48-'Assumptions'!$C$48)))</x:f>
        <x:v>0.06974188764949436</x:v>
      </x:c>
      <x:c r="I305" s="132" t="n">
        <x:f>IF(D305&lt;(('Assumptions'!$C$49-'Assumptions'!$B$49)/('Assumptions'!$D$49-'Assumptions'!$B$49)),'Assumptions'!$B$49+SQRT(D305*('Assumptions'!$D$49-'Assumptions'!$B$49)*('Assumptions'!$C$49-'Assumptions'!$B$49)),'Assumptions'!$D$49-SQRT((1-D305)*('Assumptions'!$D$49-'Assumptions'!$B$49)*('Assumptions'!$D$49-'Assumptions'!$C$49)))</x:f>
        <x:v>-0.003088780897133027</x:v>
      </x:c>
      <x:c r="J305" s="132" t="n">
        <x:f>IF(E305&lt;(('Assumptions'!$C$50-'Assumptions'!$B$50)/('Assumptions'!$D$50-'Assumptions'!$B$50)),'Assumptions'!$B$50+SQRT(E305*('Assumptions'!$D$50-'Assumptions'!$B$50)*('Assumptions'!$C$50-'Assumptions'!$B$50)),'Assumptions'!$D$50-SQRT((1-E305)*('Assumptions'!$D$50-'Assumptions'!$B$50)*('Assumptions'!$D$50-'Assumptions'!$C$50)))</x:f>
        <x:v>0.06547406667583575</x:v>
      </x:c>
      <x:c r="K305" s="132" t="n">
        <x:f>IF(F305&lt;(('Assumptions'!$C$51-'Assumptions'!$B$51)/('Assumptions'!$D$51-'Assumptions'!$B$51)),'Assumptions'!$B$51+SQRT(F305*('Assumptions'!$D$51-'Assumptions'!$B$51)*('Assumptions'!$C$51-'Assumptions'!$B$51)),'Assumptions'!$D$51-SQRT((1-F305)*('Assumptions'!$D$51-'Assumptions'!$B$51)*('Assumptions'!$D$51-'Assumptions'!$C$51)))</x:f>
        <x:v>0.06894230509036138</x:v>
      </x:c>
      <x:c r="L305" s="133" t="n">
        <x:f>(('Assumptions'!$B$17*(1+G305)+'Assumptions'!$B$18)*(1-H305-'Assumptions'!$B$20)-SUM('Assumptions'!$B$21:$B$25)*(1+I305))-(('Assumptions'!$B$17*(1+G305)+'Assumptions'!$B$18)*(1-H305-'Assumptions'!$B$20)*'Assumptions'!$B$26)</x:f>
        <x:v>221594.10034377436</x:v>
      </x:c>
      <x:c r="M305" s="133" t="n">
        <x:f>'Assumptions'!$B$10*'Assumptions'!$B$33</x:f>
        <x:v>1950000</x:v>
      </x:c>
      <x:c r="N305" s="133" t="n">
        <x:f>-PMT(K305/12,'Assumptions'!$B$35*12,M305)*12</x:f>
        <x:v>154022.14009974196</x:v>
      </x:c>
      <x:c r="O305" s="133" t="n">
        <x:f>(L305*(1+'Assumptions'!$B$29)^('Assumptions'!$B$14/12)/J305)*(1-'Assumptions'!$B$42)-'Debt Schedule'!$F$9</x:f>
        <x:v>3688101.4128714316</x:v>
      </x:c>
      <x:c r="P305" s="132" t="n">
        <x:f>((O305+(L305-N305-'Assumptions'!$B$27-'Assumptions'!$B$28)*('Assumptions'!$B$14/12))/ABS('Monthly Cash Flow'!$S$5))^(1/('Assumptions'!$B$14/12))-1</x:f>
        <x:v>0.24201746158563853</x:v>
      </x:c>
      <x:c r="Q305" s="133" t="n">
        <x:f>-ABS('Monthly Cash Flow'!$S$5)+((L305-N305-'Assumptions'!$B$27-'Assumptions'!$B$28)*(1-(1+'Assumptions'!$B$43)^-('Assumptions'!$B$14/12))/'Assumptions'!$B$43)+(O305/(1+'Assumptions'!$B$43)^('Assumptions'!$B$14/12))</x:f>
        <x:v>1100040.2309562021</x:v>
      </x:c>
    </x:row>
    <x:row r="306">
      <x:c r="A306" s="131" t="n">
        <x:f>299</x:f>
        <x:v>299</x:v>
      </x:c>
      <x:c r="B306" s="131" t="n">
        <x:f>MOD(ABS(SIN((A306+1)*12.9898+78.233)*43758.5453),1)</x:f>
        <x:v>0.43906791465269635</x:v>
      </x:c>
      <x:c r="C306" s="131" t="n">
        <x:f>MOD(ABS(SIN((A306+2)*12.9898+78.233)*43758.5453),1)</x:f>
        <x:v>0.06705682533356594</x:v>
      </x:c>
      <x:c r="D306" s="131" t="n">
        <x:f>MOD(ABS(SIN((A306+3)*12.9898+78.233)*43758.5453),1)</x:f>
        <x:v>0.28260328600299545</x:v>
      </x:c>
      <x:c r="E306" s="131" t="n">
        <x:f>MOD(ABS(SIN((A306+4)*12.9898+78.233)*43758.5453),1)</x:f>
        <x:v>0.46420869441863033</x:v>
      </x:c>
      <x:c r="F306" s="131" t="n">
        <x:f>MOD(ABS(SIN((A306+5)*12.9898+78.233)*43758.5453),1)</x:f>
        <x:v>0.5689922801029752</x:v>
      </x:c>
      <x:c r="G306" s="132" t="n">
        <x:f>IF(B306&lt;(('Assumptions'!$C$47-'Assumptions'!$B$47)/('Assumptions'!$D$47-'Assumptions'!$B$47)),'Assumptions'!$B$47+SQRT(B306*('Assumptions'!$D$47-'Assumptions'!$B$47)*('Assumptions'!$C$47-'Assumptions'!$B$47)),'Assumptions'!$D$47-SQRT((1-B306)*('Assumptions'!$D$47-'Assumptions'!$B$47)*('Assumptions'!$D$47-'Assumptions'!$C$47)))</x:f>
        <x:v>0.0026529588061869336</x:v>
      </x:c>
      <x:c r="H306" s="132" t="n">
        <x:f>IF(C306&lt;(('Assumptions'!$C$48-'Assumptions'!$B$48)/('Assumptions'!$D$48-'Assumptions'!$B$48)),'Assumptions'!$B$48+SQRT(C306*('Assumptions'!$D$48-'Assumptions'!$B$48)*('Assumptions'!$C$48-'Assumptions'!$B$48)),'Assumptions'!$D$48-SQRT((1-C306)*('Assumptions'!$D$48-'Assumptions'!$B$48)*('Assumptions'!$D$48-'Assumptions'!$C$48)))</x:f>
        <x:v>0.04487573606920907</x:v>
      </x:c>
      <x:c r="I306" s="132" t="n">
        <x:f>IF(D306&lt;(('Assumptions'!$C$49-'Assumptions'!$B$49)/('Assumptions'!$D$49-'Assumptions'!$B$49)),'Assumptions'!$B$49+SQRT(D306*('Assumptions'!$D$49-'Assumptions'!$B$49)*('Assumptions'!$C$49-'Assumptions'!$B$49)),'Assumptions'!$D$49-SQRT((1-D306)*('Assumptions'!$D$49-'Assumptions'!$B$49)*('Assumptions'!$D$49-'Assumptions'!$C$49)))</x:f>
        <x:v>0.025245954501957428</x:v>
      </x:c>
      <x:c r="J306" s="132" t="n">
        <x:f>IF(E306&lt;(('Assumptions'!$C$50-'Assumptions'!$B$50)/('Assumptions'!$D$50-'Assumptions'!$B$50)),'Assumptions'!$B$50+SQRT(E306*('Assumptions'!$D$50-'Assumptions'!$B$50)*('Assumptions'!$C$50-'Assumptions'!$B$50)),'Assumptions'!$D$50-SQRT((1-E306)*('Assumptions'!$D$50-'Assumptions'!$B$50)*('Assumptions'!$D$50-'Assumptions'!$C$50)))</x:f>
        <x:v>0.06772436133251063</x:v>
      </x:c>
      <x:c r="K306" s="132" t="n">
        <x:f>IF(F306&lt;(('Assumptions'!$C$51-'Assumptions'!$B$51)/('Assumptions'!$D$51-'Assumptions'!$B$51)),'Assumptions'!$B$51+SQRT(F306*('Assumptions'!$D$51-'Assumptions'!$B$51)*('Assumptions'!$C$51-'Assumptions'!$B$51)),'Assumptions'!$D$51-SQRT((1-F306)*('Assumptions'!$D$51-'Assumptions'!$B$51)*('Assumptions'!$D$51-'Assumptions'!$C$51)))</x:f>
        <x:v>0.07059783123274682</x:v>
      </x:c>
      <x:c r="L306" s="133" t="n">
        <x:f>(('Assumptions'!$B$17*(1+G306)+'Assumptions'!$B$18)*(1-H306-'Assumptions'!$B$20)-SUM('Assumptions'!$B$21:$B$25)*(1+I306))-(('Assumptions'!$B$17*(1+G306)+'Assumptions'!$B$18)*(1-H306-'Assumptions'!$B$20)*'Assumptions'!$B$26)</x:f>
        <x:v>214652.25168333517</x:v>
      </x:c>
      <x:c r="M306" s="133" t="n">
        <x:f>'Assumptions'!$B$10*'Assumptions'!$B$33</x:f>
        <x:v>1950000</x:v>
      </x:c>
      <x:c r="N306" s="133" t="n">
        <x:f>-PMT(K306/12,'Assumptions'!$B$35*12,M306)*12</x:f>
        <x:v>156621.4278922006</x:v>
      </x:c>
      <x:c r="O306" s="133" t="n">
        <x:f>(L306*(1+'Assumptions'!$B$29)^('Assumptions'!$B$14/12)/J306)*(1-'Assumptions'!$B$42)-'Debt Schedule'!$F$9</x:f>
        <x:v>3453858.2327291043</x:v>
      </x:c>
      <x:c r="P306" s="132" t="n">
        <x:f>((O306+(L306-N306-'Assumptions'!$B$27-'Assumptions'!$B$28)*('Assumptions'!$B$14/12))/ABS('Monthly Cash Flow'!$S$5))^(1/('Assumptions'!$B$14/12))-1</x:f>
        <x:v>0.22314694353015607</x:v>
      </x:c>
      <x:c r="Q306" s="133" t="n">
        <x:f>-ABS('Monthly Cash Flow'!$S$5)+((L306-N306-'Assumptions'!$B$27-'Assumptions'!$B$28)*(1-(1+'Assumptions'!$B$43)^-('Assumptions'!$B$14/12))/'Assumptions'!$B$43)+(O306/(1+'Assumptions'!$B$43)^('Assumptions'!$B$14/12))</x:f>
        <x:v>918425.2317938784</x:v>
      </x:c>
    </x:row>
    <x:row r="307">
      <x:c r="A307" s="131" t="n">
        <x:f>300</x:f>
        <x:v>300</x:v>
      </x:c>
      <x:c r="B307" s="131" t="n">
        <x:f>MOD(ABS(SIN((A307+1)*12.9898+78.233)*43758.5453),1)</x:f>
        <x:v>0.06705682533356594</x:v>
      </x:c>
      <x:c r="C307" s="131" t="n">
        <x:f>MOD(ABS(SIN((A307+2)*12.9898+78.233)*43758.5453),1)</x:f>
        <x:v>0.28260328600299545</x:v>
      </x:c>
      <x:c r="D307" s="131" t="n">
        <x:f>MOD(ABS(SIN((A307+3)*12.9898+78.233)*43758.5453),1)</x:f>
        <x:v>0.46420869441863033</x:v>
      </x:c>
      <x:c r="E307" s="131" t="n">
        <x:f>MOD(ABS(SIN((A307+4)*12.9898+78.233)*43758.5453),1)</x:f>
        <x:v>0.5689922801029752</x:v>
      </x:c>
      <x:c r="F307" s="131" t="n">
        <x:f>MOD(ABS(SIN((A307+5)*12.9898+78.233)*43758.5453),1)</x:f>
        <x:v>0.8338499629337548</x:v>
      </x:c>
      <x:c r="G307" s="132" t="n">
        <x:f>IF(B307&lt;(('Assumptions'!$C$47-'Assumptions'!$B$47)/('Assumptions'!$D$47-'Assumptions'!$B$47)),'Assumptions'!$B$47+SQRT(B307*('Assumptions'!$D$47-'Assumptions'!$B$47)*('Assumptions'!$C$47-'Assumptions'!$B$47)),'Assumptions'!$D$47-SQRT((1-B307)*('Assumptions'!$D$47-'Assumptions'!$B$47)*('Assumptions'!$D$47-'Assumptions'!$C$47)))</x:f>
        <x:v>-0.059883123152399034</x:v>
      </x:c>
      <x:c r="H307" s="132" t="n">
        <x:f>IF(C307&lt;(('Assumptions'!$C$48-'Assumptions'!$B$48)/('Assumptions'!$D$48-'Assumptions'!$B$48)),'Assumptions'!$B$48+SQRT(C307*('Assumptions'!$D$48-'Assumptions'!$B$48)*('Assumptions'!$C$48-'Assumptions'!$B$48)),'Assumptions'!$D$48-SQRT((1-C307)*('Assumptions'!$D$48-'Assumptions'!$B$48)*('Assumptions'!$D$48-'Assumptions'!$C$48)))</x:f>
        <x:v>0.060545037391150705</x:v>
      </x:c>
      <x:c r="I307" s="132" t="n">
        <x:f>IF(D307&lt;(('Assumptions'!$C$49-'Assumptions'!$B$49)/('Assumptions'!$D$49-'Assumptions'!$B$49)),'Assumptions'!$B$49+SQRT(D307*('Assumptions'!$D$49-'Assumptions'!$B$49)*('Assumptions'!$C$49-'Assumptions'!$B$49)),'Assumptions'!$D$49-SQRT((1-D307)*('Assumptions'!$D$49-'Assumptions'!$B$49)*('Assumptions'!$D$49-'Assumptions'!$C$49)))</x:f>
        <x:v>0.042421692704534594</x:v>
      </x:c>
      <x:c r="J307" s="132" t="n">
        <x:f>IF(E307&lt;(('Assumptions'!$C$50-'Assumptions'!$B$50)/('Assumptions'!$D$50-'Assumptions'!$B$50)),'Assumptions'!$B$50+SQRT(E307*('Assumptions'!$D$50-'Assumptions'!$B$50)*('Assumptions'!$C$50-'Assumptions'!$B$50)),'Assumptions'!$D$50-SQRT((1-E307)*('Assumptions'!$D$50-'Assumptions'!$B$50)*('Assumptions'!$D$50-'Assumptions'!$C$50)))</x:f>
        <x:v>0.0689899627057381</x:v>
      </x:c>
      <x:c r="K307" s="132" t="n">
        <x:f>IF(F307&lt;(('Assumptions'!$C$51-'Assumptions'!$B$51)/('Assumptions'!$D$51-'Assumptions'!$B$51)),'Assumptions'!$B$51+SQRT(F307*('Assumptions'!$D$51-'Assumptions'!$B$51)*('Assumptions'!$C$51-'Assumptions'!$B$51)),'Assumptions'!$D$51-SQRT((1-F307)*('Assumptions'!$D$51-'Assumptions'!$B$51)*('Assumptions'!$D$51-'Assumptions'!$C$51)))</x:f>
        <x:v>0.07605798091379076</x:v>
      </x:c>
      <x:c r="L307" s="133" t="n">
        <x:f>(('Assumptions'!$B$17*(1+G307)+'Assumptions'!$B$18)*(1-H307-'Assumptions'!$B$20)-SUM('Assumptions'!$B$21:$B$25)*(1+I307))-(('Assumptions'!$B$17*(1+G307)+'Assumptions'!$B$18)*(1-H307-'Assumptions'!$B$20)*'Assumptions'!$B$26)</x:f>
        <x:v>186699.84858440617</x:v>
      </x:c>
      <x:c r="M307" s="133" t="n">
        <x:f>'Assumptions'!$B$10*'Assumptions'!$B$33</x:f>
        <x:v>1950000</x:v>
      </x:c>
      <x:c r="N307" s="133" t="n">
        <x:f>-PMT(K307/12,'Assumptions'!$B$35*12,M307)*12</x:f>
        <x:v>165314.74675366865</x:v>
      </x:c>
      <x:c r="O307" s="133" t="n">
        <x:f>(L307*(1+'Assumptions'!$B$29)^('Assumptions'!$B$14/12)/J307)*(1-'Assumptions'!$B$42)-'Debt Schedule'!$F$9</x:f>
        <x:v>2948981.3954391056</x:v>
      </x:c>
      <x:c r="P307" s="132" t="n">
        <x:f>((O307+(L307-N307-'Assumptions'!$B$27-'Assumptions'!$B$28)*('Assumptions'!$B$14/12))/ABS('Monthly Cash Flow'!$S$5))^(1/('Assumptions'!$B$14/12))-1</x:f>
        <x:v>0.17146252020890662</x:v>
      </x:c>
      <x:c r="Q307" s="133" t="n">
        <x:f>-ABS('Monthly Cash Flow'!$S$5)+((L307-N307-'Assumptions'!$B$27-'Assumptions'!$B$28)*(1-(1+'Assumptions'!$B$43)^-('Assumptions'!$B$14/12))/'Assumptions'!$B$43)+(O307/(1+'Assumptions'!$B$43)^('Assumptions'!$B$14/12))</x:f>
        <x:v>466020.3200389566</x:v>
      </x:c>
    </x:row>
    <x:row r="308">
      <x:c r="A308" s="131" t="n">
        <x:f>301</x:f>
        <x:v>301</x:v>
      </x:c>
      <x:c r="B308" s="131" t="n">
        <x:f>MOD(ABS(SIN((A308+1)*12.9898+78.233)*43758.5453),1)</x:f>
        <x:v>0.28260328600299545</x:v>
      </x:c>
      <x:c r="C308" s="131" t="n">
        <x:f>MOD(ABS(SIN((A308+2)*12.9898+78.233)*43758.5453),1)</x:f>
        <x:v>0.46420869441863033</x:v>
      </x:c>
      <x:c r="D308" s="131" t="n">
        <x:f>MOD(ABS(SIN((A308+3)*12.9898+78.233)*43758.5453),1)</x:f>
        <x:v>0.5689922801029752</x:v>
      </x:c>
      <x:c r="E308" s="131" t="n">
        <x:f>MOD(ABS(SIN((A308+4)*12.9898+78.233)*43758.5453),1)</x:f>
        <x:v>0.8338499629337548</x:v>
      </x:c>
      <x:c r="F308" s="131" t="n">
        <x:f>MOD(ABS(SIN((A308+5)*12.9898+78.233)*43758.5453),1)</x:f>
        <x:v>0.6776192303550488</x:v>
      </x:c>
      <x:c r="G308" s="132" t="n">
        <x:f>IF(B308&lt;(('Assumptions'!$C$47-'Assumptions'!$B$47)/('Assumptions'!$D$47-'Assumptions'!$B$47)),'Assumptions'!$B$47+SQRT(B308*('Assumptions'!$D$47-'Assumptions'!$B$47)*('Assumptions'!$C$47-'Assumptions'!$B$47)),'Assumptions'!$D$47-SQRT((1-B308)*('Assumptions'!$D$47-'Assumptions'!$B$47)*('Assumptions'!$D$47-'Assumptions'!$C$47)))</x:f>
        <x:v>-0.01764419350117509</x:v>
      </x:c>
      <x:c r="H308" s="132" t="n">
        <x:f>IF(C308&lt;(('Assumptions'!$C$48-'Assumptions'!$B$48)/('Assumptions'!$D$48-'Assumptions'!$B$48)),'Assumptions'!$B$48+SQRT(C308*('Assumptions'!$D$48-'Assumptions'!$B$48)*('Assumptions'!$C$48-'Assumptions'!$B$48)),'Assumptions'!$D$48-SQRT((1-C308)*('Assumptions'!$D$48-'Assumptions'!$B$48)*('Assumptions'!$D$48-'Assumptions'!$C$48)))</x:f>
        <x:v>0.07133440825918666</x:v>
      </x:c>
      <x:c r="I308" s="132" t="n">
        <x:f>IF(D308&lt;(('Assumptions'!$C$49-'Assumptions'!$B$49)/('Assumptions'!$D$49-'Assumptions'!$B$49)),'Assumptions'!$B$49+SQRT(D308*('Assumptions'!$D$49-'Assumptions'!$B$49)*('Assumptions'!$C$49-'Assumptions'!$B$49)),'Assumptions'!$D$49-SQRT((1-D308)*('Assumptions'!$D$49-'Assumptions'!$B$49)*('Assumptions'!$D$49-'Assumptions'!$C$49)))</x:f>
        <x:v>0.05351286743935367</x:v>
      </x:c>
      <x:c r="J308" s="132" t="n">
        <x:f>IF(E308&lt;(('Assumptions'!$C$50-'Assumptions'!$B$50)/('Assumptions'!$D$50-'Assumptions'!$B$50)),'Assumptions'!$B$50+SQRT(E308*('Assumptions'!$D$50-'Assumptions'!$B$50)*('Assumptions'!$C$50-'Assumptions'!$B$50)),'Assumptions'!$D$50-SQRT((1-E308)*('Assumptions'!$D$50-'Assumptions'!$B$50)*('Assumptions'!$D$50-'Assumptions'!$C$50)))</x:f>
        <x:v>0.07316408763039772</x:v>
      </x:c>
      <x:c r="K308" s="132" t="n">
        <x:f>IF(F308&lt;(('Assumptions'!$C$51-'Assumptions'!$B$51)/('Assumptions'!$D$51-'Assumptions'!$B$51)),'Assumptions'!$B$51+SQRT(F308*('Assumptions'!$D$51-'Assumptions'!$B$51)*('Assumptions'!$C$51-'Assumptions'!$B$51)),'Assumptions'!$D$51-SQRT((1-F308)*('Assumptions'!$D$51-'Assumptions'!$B$51)*('Assumptions'!$D$51-'Assumptions'!$C$51)))</x:f>
        <x:v>0.0725442485015302</x:v>
      </x:c>
      <x:c r="L308" s="133" t="n">
        <x:f>(('Assumptions'!$B$17*(1+G308)+'Assumptions'!$B$18)*(1-H308-'Assumptions'!$B$20)-SUM('Assumptions'!$B$21:$B$25)*(1+I308))-(('Assumptions'!$B$17*(1+G308)+'Assumptions'!$B$18)*(1-H308-'Assumptions'!$B$20)*'Assumptions'!$B$26)</x:f>
        <x:v>195020.87902054613</x:v>
      </x:c>
      <x:c r="M308" s="133" t="n">
        <x:f>'Assumptions'!$B$10*'Assumptions'!$B$33</x:f>
        <x:v>1950000</x:v>
      </x:c>
      <x:c r="N308" s="133" t="n">
        <x:f>-PMT(K308/12,'Assumptions'!$B$35*12,M308)*12</x:f>
        <x:v>159699.48498028144</x:v>
      </x:c>
      <x:c r="O308" s="133" t="n">
        <x:f>(L308*(1+'Assumptions'!$B$29)^('Assumptions'!$B$14/12)/J308)*(1-'Assumptions'!$B$42)-'Debt Schedule'!$F$9</x:f>
        <x:v>2904672.18192546</x:v>
      </x:c>
      <x:c r="P308" s="132" t="n">
        <x:f>((O308+(L308-N308-'Assumptions'!$B$27-'Assumptions'!$B$28)*('Assumptions'!$B$14/12))/ABS('Monthly Cash Flow'!$S$5))^(1/('Assumptions'!$B$14/12))-1</x:f>
        <x:v>0.1735366475296618</x:v>
      </x:c>
      <x:c r="Q308" s="133" t="n">
        <x:f>-ABS('Monthly Cash Flow'!$S$5)+((L308-N308-'Assumptions'!$B$27-'Assumptions'!$B$28)*(1-(1+'Assumptions'!$B$43)^-('Assumptions'!$B$14/12))/'Assumptions'!$B$43)+(O308/(1+'Assumptions'!$B$43)^('Assumptions'!$B$14/12))</x:f>
        <x:v>491337.29668283905</x:v>
      </x:c>
    </x:row>
    <x:row r="309">
      <x:c r="A309" s="131" t="n">
        <x:f>302</x:f>
        <x:v>302</x:v>
      </x:c>
      <x:c r="B309" s="131" t="n">
        <x:f>MOD(ABS(SIN((A309+1)*12.9898+78.233)*43758.5453),1)</x:f>
        <x:v>0.46420869441863033</x:v>
      </x:c>
      <x:c r="C309" s="131" t="n">
        <x:f>MOD(ABS(SIN((A309+2)*12.9898+78.233)*43758.5453),1)</x:f>
        <x:v>0.5689922801029752</x:v>
      </x:c>
      <x:c r="D309" s="131" t="n">
        <x:f>MOD(ABS(SIN((A309+3)*12.9898+78.233)*43758.5453),1)</x:f>
        <x:v>0.8338499629337548</x:v>
      </x:c>
      <x:c r="E309" s="131" t="n">
        <x:f>MOD(ABS(SIN((A309+4)*12.9898+78.233)*43758.5453),1)</x:f>
        <x:v>0.6776192303550488</x:v>
      </x:c>
      <x:c r="F309" s="131" t="n">
        <x:f>MOD(ABS(SIN((A309+5)*12.9898+78.233)*43758.5453),1)</x:f>
        <x:v>0.09468797735462431</x:v>
      </x:c>
      <x:c r="G309" s="132" t="n">
        <x:f>IF(B309&lt;(('Assumptions'!$C$47-'Assumptions'!$B$47)/('Assumptions'!$D$47-'Assumptions'!$B$47)),'Assumptions'!$B$47+SQRT(B309*('Assumptions'!$D$47-'Assumptions'!$B$47)*('Assumptions'!$C$47-'Assumptions'!$B$47)),'Assumptions'!$D$47-SQRT((1-B309)*('Assumptions'!$D$47-'Assumptions'!$B$47)*('Assumptions'!$D$47-'Assumptions'!$C$47)))</x:f>
        <x:v>0.005550976622895956</x:v>
      </x:c>
      <x:c r="H309" s="132" t="n">
        <x:f>IF(C309&lt;(('Assumptions'!$C$48-'Assumptions'!$B$48)/('Assumptions'!$D$48-'Assumptions'!$B$48)),'Assumptions'!$B$48+SQRT(C309*('Assumptions'!$D$48-'Assumptions'!$B$48)*('Assumptions'!$C$48-'Assumptions'!$B$48)),'Assumptions'!$D$48-SQRT((1-C309)*('Assumptions'!$D$48-'Assumptions'!$B$48)*('Assumptions'!$D$48-'Assumptions'!$C$48)))</x:f>
        <x:v>0.07841373582450534</x:v>
      </x:c>
      <x:c r="I309" s="132" t="n">
        <x:f>IF(D309&lt;(('Assumptions'!$C$49-'Assumptions'!$B$49)/('Assumptions'!$D$49-'Assumptions'!$B$49)),'Assumptions'!$B$49+SQRT(D309*('Assumptions'!$D$49-'Assumptions'!$B$49)*('Assumptions'!$C$49-'Assumptions'!$B$49)),'Assumptions'!$D$49-SQRT((1-D309)*('Assumptions'!$D$49-'Assumptions'!$B$49)*('Assumptions'!$D$49-'Assumptions'!$C$49)))</x:f>
        <x:v>0.09009306550464381</x:v>
      </x:c>
      <x:c r="J309" s="132" t="n">
        <x:f>IF(E309&lt;(('Assumptions'!$C$50-'Assumptions'!$B$50)/('Assumptions'!$D$50-'Assumptions'!$B$50)),'Assumptions'!$B$50+SQRT(E309*('Assumptions'!$D$50-'Assumptions'!$B$50)*('Assumptions'!$C$50-'Assumptions'!$B$50)),'Assumptions'!$D$50-SQRT((1-E309)*('Assumptions'!$D$50-'Assumptions'!$B$50)*('Assumptions'!$D$50-'Assumptions'!$C$50)))</x:f>
        <x:v>0.07047794184733981</x:v>
      </x:c>
      <x:c r="K309" s="132" t="n">
        <x:f>IF(F309&lt;(('Assumptions'!$C$51-'Assumptions'!$B$51)/('Assumptions'!$D$51-'Assumptions'!$B$51)),'Assumptions'!$B$51+SQRT(F309*('Assumptions'!$D$51-'Assumptions'!$B$51)*('Assumptions'!$C$51-'Assumptions'!$B$51)),'Assumptions'!$D$51-SQRT((1-F309)*('Assumptions'!$D$51-'Assumptions'!$B$51)*('Assumptions'!$D$51-'Assumptions'!$C$51)))</x:f>
        <x:v>0.0626028613318923</x:v>
      </x:c>
      <x:c r="L309" s="133" t="n">
        <x:f>(('Assumptions'!$B$17*(1+G309)+'Assumptions'!$B$18)*(1-H309-'Assumptions'!$B$20)-SUM('Assumptions'!$B$21:$B$25)*(1+I309))-(('Assumptions'!$B$17*(1+G309)+'Assumptions'!$B$18)*(1-H309-'Assumptions'!$B$20)*'Assumptions'!$B$26)</x:f>
        <x:v>195193.5003513997</x:v>
      </x:c>
      <x:c r="M309" s="133" t="n">
        <x:f>'Assumptions'!$B$10*'Assumptions'!$B$33</x:f>
        <x:v>1950000</x:v>
      </x:c>
      <x:c r="N309" s="133" t="n">
        <x:f>-PMT(K309/12,'Assumptions'!$B$35*12,M309)*12</x:f>
        <x:v>144234.4055137246</x:v>
      </x:c>
      <x:c r="O309" s="133" t="n">
        <x:f>(L309*(1+'Assumptions'!$B$29)^('Assumptions'!$B$14/12)/J309)*(1-'Assumptions'!$B$42)-'Debt Schedule'!$F$9</x:f>
        <x:v>3018047.817347258</x:v>
      </x:c>
      <x:c r="P309" s="132" t="n">
        <x:f>((O309+(L309-N309-'Assumptions'!$B$27-'Assumptions'!$B$28)*('Assumptions'!$B$14/12))/ABS('Monthly Cash Flow'!$S$5))^(1/('Assumptions'!$B$14/12))-1</x:f>
        <x:v>0.18874217614432132</x:v>
      </x:c>
      <x:c r="Q309" s="133" t="n">
        <x:f>-ABS('Monthly Cash Flow'!$S$5)+((L309-N309-'Assumptions'!$B$27-'Assumptions'!$B$28)*(1-(1+'Assumptions'!$B$43)^-('Assumptions'!$B$14/12))/'Assumptions'!$B$43)+(O309/(1+'Assumptions'!$B$43)^('Assumptions'!$B$14/12))</x:f>
        <x:v>621013.8355184053</x:v>
      </x:c>
    </x:row>
    <x:row r="310">
      <x:c r="A310" s="131" t="n">
        <x:f>303</x:f>
        <x:v>303</x:v>
      </x:c>
      <x:c r="B310" s="131" t="n">
        <x:f>MOD(ABS(SIN((A310+1)*12.9898+78.233)*43758.5453),1)</x:f>
        <x:v>0.5689922801029752</x:v>
      </x:c>
      <x:c r="C310" s="131" t="n">
        <x:f>MOD(ABS(SIN((A310+2)*12.9898+78.233)*43758.5453),1)</x:f>
        <x:v>0.8338499629337548</x:v>
      </x:c>
      <x:c r="D310" s="131" t="n">
        <x:f>MOD(ABS(SIN((A310+3)*12.9898+78.233)*43758.5453),1)</x:f>
        <x:v>0.6776192303550488</x:v>
      </x:c>
      <x:c r="E310" s="131" t="n">
        <x:f>MOD(ABS(SIN((A310+4)*12.9898+78.233)*43758.5453),1)</x:f>
        <x:v>0.09468797735462431</x:v>
      </x:c>
      <x:c r="F310" s="131" t="n">
        <x:f>MOD(ABS(SIN((A310+5)*12.9898+78.233)*43758.5453),1)</x:f>
        <x:v>0.9529513201778173</x:v>
      </x:c>
      <x:c r="G310" s="132" t="n">
        <x:f>IF(B310&lt;(('Assumptions'!$C$47-'Assumptions'!$B$47)/('Assumptions'!$D$47-'Assumptions'!$B$47)),'Assumptions'!$B$47+SQRT(B310*('Assumptions'!$D$47-'Assumptions'!$B$47)*('Assumptions'!$C$47-'Assumptions'!$B$47)),'Assumptions'!$D$47-SQRT((1-B310)*('Assumptions'!$D$47-'Assumptions'!$B$47)*('Assumptions'!$D$47-'Assumptions'!$C$47)))</x:f>
        <x:v>0.016858096520829077</x:v>
      </x:c>
      <x:c r="H310" s="132" t="n">
        <x:f>IF(C310&lt;(('Assumptions'!$C$48-'Assumptions'!$B$48)/('Assumptions'!$D$48-'Assumptions'!$B$48)),'Assumptions'!$B$48+SQRT(C310*('Assumptions'!$D$48-'Assumptions'!$B$48)*('Assumptions'!$C$48-'Assumptions'!$B$48)),'Assumptions'!$D$48-SQRT((1-C310)*('Assumptions'!$D$48-'Assumptions'!$B$48)*('Assumptions'!$D$48-'Assumptions'!$C$48)))</x:f>
        <x:v>0.10176231798104182</x:v>
      </x:c>
      <x:c r="I310" s="132" t="n">
        <x:f>IF(D310&lt;(('Assumptions'!$C$49-'Assumptions'!$B$49)/('Assumptions'!$D$49-'Assumptions'!$B$49)),'Assumptions'!$B$49+SQRT(D310*('Assumptions'!$D$49-'Assumptions'!$B$49)*('Assumptions'!$C$49-'Assumptions'!$B$49)),'Assumptions'!$D$49-SQRT((1-D310)*('Assumptions'!$D$49-'Assumptions'!$B$49)*('Assumptions'!$D$49-'Assumptions'!$C$49)))</x:f>
        <x:v>0.06655286329459263</x:v>
      </x:c>
      <x:c r="J310" s="132" t="n">
        <x:f>IF(E310&lt;(('Assumptions'!$C$50-'Assumptions'!$B$50)/('Assumptions'!$D$50-'Assumptions'!$B$50)),'Assumptions'!$B$50+SQRT(E310*('Assumptions'!$D$50-'Assumptions'!$B$50)*('Assumptions'!$C$50-'Assumptions'!$B$50)),'Assumptions'!$D$50-SQRT((1-E310)*('Assumptions'!$D$50-'Assumptions'!$B$50)*('Assumptions'!$D$50-'Assumptions'!$C$50)))</x:f>
        <x:v>0.06211571174411818</x:v>
      </x:c>
      <x:c r="K310" s="132" t="n">
        <x:f>IF(F310&lt;(('Assumptions'!$C$51-'Assumptions'!$B$51)/('Assumptions'!$D$51-'Assumptions'!$B$51)),'Assumptions'!$B$51+SQRT(F310*('Assumptions'!$D$51-'Assumptions'!$B$51)*('Assumptions'!$C$51-'Assumptions'!$B$51)),'Assumptions'!$D$51-SQRT((1-F310)*('Assumptions'!$D$51-'Assumptions'!$B$51)*('Assumptions'!$D$51-'Assumptions'!$C$51)))</x:f>
        <x:v>0.08024162032153534</x:v>
      </x:c>
      <x:c r="L310" s="133" t="n">
        <x:f>(('Assumptions'!$B$17*(1+G310)+'Assumptions'!$B$18)*(1-H310-'Assumptions'!$B$20)-SUM('Assumptions'!$B$21:$B$25)*(1+I310))-(('Assumptions'!$B$17*(1+G310)+'Assumptions'!$B$18)*(1-H310-'Assumptions'!$B$20)*'Assumptions'!$B$26)</x:f>
        <x:v>193113.04249290202</x:v>
      </x:c>
      <x:c r="M310" s="133" t="n">
        <x:f>'Assumptions'!$B$10*'Assumptions'!$B$33</x:f>
        <x:v>1950000</x:v>
      </x:c>
      <x:c r="N310" s="133" t="n">
        <x:f>-PMT(K310/12,'Assumptions'!$B$35*12,M310)*12</x:f>
        <x:v>172095.21928303</x:v>
      </x:c>
      <x:c r="O310" s="133" t="n">
        <x:f>(L310*(1+'Assumptions'!$B$29)^('Assumptions'!$B$14/12)/J310)*(1-'Assumptions'!$B$42)-'Debt Schedule'!$F$9</x:f>
        <x:v>3387849.5641140155</x:v>
      </x:c>
      <x:c r="P310" s="132" t="n">
        <x:f>((O310+(L310-N310-'Assumptions'!$B$27-'Assumptions'!$B$28)*('Assumptions'!$B$14/12))/ABS('Monthly Cash Flow'!$S$5))^(1/('Assumptions'!$B$14/12))-1</x:f>
        <x:v>0.20530322265885292</x:v>
      </x:c>
      <x:c r="Q310" s="133" t="n">
        <x:f>-ABS('Monthly Cash Flow'!$S$5)+((L310-N310-'Assumptions'!$B$27-'Assumptions'!$B$28)*(1-(1+'Assumptions'!$B$43)^-('Assumptions'!$B$14/12))/'Assumptions'!$B$43)+(O310/(1+'Assumptions'!$B$43)^('Assumptions'!$B$14/12))</x:f>
        <x:v>737130.6490444667</x:v>
      </x:c>
    </x:row>
    <x:row r="311">
      <x:c r="A311" s="131" t="n">
        <x:f>304</x:f>
        <x:v>304</x:v>
      </x:c>
      <x:c r="B311" s="131" t="n">
        <x:f>MOD(ABS(SIN((A311+1)*12.9898+78.233)*43758.5453),1)</x:f>
        <x:v>0.8338499629337548</x:v>
      </x:c>
      <x:c r="C311" s="131" t="n">
        <x:f>MOD(ABS(SIN((A311+2)*12.9898+78.233)*43758.5453),1)</x:f>
        <x:v>0.6776192303550488</x:v>
      </x:c>
      <x:c r="D311" s="131" t="n">
        <x:f>MOD(ABS(SIN((A311+3)*12.9898+78.233)*43758.5453),1)</x:f>
        <x:v>0.09468797735462431</x:v>
      </x:c>
      <x:c r="E311" s="131" t="n">
        <x:f>MOD(ABS(SIN((A311+4)*12.9898+78.233)*43758.5453),1)</x:f>
        <x:v>0.9529513201778173</x:v>
      </x:c>
      <x:c r="F311" s="131" t="n">
        <x:f>MOD(ABS(SIN((A311+5)*12.9898+78.233)*43758.5453),1)</x:f>
        <x:v>0.9313511171203572</x:v>
      </x:c>
      <x:c r="G311" s="132" t="n">
        <x:f>IF(B311&lt;(('Assumptions'!$C$47-'Assumptions'!$B$47)/('Assumptions'!$D$47-'Assumptions'!$B$47)),'Assumptions'!$B$47+SQRT(B311*('Assumptions'!$D$47-'Assumptions'!$B$47)*('Assumptions'!$C$47-'Assumptions'!$B$47)),'Assumptions'!$D$47-SQRT((1-B311)*('Assumptions'!$D$47-'Assumptions'!$B$47)*('Assumptions'!$D$47-'Assumptions'!$C$47)))</x:f>
        <x:v>0.04844032008381042</x:v>
      </x:c>
      <x:c r="H311" s="132" t="n">
        <x:f>IF(C311&lt;(('Assumptions'!$C$48-'Assumptions'!$B$48)/('Assumptions'!$D$48-'Assumptions'!$B$48)),'Assumptions'!$B$48+SQRT(C311*('Assumptions'!$D$48-'Assumptions'!$B$48)*('Assumptions'!$C$48-'Assumptions'!$B$48)),'Assumptions'!$D$48-SQRT((1-C311)*('Assumptions'!$D$48-'Assumptions'!$B$48)*('Assumptions'!$D$48-'Assumptions'!$C$48)))</x:f>
        <x:v>0.08673696616906271</x:v>
      </x:c>
      <x:c r="I311" s="132" t="n">
        <x:f>IF(D311&lt;(('Assumptions'!$C$49-'Assumptions'!$B$49)/('Assumptions'!$D$49-'Assumptions'!$B$49)),'Assumptions'!$B$49+SQRT(D311*('Assumptions'!$D$49-'Assumptions'!$B$49)*('Assumptions'!$C$49-'Assumptions'!$B$49)),'Assumptions'!$D$49-SQRT((1-D311)*('Assumptions'!$D$49-'Assumptions'!$B$49)*('Assumptions'!$D$49-'Assumptions'!$C$49)))</x:f>
        <x:v>0.0019785890156201608</x:v>
      </x:c>
      <x:c r="J311" s="132" t="n">
        <x:f>IF(E311&lt;(('Assumptions'!$C$50-'Assumptions'!$B$50)/('Assumptions'!$D$50-'Assumptions'!$B$50)),'Assumptions'!$B$50+SQRT(E311*('Assumptions'!$D$50-'Assumptions'!$B$50)*('Assumptions'!$C$50-'Assumptions'!$B$50)),'Assumptions'!$D$50-SQRT((1-E311)*('Assumptions'!$D$50-'Assumptions'!$B$50)*('Assumptions'!$D$50-'Assumptions'!$C$50)))</x:f>
        <x:v>0.07636235774161493</x:v>
      </x:c>
      <x:c r="K311" s="132" t="n">
        <x:f>IF(F311&lt;(('Assumptions'!$C$51-'Assumptions'!$B$51)/('Assumptions'!$D$51-'Assumptions'!$B$51)),'Assumptions'!$B$51+SQRT(F311*('Assumptions'!$D$51-'Assumptions'!$B$51)*('Assumptions'!$C$51-'Assumptions'!$B$51)),'Assumptions'!$D$51-SQRT((1-F311)*('Assumptions'!$D$51-'Assumptions'!$B$51)*('Assumptions'!$D$51-'Assumptions'!$C$51)))</x:f>
        <x:v>0.07925219390673033</x:v>
      </x:c>
      <x:c r="L311" s="133" t="n">
        <x:f>(('Assumptions'!$B$17*(1+G311)+'Assumptions'!$B$18)*(1-H311-'Assumptions'!$B$20)-SUM('Assumptions'!$B$21:$B$25)*(1+I311))-(('Assumptions'!$B$17*(1+G311)+'Assumptions'!$B$18)*(1-H311-'Assumptions'!$B$20)*'Assumptions'!$B$26)</x:f>
        <x:v>216648.29102602185</x:v>
      </x:c>
      <x:c r="M311" s="133" t="n">
        <x:f>'Assumptions'!$B$10*'Assumptions'!$B$33</x:f>
        <x:v>1950000</x:v>
      </x:c>
      <x:c r="N311" s="133" t="n">
        <x:f>-PMT(K311/12,'Assumptions'!$B$35*12,M311)*12</x:f>
        <x:v>170482.61633436327</x:v>
      </x:c>
      <x:c r="O311" s="133" t="n">
        <x:f>(L311*(1+'Assumptions'!$B$29)^('Assumptions'!$B$14/12)/J311)*(1-'Assumptions'!$B$42)-'Debt Schedule'!$F$9</x:f>
        <x:v>3091647.1045201593</x:v>
      </x:c>
      <x:c r="P311" s="132" t="n">
        <x:f>((O311+(L311-N311-'Assumptions'!$B$27-'Assumptions'!$B$28)*('Assumptions'!$B$14/12))/ABS('Monthly Cash Flow'!$S$5))^(1/('Assumptions'!$B$14/12))-1</x:f>
        <x:v>0.1925576875204884</x:v>
      </x:c>
      <x:c r="Q311" s="133" t="n">
        <x:f>-ABS('Monthly Cash Flow'!$S$5)+((L311-N311-'Assumptions'!$B$27-'Assumptions'!$B$28)*(1-(1+'Assumptions'!$B$43)^-('Assumptions'!$B$14/12))/'Assumptions'!$B$43)+(O311/(1+'Assumptions'!$B$43)^('Assumptions'!$B$14/12))</x:f>
        <x:v>648542.3686162787</x:v>
      </x:c>
    </x:row>
    <x:row r="312">
      <x:c r="A312" s="131" t="n">
        <x:f>305</x:f>
        <x:v>305</x:v>
      </x:c>
      <x:c r="B312" s="131" t="n">
        <x:f>MOD(ABS(SIN((A312+1)*12.9898+78.233)*43758.5453),1)</x:f>
        <x:v>0.6776192303550488</x:v>
      </x:c>
      <x:c r="C312" s="131" t="n">
        <x:f>MOD(ABS(SIN((A312+2)*12.9898+78.233)*43758.5453),1)</x:f>
        <x:v>0.09468797735462431</x:v>
      </x:c>
      <x:c r="D312" s="131" t="n">
        <x:f>MOD(ABS(SIN((A312+3)*12.9898+78.233)*43758.5453),1)</x:f>
        <x:v>0.9529513201778173</x:v>
      </x:c>
      <x:c r="E312" s="131" t="n">
        <x:f>MOD(ABS(SIN((A312+4)*12.9898+78.233)*43758.5453),1)</x:f>
        <x:v>0.9313511171203572</x:v>
      </x:c>
      <x:c r="F312" s="131" t="n">
        <x:f>MOD(ABS(SIN((A312+5)*12.9898+78.233)*43758.5453),1)</x:f>
        <x:v>0.6378186104702763</x:v>
      </x:c>
      <x:c r="G312" s="132" t="n">
        <x:f>IF(B312&lt;(('Assumptions'!$C$47-'Assumptions'!$B$47)/('Assumptions'!$D$47-'Assumptions'!$B$47)),'Assumptions'!$B$47+SQRT(B312*('Assumptions'!$D$47-'Assumptions'!$B$47)*('Assumptions'!$C$47-'Assumptions'!$B$47)),'Assumptions'!$D$47-SQRT((1-B312)*('Assumptions'!$D$47-'Assumptions'!$B$47)*('Assumptions'!$D$47-'Assumptions'!$C$47)))</x:f>
        <x:v>0.028180139833614143</x:v>
      </x:c>
      <x:c r="H312" s="132" t="n">
        <x:f>IF(C312&lt;(('Assumptions'!$C$48-'Assumptions'!$B$48)/('Assumptions'!$D$48-'Assumptions'!$B$48)),'Assumptions'!$B$48+SQRT(C312*('Assumptions'!$D$48-'Assumptions'!$B$48)*('Assumptions'!$C$48-'Assumptions'!$B$48)),'Assumptions'!$D$48-SQRT((1-C312)*('Assumptions'!$D$48-'Assumptions'!$B$48)*('Assumptions'!$D$48-'Assumptions'!$C$48)))</x:f>
        <x:v>0.047676830181632116</x:v>
      </x:c>
      <x:c r="I312" s="132" t="n">
        <x:f>IF(D312&lt;(('Assumptions'!$C$49-'Assumptions'!$B$49)/('Assumptions'!$D$49-'Assumptions'!$B$49)),'Assumptions'!$B$49+SQRT(D312*('Assumptions'!$D$49-'Assumptions'!$B$49)*('Assumptions'!$C$49-'Assumptions'!$B$49)),'Assumptions'!$D$49-SQRT((1-D312)*('Assumptions'!$D$49-'Assumptions'!$B$49)*('Assumptions'!$D$49-'Assumptions'!$C$49)))</x:f>
        <x:v>0.11812130046317529</x:v>
      </x:c>
      <x:c r="J312" s="132" t="n">
        <x:f>IF(E312&lt;(('Assumptions'!$C$50-'Assumptions'!$B$50)/('Assumptions'!$D$50-'Assumptions'!$B$50)),'Assumptions'!$B$50+SQRT(E312*('Assumptions'!$D$50-'Assumptions'!$B$50)*('Assumptions'!$C$50-'Assumptions'!$B$50)),'Assumptions'!$D$50-SQRT((1-E312)*('Assumptions'!$D$50-'Assumptions'!$B$50)*('Assumptions'!$D$50-'Assumptions'!$C$50)))</x:f>
        <x:v>0.07560597015145555</x:v>
      </x:c>
      <x:c r="K312" s="132" t="n">
        <x:f>IF(F312&lt;(('Assumptions'!$C$51-'Assumptions'!$B$51)/('Assumptions'!$D$51-'Assumptions'!$B$51)),'Assumptions'!$B$51+SQRT(F312*('Assumptions'!$D$51-'Assumptions'!$B$51)*('Assumptions'!$C$51-'Assumptions'!$B$51)),'Assumptions'!$D$51-SQRT((1-F312)*('Assumptions'!$D$51-'Assumptions'!$B$51)*('Assumptions'!$D$51-'Assumptions'!$C$51)))</x:f>
        <x:v>0.07179773528097624</x:v>
      </x:c>
      <x:c r="L312" s="133" t="n">
        <x:f>(('Assumptions'!$B$17*(1+G312)+'Assumptions'!$B$18)*(1-H312-'Assumptions'!$B$20)-SUM('Assumptions'!$B$21:$B$25)*(1+I312))-(('Assumptions'!$B$17*(1+G312)+'Assumptions'!$B$18)*(1-H312-'Assumptions'!$B$20)*'Assumptions'!$B$26)</x:f>
        <x:v>210244.28643395356</x:v>
      </x:c>
      <x:c r="M312" s="133" t="n">
        <x:f>'Assumptions'!$B$10*'Assumptions'!$B$33</x:f>
        <x:v>1950000</x:v>
      </x:c>
      <x:c r="N312" s="133" t="n">
        <x:f>-PMT(K312/12,'Assumptions'!$B$35*12,M312)*12</x:f>
        <x:v>158516.16600027363</x:v>
      </x:c>
      <x:c r="O312" s="133" t="n">
        <x:f>(L312*(1+'Assumptions'!$B$29)^('Assumptions'!$B$14/12)/J312)*(1-'Assumptions'!$B$42)-'Debt Schedule'!$F$9</x:f>
        <x:v>3030275.321402244</x:v>
      </x:c>
      <x:c r="P312" s="132" t="n">
        <x:f>((O312+(L312-N312-'Assumptions'!$B$27-'Assumptions'!$B$28)*('Assumptions'!$B$14/12))/ABS('Monthly Cash Flow'!$S$5))^(1/('Assumptions'!$B$14/12))-1</x:f>
        <x:v>0.1899831353753687</x:v>
      </x:c>
      <x:c r="Q312" s="133" t="n">
        <x:f>-ABS('Monthly Cash Flow'!$S$5)+((L312-N312-'Assumptions'!$B$27-'Assumptions'!$B$28)*(1-(1+'Assumptions'!$B$43)^-('Assumptions'!$B$14/12))/'Assumptions'!$B$43)+(O312/(1+'Assumptions'!$B$43)^('Assumptions'!$B$14/12))</x:f>
        <x:v>631521.3655686099</x:v>
      </x:c>
    </x:row>
    <x:row r="313">
      <x:c r="A313" s="131" t="n">
        <x:f>306</x:f>
        <x:v>306</x:v>
      </x:c>
      <x:c r="B313" s="131" t="n">
        <x:f>MOD(ABS(SIN((A313+1)*12.9898+78.233)*43758.5453),1)</x:f>
        <x:v>0.09468797735462431</x:v>
      </x:c>
      <x:c r="C313" s="131" t="n">
        <x:f>MOD(ABS(SIN((A313+2)*12.9898+78.233)*43758.5453),1)</x:f>
        <x:v>0.9529513201778173</x:v>
      </x:c>
      <x:c r="D313" s="131" t="n">
        <x:f>MOD(ABS(SIN((A313+3)*12.9898+78.233)*43758.5453),1)</x:f>
        <x:v>0.9313511171203572</x:v>
      </x:c>
      <x:c r="E313" s="131" t="n">
        <x:f>MOD(ABS(SIN((A313+4)*12.9898+78.233)*43758.5453),1)</x:f>
        <x:v>0.6378186104702763</x:v>
      </x:c>
      <x:c r="F313" s="131" t="n">
        <x:f>MOD(ABS(SIN((A313+5)*12.9898+78.233)*43758.5453),1)</x:f>
        <x:v>0.1185920089337742</x:v>
      </x:c>
      <x:c r="G313" s="132" t="n">
        <x:f>IF(B313&lt;(('Assumptions'!$C$47-'Assumptions'!$B$47)/('Assumptions'!$D$47-'Assumptions'!$B$47)),'Assumptions'!$B$47+SQRT(B313*('Assumptions'!$D$47-'Assumptions'!$B$47)*('Assumptions'!$C$47-'Assumptions'!$B$47)),'Assumptions'!$D$47-SQRT((1-B313)*('Assumptions'!$D$47-'Assumptions'!$B$47)*('Assumptions'!$D$47-'Assumptions'!$C$47)))</x:f>
        <x:v>-0.052329134091030155</x:v>
      </x:c>
      <x:c r="H313" s="132" t="n">
        <x:f>IF(C313&lt;(('Assumptions'!$C$48-'Assumptions'!$B$48)/('Assumptions'!$D$48-'Assumptions'!$B$48)),'Assumptions'!$B$48+SQRT(C313*('Assumptions'!$D$48-'Assumptions'!$B$48)*('Assumptions'!$C$48-'Assumptions'!$B$48)),'Assumptions'!$D$48-SQRT((1-C313)*('Assumptions'!$D$48-'Assumptions'!$B$48)*('Assumptions'!$D$48-'Assumptions'!$C$48)))</x:f>
        <x:v>0.11965231260228308</x:v>
      </x:c>
      <x:c r="I313" s="132" t="n">
        <x:f>IF(D313&lt;(('Assumptions'!$C$49-'Assumptions'!$B$49)/('Assumptions'!$D$49-'Assumptions'!$B$49)),'Assumptions'!$B$49+SQRT(D313*('Assumptions'!$D$49-'Assumptions'!$B$49)*('Assumptions'!$C$49-'Assumptions'!$B$49)),'Assumptions'!$D$49-SQRT((1-D313)*('Assumptions'!$D$49-'Assumptions'!$B$49)*('Assumptions'!$D$49-'Assumptions'!$C$49)))</x:f>
        <x:v>0.11149265173761916</x:v>
      </x:c>
      <x:c r="J313" s="132" t="n">
        <x:f>IF(E313&lt;(('Assumptions'!$C$50-'Assumptions'!$B$50)/('Assumptions'!$D$50-'Assumptions'!$B$50)),'Assumptions'!$B$50+SQRT(E313*('Assumptions'!$D$50-'Assumptions'!$B$50)*('Assumptions'!$C$50-'Assumptions'!$B$50)),'Assumptions'!$D$50-SQRT((1-E313)*('Assumptions'!$D$50-'Assumptions'!$B$50)*('Assumptions'!$D$50-'Assumptions'!$C$50)))</x:f>
        <x:v>0.06990725429800024</x:v>
      </x:c>
      <x:c r="K313" s="132" t="n">
        <x:f>IF(F313&lt;(('Assumptions'!$C$51-'Assumptions'!$B$51)/('Assumptions'!$D$51-'Assumptions'!$B$51)),'Assumptions'!$B$51+SQRT(F313*('Assumptions'!$D$51-'Assumptions'!$B$51)*('Assumptions'!$C$51-'Assumptions'!$B$51)),'Assumptions'!$D$51-SQRT((1-F313)*('Assumptions'!$D$51-'Assumptions'!$B$51)*('Assumptions'!$D$51-'Assumptions'!$C$51)))</x:f>
        <x:v>0.06321076198565374</x:v>
      </x:c>
      <x:c r="L313" s="133" t="n">
        <x:f>(('Assumptions'!$B$17*(1+G313)+'Assumptions'!$B$18)*(1-H313-'Assumptions'!$B$20)-SUM('Assumptions'!$B$21:$B$25)*(1+I313))-(('Assumptions'!$B$17*(1+G313)+'Assumptions'!$B$18)*(1-H313-'Assumptions'!$B$20)*'Assumptions'!$B$26)</x:f>
        <x:v>160043.5013697594</x:v>
      </x:c>
      <x:c r="M313" s="133" t="n">
        <x:f>'Assumptions'!$B$10*'Assumptions'!$B$33</x:f>
        <x:v>1950000</x:v>
      </x:c>
      <x:c r="N313" s="133" t="n">
        <x:f>-PMT(K313/12,'Assumptions'!$B$35*12,M313)*12</x:f>
        <x:v>145161.26719885497</x:v>
      </x:c>
      <x:c r="O313" s="133" t="n">
        <x:f>(L313*(1+'Assumptions'!$B$29)^('Assumptions'!$B$14/12)/J313)*(1-'Assumptions'!$B$42)-'Debt Schedule'!$F$9</x:f>
        <x:v>2494765.7683826103</x:v>
      </x:c>
      <x:c r="P313" s="132" t="n">
        <x:f>((O313+(L313-N313-'Assumptions'!$B$27-'Assumptions'!$B$28)*('Assumptions'!$B$14/12))/ABS('Monthly Cash Flow'!$S$5))^(1/('Assumptions'!$B$14/12))-1</x:f>
        <x:v>0.12849356874677254</x:v>
      </x:c>
      <x:c r="Q313" s="133" t="n">
        <x:f>-ABS('Monthly Cash Flow'!$S$5)+((L313-N313-'Assumptions'!$B$27-'Assumptions'!$B$28)*(1-(1+'Assumptions'!$B$43)^-('Assumptions'!$B$14/12))/'Assumptions'!$B$43)+(O313/(1+'Assumptions'!$B$43)^('Assumptions'!$B$14/12))</x:f>
        <x:v>159337.16724478453</x:v>
      </x:c>
    </x:row>
    <x:row r="314">
      <x:c r="A314" s="131" t="n">
        <x:f>307</x:f>
        <x:v>307</x:v>
      </x:c>
      <x:c r="B314" s="131" t="n">
        <x:f>MOD(ABS(SIN((A314+1)*12.9898+78.233)*43758.5453),1)</x:f>
        <x:v>0.9529513201778173</x:v>
      </x:c>
      <x:c r="C314" s="131" t="n">
        <x:f>MOD(ABS(SIN((A314+2)*12.9898+78.233)*43758.5453),1)</x:f>
        <x:v>0.9313511171203572</x:v>
      </x:c>
      <x:c r="D314" s="131" t="n">
        <x:f>MOD(ABS(SIN((A314+3)*12.9898+78.233)*43758.5453),1)</x:f>
        <x:v>0.6378186104702763</x:v>
      </x:c>
      <x:c r="E314" s="131" t="n">
        <x:f>MOD(ABS(SIN((A314+4)*12.9898+78.233)*43758.5453),1)</x:f>
        <x:v>0.1185920089337742</x:v>
      </x:c>
      <x:c r="F314" s="131" t="n">
        <x:f>MOD(ABS(SIN((A314+5)*12.9898+78.233)*43758.5453),1)</x:f>
        <x:v>0.19343142211164377</x:v>
      </x:c>
      <x:c r="G314" s="132" t="n">
        <x:f>IF(B314&lt;(('Assumptions'!$C$47-'Assumptions'!$B$47)/('Assumptions'!$D$47-'Assumptions'!$B$47)),'Assumptions'!$B$47+SQRT(B314*('Assumptions'!$D$47-'Assumptions'!$B$47)*('Assumptions'!$C$47-'Assumptions'!$B$47)),'Assumptions'!$D$47-SQRT((1-B314)*('Assumptions'!$D$47-'Assumptions'!$B$47)*('Assumptions'!$D$47-'Assumptions'!$C$47)))</x:f>
        <x:v>0.07256318391002842</x:v>
      </x:c>
      <x:c r="H314" s="132" t="n">
        <x:f>IF(C314&lt;(('Assumptions'!$C$48-'Assumptions'!$B$48)/('Assumptions'!$D$48-'Assumptions'!$B$48)),'Assumptions'!$B$48+SQRT(C314*('Assumptions'!$D$48-'Assumptions'!$B$48)*('Assumptions'!$C$48-'Assumptions'!$B$48)),'Assumptions'!$D$48-SQRT((1-C314)*('Assumptions'!$D$48-'Assumptions'!$B$48)*('Assumptions'!$D$48-'Assumptions'!$C$48)))</x:f>
        <x:v>0.11542134728385513</x:v>
      </x:c>
      <x:c r="I314" s="132" t="n">
        <x:f>IF(D314&lt;(('Assumptions'!$C$49-'Assumptions'!$B$49)/('Assumptions'!$D$49-'Assumptions'!$B$49)),'Assumptions'!$B$49+SQRT(D314*('Assumptions'!$D$49-'Assumptions'!$B$49)*('Assumptions'!$C$49-'Assumptions'!$B$49)),'Assumptions'!$D$49-SQRT((1-D314)*('Assumptions'!$D$49-'Assumptions'!$B$49)*('Assumptions'!$D$49-'Assumptions'!$C$49)))</x:f>
        <x:v>0.06155160818962263</x:v>
      </x:c>
      <x:c r="J314" s="132" t="n">
        <x:f>IF(E314&lt;(('Assumptions'!$C$50-'Assumptions'!$B$50)/('Assumptions'!$D$50-'Assumptions'!$B$50)),'Assumptions'!$B$50+SQRT(E314*('Assumptions'!$D$50-'Assumptions'!$B$50)*('Assumptions'!$C$50-'Assumptions'!$B$50)),'Assumptions'!$D$50-SQRT((1-E314)*('Assumptions'!$D$50-'Assumptions'!$B$50)*('Assumptions'!$D$50-'Assumptions'!$C$50)))</x:f>
        <x:v>0.06266557857457412</x:v>
      </x:c>
      <x:c r="K314" s="132" t="n">
        <x:f>IF(F314&lt;(('Assumptions'!$C$51-'Assumptions'!$B$51)/('Assumptions'!$D$51-'Assumptions'!$B$51)),'Assumptions'!$B$51+SQRT(F314*('Assumptions'!$D$51-'Assumptions'!$B$51)*('Assumptions'!$C$51-'Assumptions'!$B$51)),'Assumptions'!$D$51-SQRT((1-F314)*('Assumptions'!$D$51-'Assumptions'!$B$51)*('Assumptions'!$D$51-'Assumptions'!$C$51)))</x:f>
        <x:v>0.06479339708782554</x:v>
      </x:c>
      <x:c r="L314" s="133" t="n">
        <x:f>(('Assumptions'!$B$17*(1+G314)+'Assumptions'!$B$18)*(1-H314-'Assumptions'!$B$20)-SUM('Assumptions'!$B$21:$B$25)*(1+I314))-(('Assumptions'!$B$17*(1+G314)+'Assumptions'!$B$18)*(1-H314-'Assumptions'!$B$20)*'Assumptions'!$B$26)</x:f>
        <x:v>205544.13920189982</x:v>
      </x:c>
      <x:c r="M314" s="133" t="n">
        <x:f>'Assumptions'!$B$10*'Assumptions'!$B$33</x:f>
        <x:v>1950000</x:v>
      </x:c>
      <x:c r="N314" s="133" t="n">
        <x:f>-PMT(K314/12,'Assumptions'!$B$35*12,M314)*12</x:f>
        <x:v>147586.11908175272</x:v>
      </x:c>
      <x:c r="O314" s="133" t="n">
        <x:f>(L314*(1+'Assumptions'!$B$29)^('Assumptions'!$B$14/12)/J314)*(1-'Assumptions'!$B$42)-'Debt Schedule'!$F$9</x:f>
        <x:v>3574291.936560654</x:v>
      </x:c>
      <x:c r="P314" s="132" t="n">
        <x:f>((O314+(L314-N314-'Assumptions'!$B$27-'Assumptions'!$B$28)*('Assumptions'!$B$14/12))/ABS('Monthly Cash Flow'!$S$5))^(1/('Assumptions'!$B$14/12))-1</x:f>
        <x:v>0.23132480043519243</x:v>
      </x:c>
      <x:c r="Q314" s="133" t="n">
        <x:f>-ABS('Monthly Cash Flow'!$S$5)+((L314-N314-'Assumptions'!$B$27-'Assumptions'!$B$28)*(1-(1+'Assumptions'!$B$43)^-('Assumptions'!$B$14/12))/'Assumptions'!$B$43)+(O314/(1+'Assumptions'!$B$43)^('Assumptions'!$B$14/12))</x:f>
        <x:v>992929.1033251351</x:v>
      </x:c>
    </x:row>
    <x:row r="315">
      <x:c r="A315" s="131" t="n">
        <x:f>308</x:f>
        <x:v>308</x:v>
      </x:c>
      <x:c r="B315" s="131" t="n">
        <x:f>MOD(ABS(SIN((A315+1)*12.9898+78.233)*43758.5453),1)</x:f>
        <x:v>0.9313511171203572</x:v>
      </x:c>
      <x:c r="C315" s="131" t="n">
        <x:f>MOD(ABS(SIN((A315+2)*12.9898+78.233)*43758.5453),1)</x:f>
        <x:v>0.6378186104702763</x:v>
      </x:c>
      <x:c r="D315" s="131" t="n">
        <x:f>MOD(ABS(SIN((A315+3)*12.9898+78.233)*43758.5453),1)</x:f>
        <x:v>0.1185920089337742</x:v>
      </x:c>
      <x:c r="E315" s="131" t="n">
        <x:f>MOD(ABS(SIN((A315+4)*12.9898+78.233)*43758.5453),1)</x:f>
        <x:v>0.19343142211164377</x:v>
      </x:c>
      <x:c r="F315" s="131" t="n">
        <x:f>MOD(ABS(SIN((A315+5)*12.9898+78.233)*43758.5453),1)</x:f>
        <x:v>0.8801531789031287</x:v>
      </x:c>
      <x:c r="G315" s="132" t="n">
        <x:f>IF(B315&lt;(('Assumptions'!$C$47-'Assumptions'!$B$47)/('Assumptions'!$D$47-'Assumptions'!$B$47)),'Assumptions'!$B$47+SQRT(B315*('Assumptions'!$D$47-'Assumptions'!$B$47)*('Assumptions'!$C$47-'Assumptions'!$B$47)),'Assumptions'!$D$47-SQRT((1-B315)*('Assumptions'!$D$47-'Assumptions'!$B$47)*('Assumptions'!$D$47-'Assumptions'!$C$47)))</x:f>
        <x:v>0.06685815143848665</x:v>
      </x:c>
      <x:c r="H315" s="132" t="n">
        <x:f>IF(C315&lt;(('Assumptions'!$C$48-'Assumptions'!$B$48)/('Assumptions'!$D$48-'Assumptions'!$B$48)),'Assumptions'!$B$48+SQRT(C315*('Assumptions'!$D$48-'Assumptions'!$B$48)*('Assumptions'!$C$48-'Assumptions'!$B$48)),'Assumptions'!$D$48-SQRT((1-C315)*('Assumptions'!$D$48-'Assumptions'!$B$48)*('Assumptions'!$D$48-'Assumptions'!$C$48)))</x:f>
        <x:v>0.083544741362194</x:v>
      </x:c>
      <x:c r="I315" s="132" t="n">
        <x:f>IF(D315&lt;(('Assumptions'!$C$49-'Assumptions'!$B$49)/('Assumptions'!$D$49-'Assumptions'!$B$49)),'Assumptions'!$B$49+SQRT(D315*('Assumptions'!$D$49-'Assumptions'!$B$49)*('Assumptions'!$C$49-'Assumptions'!$B$49)),'Assumptions'!$D$49-SQRT((1-D315)*('Assumptions'!$D$49-'Assumptions'!$B$49)*('Assumptions'!$D$49-'Assumptions'!$C$49)))</x:f>
        <x:v>0.0057881781666063795</x:v>
      </x:c>
      <x:c r="J315" s="132" t="n">
        <x:f>IF(E315&lt;(('Assumptions'!$C$50-'Assumptions'!$B$50)/('Assumptions'!$D$50-'Assumptions'!$B$50)),'Assumptions'!$B$50+SQRT(E315*('Assumptions'!$D$50-'Assumptions'!$B$50)*('Assumptions'!$C$50-'Assumptions'!$B$50)),'Assumptions'!$D$50-SQRT((1-E315)*('Assumptions'!$D$50-'Assumptions'!$B$50)*('Assumptions'!$D$50-'Assumptions'!$C$50)))</x:f>
        <x:v>0.06409712588746948</x:v>
      </x:c>
      <x:c r="K315" s="132" t="n">
        <x:f>IF(F315&lt;(('Assumptions'!$C$51-'Assumptions'!$B$51)/('Assumptions'!$D$51-'Assumptions'!$B$51)),'Assumptions'!$B$51+SQRT(F315*('Assumptions'!$D$51-'Assumptions'!$B$51)*('Assumptions'!$C$51-'Assumptions'!$B$51)),'Assumptions'!$D$51-SQRT((1-F315)*('Assumptions'!$D$51-'Assumptions'!$B$51)*('Assumptions'!$D$51-'Assumptions'!$C$51)))</x:f>
        <x:v>0.07740550971737607</x:v>
      </x:c>
      <x:c r="L315" s="133" t="n">
        <x:f>(('Assumptions'!$B$17*(1+G315)+'Assumptions'!$B$18)*(1-H315-'Assumptions'!$B$20)-SUM('Assumptions'!$B$21:$B$25)*(1+I315))-(('Assumptions'!$B$17*(1+G315)+'Assumptions'!$B$18)*(1-H315-'Assumptions'!$B$20)*'Assumptions'!$B$26)</x:f>
        <x:v>223149.88957847274</x:v>
      </x:c>
      <x:c r="M315" s="133" t="n">
        <x:f>'Assumptions'!$B$10*'Assumptions'!$B$33</x:f>
        <x:v>1950000</x:v>
      </x:c>
      <x:c r="N315" s="133" t="n">
        <x:f>-PMT(K315/12,'Assumptions'!$B$35*12,M315)*12</x:f>
        <x:v>167487.69867211173</x:v>
      </x:c>
      <x:c r="O315" s="133" t="n">
        <x:f>(L315*(1+'Assumptions'!$B$29)^('Assumptions'!$B$14/12)/J315)*(1-'Assumptions'!$B$42)-'Debt Schedule'!$F$9</x:f>
        <x:v>3793779.6025031344</x:v>
      </x:c>
      <x:c r="P315" s="132" t="n">
        <x:f>((O315+(L315-N315-'Assumptions'!$B$27-'Assumptions'!$B$28)*('Assumptions'!$B$14/12))/ABS('Monthly Cash Flow'!$S$5))^(1/('Assumptions'!$B$14/12))-1</x:f>
        <x:v>0.2449981043674352</x:v>
      </x:c>
      <x:c r="Q315" s="133" t="n">
        <x:f>-ABS('Monthly Cash Flow'!$S$5)+((L315-N315-'Assumptions'!$B$27-'Assumptions'!$B$28)*(1-(1+'Assumptions'!$B$43)^-('Assumptions'!$B$14/12))/'Assumptions'!$B$43)+(O315/(1+'Assumptions'!$B$43)^('Assumptions'!$B$14/12))</x:f>
        <x:v>1120510.6762488638</x:v>
      </x:c>
    </x:row>
    <x:row r="316">
      <x:c r="A316" s="131" t="n">
        <x:f>309</x:f>
        <x:v>309</x:v>
      </x:c>
      <x:c r="B316" s="131" t="n">
        <x:f>MOD(ABS(SIN((A316+1)*12.9898+78.233)*43758.5453),1)</x:f>
        <x:v>0.6378186104702763</x:v>
      </x:c>
      <x:c r="C316" s="131" t="n">
        <x:f>MOD(ABS(SIN((A316+2)*12.9898+78.233)*43758.5453),1)</x:f>
        <x:v>0.1185920089337742</x:v>
      </x:c>
      <x:c r="D316" s="131" t="n">
        <x:f>MOD(ABS(SIN((A316+3)*12.9898+78.233)*43758.5453),1)</x:f>
        <x:v>0.19343142211164377</x:v>
      </x:c>
      <x:c r="E316" s="131" t="n">
        <x:f>MOD(ABS(SIN((A316+4)*12.9898+78.233)*43758.5453),1)</x:f>
        <x:v>0.8801531789031287</x:v>
      </x:c>
      <x:c r="F316" s="131" t="n">
        <x:f>MOD(ABS(SIN((A316+5)*12.9898+78.233)*43758.5453),1)</x:f>
        <x:v>0.2894818169006612</x:v>
      </x:c>
      <x:c r="G316" s="132" t="n">
        <x:f>IF(B316&lt;(('Assumptions'!$C$47-'Assumptions'!$B$47)/('Assumptions'!$D$47-'Assumptions'!$B$47)),'Assumptions'!$B$47+SQRT(B316*('Assumptions'!$D$47-'Assumptions'!$B$47)*('Assumptions'!$C$47-'Assumptions'!$B$47)),'Assumptions'!$D$47-SQRT((1-B316)*('Assumptions'!$D$47-'Assumptions'!$B$47)*('Assumptions'!$D$47-'Assumptions'!$C$47)))</x:f>
        <x:v>0.02387574478212888</x:v>
      </x:c>
      <x:c r="H316" s="132" t="n">
        <x:f>IF(C316&lt;(('Assumptions'!$C$48-'Assumptions'!$B$48)/('Assumptions'!$D$48-'Assumptions'!$B$48)),'Assumptions'!$B$48+SQRT(C316*('Assumptions'!$D$48-'Assumptions'!$B$48)*('Assumptions'!$C$48-'Assumptions'!$B$48)),'Assumptions'!$D$48-SQRT((1-C316)*('Assumptions'!$D$48-'Assumptions'!$B$48)*('Assumptions'!$D$48-'Assumptions'!$C$48)))</x:f>
        <x:v>0.04978265981817043</x:v>
      </x:c>
      <x:c r="I316" s="132" t="n">
        <x:f>IF(D316&lt;(('Assumptions'!$C$49-'Assumptions'!$B$49)/('Assumptions'!$D$49-'Assumptions'!$B$49)),'Assumptions'!$B$49+SQRT(D316*('Assumptions'!$D$49-'Assumptions'!$B$49)*('Assumptions'!$C$49-'Assumptions'!$B$49)),'Assumptions'!$D$49-SQRT((1-D316)*('Assumptions'!$D$49-'Assumptions'!$B$49)*('Assumptions'!$D$49-'Assumptions'!$C$49)))</x:f>
        <x:v>0.01570622888410017</x:v>
      </x:c>
      <x:c r="J316" s="132" t="n">
        <x:f>IF(E316&lt;(('Assumptions'!$C$50-'Assumptions'!$B$50)/('Assumptions'!$D$50-'Assumptions'!$B$50)),'Assumptions'!$B$50+SQRT(E316*('Assumptions'!$D$50-'Assumptions'!$B$50)*('Assumptions'!$C$50-'Assumptions'!$B$50)),'Assumptions'!$D$50-SQRT((1-E316)*('Assumptions'!$D$50-'Assumptions'!$B$50)*('Assumptions'!$D$50-'Assumptions'!$C$50)))</x:f>
        <x:v>0.07419423403559057</x:v>
      </x:c>
      <x:c r="K316" s="132" t="n">
        <x:f>IF(F316&lt;(('Assumptions'!$C$51-'Assumptions'!$B$51)/('Assumptions'!$D$51-'Assumptions'!$B$51)),'Assumptions'!$B$51+SQRT(F316*('Assumptions'!$D$51-'Assumptions'!$B$51)*('Assumptions'!$C$51-'Assumptions'!$B$51)),'Assumptions'!$D$51-SQRT((1-F316)*('Assumptions'!$D$51-'Assumptions'!$B$51)*('Assumptions'!$D$51-'Assumptions'!$C$51)))</x:f>
        <x:v>0.06642230349448403</x:v>
      </x:c>
      <x:c r="L316" s="133" t="n">
        <x:f>(('Assumptions'!$B$17*(1+G316)+'Assumptions'!$B$18)*(1-H316-'Assumptions'!$B$20)-SUM('Assumptions'!$B$21:$B$25)*(1+I316))-(('Assumptions'!$B$17*(1+G316)+'Assumptions'!$B$18)*(1-H316-'Assumptions'!$B$20)*'Assumptions'!$B$26)</x:f>
        <x:v>220965.2468919382</x:v>
      </x:c>
      <x:c r="M316" s="133" t="n">
        <x:f>'Assumptions'!$B$10*'Assumptions'!$B$33</x:f>
        <x:v>1950000</x:v>
      </x:c>
      <x:c r="N316" s="133" t="n">
        <x:f>-PMT(K316/12,'Assumptions'!$B$35*12,M316)*12</x:f>
        <x:v>150099.45691785082</x:v>
      </x:c>
      <x:c r="O316" s="133" t="n">
        <x:f>(L316*(1+'Assumptions'!$B$29)^('Assumptions'!$B$14/12)/J316)*(1-'Assumptions'!$B$42)-'Debt Schedule'!$F$9</x:f>
        <x:v>3245396.738040718</x:v>
      </x:c>
      <x:c r="P316" s="132" t="n">
        <x:f>((O316+(L316-N316-'Assumptions'!$B$27-'Assumptions'!$B$28)*('Assumptions'!$B$14/12))/ABS('Monthly Cash Flow'!$S$5))^(1/('Assumptions'!$B$14/12))-1</x:f>
        <x:v>0.2130211253849108</x:v>
      </x:c>
      <x:c r="Q316" s="133" t="n">
        <x:f>-ABS('Monthly Cash Flow'!$S$5)+((L316-N316-'Assumptions'!$B$27-'Assumptions'!$B$28)*(1-(1+'Assumptions'!$B$43)^-('Assumptions'!$B$14/12))/'Assumptions'!$B$43)+(O316/(1+'Assumptions'!$B$43)^('Assumptions'!$B$14/12))</x:f>
        <x:v>837641.6646972187</x:v>
      </x:c>
    </x:row>
    <x:row r="317">
      <x:c r="A317" s="131" t="n">
        <x:f>310</x:f>
        <x:v>310</x:v>
      </x:c>
      <x:c r="B317" s="131" t="n">
        <x:f>MOD(ABS(SIN((A317+1)*12.9898+78.233)*43758.5453),1)</x:f>
        <x:v>0.1185920089337742</x:v>
      </x:c>
      <x:c r="C317" s="131" t="n">
        <x:f>MOD(ABS(SIN((A317+2)*12.9898+78.233)*43758.5453),1)</x:f>
        <x:v>0.19343142211164377</x:v>
      </x:c>
      <x:c r="D317" s="131" t="n">
        <x:f>MOD(ABS(SIN((A317+3)*12.9898+78.233)*43758.5453),1)</x:f>
        <x:v>0.8801531789031287</x:v>
      </x:c>
      <x:c r="E317" s="131" t="n">
        <x:f>MOD(ABS(SIN((A317+4)*12.9898+78.233)*43758.5453),1)</x:f>
        <x:v>0.2894818169006612</x:v>
      </x:c>
      <x:c r="F317" s="131" t="n">
        <x:f>MOD(ABS(SIN((A317+5)*12.9898+78.233)*43758.5453),1)</x:f>
        <x:v>0.09011311607173411</x:v>
      </x:c>
      <x:c r="G317" s="132" t="n">
        <x:f>IF(B317&lt;(('Assumptions'!$C$47-'Assumptions'!$B$47)/('Assumptions'!$D$47-'Assumptions'!$B$47)),'Assumptions'!$B$47+SQRT(B317*('Assumptions'!$D$47-'Assumptions'!$B$47)*('Assumptions'!$C$47-'Assumptions'!$B$47)),'Assumptions'!$D$47-SQRT((1-B317)*('Assumptions'!$D$47-'Assumptions'!$B$47)*('Assumptions'!$D$47-'Assumptions'!$C$47)))</x:f>
        <x:v>-0.04665013388572957</x:v>
      </x:c>
      <x:c r="H317" s="132" t="n">
        <x:f>IF(C317&lt;(('Assumptions'!$C$48-'Assumptions'!$B$48)/('Assumptions'!$D$48-'Assumptions'!$B$48)),'Assumptions'!$B$48+SQRT(C317*('Assumptions'!$D$48-'Assumptions'!$B$48)*('Assumptions'!$C$48-'Assumptions'!$B$48)),'Assumptions'!$D$48-SQRT((1-C317)*('Assumptions'!$D$48-'Assumptions'!$B$48)*('Assumptions'!$D$48-'Assumptions'!$C$48)))</x:f>
        <x:v>0.055265068631777436</x:v>
      </x:c>
      <x:c r="I317" s="132" t="n">
        <x:f>IF(D317&lt;(('Assumptions'!$C$49-'Assumptions'!$B$49)/('Assumptions'!$D$49-'Assumptions'!$B$49)),'Assumptions'!$B$49+SQRT(D317*('Assumptions'!$D$49-'Assumptions'!$B$49)*('Assumptions'!$C$49-'Assumptions'!$B$49)),'Assumptions'!$D$49-SQRT((1-D317)*('Assumptions'!$D$49-'Assumptions'!$B$49)*('Assumptions'!$D$49-'Assumptions'!$C$49)))</x:f>
        <x:v>0.09912081628315544</x:v>
      </x:c>
      <x:c r="J317" s="132" t="n">
        <x:f>IF(E317&lt;(('Assumptions'!$C$50-'Assumptions'!$B$50)/('Assumptions'!$D$50-'Assumptions'!$B$50)),'Assumptions'!$B$50+SQRT(E317*('Assumptions'!$D$50-'Assumptions'!$B$50)*('Assumptions'!$C$50-'Assumptions'!$B$50)),'Assumptions'!$D$50-SQRT((1-E317)*('Assumptions'!$D$50-'Assumptions'!$B$50)*('Assumptions'!$D$50-'Assumptions'!$C$50)))</x:f>
        <x:v>0.06557052717005828</x:v>
      </x:c>
      <x:c r="K317" s="132" t="n">
        <x:f>IF(F317&lt;(('Assumptions'!$C$51-'Assumptions'!$B$51)/('Assumptions'!$D$51-'Assumptions'!$B$51)),'Assumptions'!$B$51+SQRT(F317*('Assumptions'!$D$51-'Assumptions'!$B$51)*('Assumptions'!$C$51-'Assumptions'!$B$51)),'Assumptions'!$D$51-SQRT((1-F317)*('Assumptions'!$D$51-'Assumptions'!$B$51)*('Assumptions'!$D$51-'Assumptions'!$C$51)))</x:f>
        <x:v>0.062478062566875485</x:v>
      </x:c>
      <x:c r="L317" s="133" t="n">
        <x:f>(('Assumptions'!$B$17*(1+G317)+'Assumptions'!$B$18)*(1-H317-'Assumptions'!$B$20)-SUM('Assumptions'!$B$21:$B$25)*(1+I317))-(('Assumptions'!$B$17*(1+G317)+'Assumptions'!$B$18)*(1-H317-'Assumptions'!$B$20)*'Assumptions'!$B$26)</x:f>
        <x:v>185637.32489228688</x:v>
      </x:c>
      <x:c r="M317" s="133" t="n">
        <x:f>'Assumptions'!$B$10*'Assumptions'!$B$33</x:f>
        <x:v>1950000</x:v>
      </x:c>
      <x:c r="N317" s="133" t="n">
        <x:f>-PMT(K317/12,'Assumptions'!$B$35*12,M317)*12</x:f>
        <x:v>144044.44008776726</x:v>
      </x:c>
      <x:c r="O317" s="133" t="n">
        <x:f>(L317*(1+'Assumptions'!$B$29)^('Assumptions'!$B$14/12)/J317)*(1-'Assumptions'!$B$42)-'Debt Schedule'!$F$9</x:f>
        <x:v>3085109.6433491185</x:v>
      </x:c>
      <x:c r="P317" s="132" t="n">
        <x:f>((O317+(L317-N317-'Assumptions'!$B$27-'Assumptions'!$B$28)*('Assumptions'!$B$14/12))/ABS('Monthly Cash Flow'!$S$5))^(1/('Assumptions'!$B$14/12))-1</x:f>
        <x:v>0.19030334213431388</x:v>
      </x:c>
      <x:c r="Q317" s="133" t="n">
        <x:f>-ABS('Monthly Cash Flow'!$S$5)+((L317-N317-'Assumptions'!$B$27-'Assumptions'!$B$28)*(1-(1+'Assumptions'!$B$43)^-('Assumptions'!$B$14/12))/'Assumptions'!$B$43)+(O317/(1+'Assumptions'!$B$43)^('Assumptions'!$B$14/12))</x:f>
        <x:v>627148.648173057</x:v>
      </x:c>
    </x:row>
    <x:row r="318">
      <x:c r="A318" s="131" t="n">
        <x:f>311</x:f>
        <x:v>311</x:v>
      </x:c>
      <x:c r="B318" s="131" t="n">
        <x:f>MOD(ABS(SIN((A318+1)*12.9898+78.233)*43758.5453),1)</x:f>
        <x:v>0.19343142211164377</x:v>
      </x:c>
      <x:c r="C318" s="131" t="n">
        <x:f>MOD(ABS(SIN((A318+2)*12.9898+78.233)*43758.5453),1)</x:f>
        <x:v>0.8801531789031287</x:v>
      </x:c>
      <x:c r="D318" s="131" t="n">
        <x:f>MOD(ABS(SIN((A318+3)*12.9898+78.233)*43758.5453),1)</x:f>
        <x:v>0.2894818169006612</x:v>
      </x:c>
      <x:c r="E318" s="131" t="n">
        <x:f>MOD(ABS(SIN((A318+4)*12.9898+78.233)*43758.5453),1)</x:f>
        <x:v>0.09011311607173411</x:v>
      </x:c>
      <x:c r="F318" s="131" t="n">
        <x:f>MOD(ABS(SIN((A318+5)*12.9898+78.233)*43758.5453),1)</x:f>
        <x:v>0.06317153896088712</x:v>
      </x:c>
      <x:c r="G318" s="132" t="n">
        <x:f>IF(B318&lt;(('Assumptions'!$C$47-'Assumptions'!$B$47)/('Assumptions'!$D$47-'Assumptions'!$B$47)),'Assumptions'!$B$47+SQRT(B318*('Assumptions'!$D$47-'Assumptions'!$B$47)*('Assumptions'!$C$47-'Assumptions'!$B$47)),'Assumptions'!$D$47-SQRT((1-B318)*('Assumptions'!$D$47-'Assumptions'!$B$47)*('Assumptions'!$D$47-'Assumptions'!$C$47)))</x:f>
        <x:v>-0.03186517681332511</x:v>
      </x:c>
      <x:c r="H318" s="132" t="n">
        <x:f>IF(C318&lt;(('Assumptions'!$C$48-'Assumptions'!$B$48)/('Assumptions'!$D$48-'Assumptions'!$B$48)),'Assumptions'!$B$48+SQRT(C318*('Assumptions'!$D$48-'Assumptions'!$B$48)*('Assumptions'!$C$48-'Assumptions'!$B$48)),'Assumptions'!$D$48-SQRT((1-C318)*('Assumptions'!$D$48-'Assumptions'!$B$48)*('Assumptions'!$D$48-'Assumptions'!$C$48)))</x:f>
        <x:v>0.10752459352598544</x:v>
      </x:c>
      <x:c r="I318" s="132" t="n">
        <x:f>IF(D318&lt;(('Assumptions'!$C$49-'Assumptions'!$B$49)/('Assumptions'!$D$49-'Assumptions'!$B$49)),'Assumptions'!$B$49+SQRT(D318*('Assumptions'!$D$49-'Assumptions'!$B$49)*('Assumptions'!$C$49-'Assumptions'!$B$49)),'Assumptions'!$D$49-SQRT((1-D318)*('Assumptions'!$D$49-'Assumptions'!$B$49)*('Assumptions'!$D$49-'Assumptions'!$C$49)))</x:f>
        <x:v>0.02591425240962398</x:v>
      </x:c>
      <x:c r="J318" s="132" t="n">
        <x:f>IF(E318&lt;(('Assumptions'!$C$50-'Assumptions'!$B$50)/('Assumptions'!$D$50-'Assumptions'!$B$50)),'Assumptions'!$B$50+SQRT(E318*('Assumptions'!$D$50-'Assumptions'!$B$50)*('Assumptions'!$C$50-'Assumptions'!$B$50)),'Assumptions'!$D$50-SQRT((1-E318)*('Assumptions'!$D$50-'Assumptions'!$B$50)*('Assumptions'!$D$50-'Assumptions'!$C$50)))</x:f>
        <x:v>0.06200282701379258</x:v>
      </x:c>
      <x:c r="K318" s="132" t="n">
        <x:f>IF(F318&lt;(('Assumptions'!$C$51-'Assumptions'!$B$51)/('Assumptions'!$D$51-'Assumptions'!$B$51)),'Assumptions'!$B$51+SQRT(F318*('Assumptions'!$D$51-'Assumptions'!$B$51)*('Assumptions'!$C$51-'Assumptions'!$B$51)),'Assumptions'!$D$51-SQRT((1-F318)*('Assumptions'!$D$51-'Assumptions'!$B$51)*('Assumptions'!$D$51-'Assumptions'!$C$51)))</x:f>
        <x:v>0.06166799390765437</x:v>
      </x:c>
      <x:c r="L318" s="133" t="n">
        <x:f>(('Assumptions'!$B$17*(1+G318)+'Assumptions'!$B$18)*(1-H318-'Assumptions'!$B$20)-SUM('Assumptions'!$B$21:$B$25)*(1+I318))-(('Assumptions'!$B$17*(1+G318)+'Assumptions'!$B$18)*(1-H318-'Assumptions'!$B$20)*'Assumptions'!$B$26)</x:f>
        <x:v>181249.12652981796</x:v>
      </x:c>
      <x:c r="M318" s="133" t="n">
        <x:f>'Assumptions'!$B$10*'Assumptions'!$B$33</x:f>
        <x:v>1950000</x:v>
      </x:c>
      <x:c r="N318" s="133" t="n">
        <x:f>-PMT(K318/12,'Assumptions'!$B$35*12,M318)*12</x:f>
        <x:v>142813.9922922692</x:v>
      </x:c>
      <x:c r="O318" s="133" t="n">
        <x:f>(L318*(1+'Assumptions'!$B$29)^('Assumptions'!$B$14/12)/J318)*(1-'Assumptions'!$B$42)-'Debt Schedule'!$F$9</x:f>
        <x:v>3185505.856516343</x:v>
      </x:c>
      <x:c r="P318" s="132" t="n">
        <x:f>((O318+(L318-N318-'Assumptions'!$B$27-'Assumptions'!$B$28)*('Assumptions'!$B$14/12))/ABS('Monthly Cash Flow'!$S$5))^(1/('Assumptions'!$B$14/12))-1</x:f>
        <x:v>0.19674511365203085</x:v>
      </x:c>
      <x:c r="Q318" s="133" t="n">
        <x:f>-ABS('Monthly Cash Flow'!$S$5)+((L318-N318-'Assumptions'!$B$27-'Assumptions'!$B$28)*(1-(1+'Assumptions'!$B$43)^-('Assumptions'!$B$14/12))/'Assumptions'!$B$43)+(O318/(1+'Assumptions'!$B$43)^('Assumptions'!$B$14/12))</x:f>
        <x:v>677516.4386126141</x:v>
      </x:c>
    </x:row>
    <x:row r="319">
      <x:c r="A319" s="131" t="n">
        <x:f>312</x:f>
        <x:v>312</x:v>
      </x:c>
      <x:c r="B319" s="131" t="n">
        <x:f>MOD(ABS(SIN((A319+1)*12.9898+78.233)*43758.5453),1)</x:f>
        <x:v>0.8801531789031287</x:v>
      </x:c>
      <x:c r="C319" s="131" t="n">
        <x:f>MOD(ABS(SIN((A319+2)*12.9898+78.233)*43758.5453),1)</x:f>
        <x:v>0.2894818169006612</x:v>
      </x:c>
      <x:c r="D319" s="131" t="n">
        <x:f>MOD(ABS(SIN((A319+3)*12.9898+78.233)*43758.5453),1)</x:f>
        <x:v>0.09011311607173411</x:v>
      </x:c>
      <x:c r="E319" s="131" t="n">
        <x:f>MOD(ABS(SIN((A319+4)*12.9898+78.233)*43758.5453),1)</x:f>
        <x:v>0.06317153896088712</x:v>
      </x:c>
      <x:c r="F319" s="131" t="n">
        <x:f>MOD(ABS(SIN((A319+5)*12.9898+78.233)*43758.5453),1)</x:f>
        <x:v>0.657221325665887</x:v>
      </x:c>
      <x:c r="G319" s="132" t="n">
        <x:f>IF(B319&lt;(('Assumptions'!$C$47-'Assumptions'!$B$47)/('Assumptions'!$D$47-'Assumptions'!$B$47)),'Assumptions'!$B$47+SQRT(B319*('Assumptions'!$D$47-'Assumptions'!$B$47)*('Assumptions'!$C$47-'Assumptions'!$B$47)),'Assumptions'!$D$47-SQRT((1-B319)*('Assumptions'!$D$47-'Assumptions'!$B$47)*('Assumptions'!$D$47-'Assumptions'!$C$47)))</x:f>
        <x:v>0.056210170843562994</x:v>
      </x:c>
      <x:c r="H319" s="132" t="n">
        <x:f>IF(C319&lt;(('Assumptions'!$C$48-'Assumptions'!$B$48)/('Assumptions'!$D$48-'Assumptions'!$B$48)),'Assumptions'!$B$48+SQRT(C319*('Assumptions'!$D$48-'Assumptions'!$B$48)*('Assumptions'!$C$48-'Assumptions'!$B$48)),'Assumptions'!$D$48-SQRT((1-C319)*('Assumptions'!$D$48-'Assumptions'!$B$48)*('Assumptions'!$D$48-'Assumptions'!$C$48)))</x:f>
        <x:v>0.06092686922048564</x:v>
      </x:c>
      <x:c r="I319" s="132" t="n">
        <x:f>IF(D319&lt;(('Assumptions'!$C$49-'Assumptions'!$B$49)/('Assumptions'!$D$49-'Assumptions'!$B$49)),'Assumptions'!$B$49+SQRT(D319*('Assumptions'!$D$49-'Assumptions'!$B$49)*('Assumptions'!$C$49-'Assumptions'!$B$49)),'Assumptions'!$D$49-SQRT((1-D319)*('Assumptions'!$D$49-'Assumptions'!$B$49)*('Assumptions'!$D$49-'Assumptions'!$C$49)))</x:f>
        <x:v>0.0011965006623295554</x:v>
      </x:c>
      <x:c r="J319" s="132" t="n">
        <x:f>IF(E319&lt;(('Assumptions'!$C$50-'Assumptions'!$B$50)/('Assumptions'!$D$50-'Assumptions'!$B$50)),'Assumptions'!$B$50+SQRT(E319*('Assumptions'!$D$50-'Assumptions'!$B$50)*('Assumptions'!$C$50-'Assumptions'!$B$50)),'Assumptions'!$D$50-SQRT((1-E319)*('Assumptions'!$D$50-'Assumptions'!$B$50)*('Assumptions'!$D$50-'Assumptions'!$C$50)))</x:f>
        <x:v>0.061270092341866395</x:v>
      </x:c>
      <x:c r="K319" s="132" t="n">
        <x:f>IF(F319&lt;(('Assumptions'!$C$51-'Assumptions'!$B$51)/('Assumptions'!$D$51-'Assumptions'!$B$51)),'Assumptions'!$B$51+SQRT(F319*('Assumptions'!$D$51-'Assumptions'!$B$51)*('Assumptions'!$C$51-'Assumptions'!$B$51)),'Assumptions'!$D$51-SQRT((1-F319)*('Assumptions'!$D$51-'Assumptions'!$B$51)*('Assumptions'!$D$51-'Assumptions'!$C$51)))</x:f>
        <x:v>0.07215623742732326</x:v>
      </x:c>
      <x:c r="L319" s="133" t="n">
        <x:f>(('Assumptions'!$B$17*(1+G319)+'Assumptions'!$B$18)*(1-H319-'Assumptions'!$B$20)-SUM('Assumptions'!$B$21:$B$25)*(1+I319))-(('Assumptions'!$B$17*(1+G319)+'Assumptions'!$B$18)*(1-H319-'Assumptions'!$B$20)*'Assumptions'!$B$26)</x:f>
        <x:v>229039.6916249728</x:v>
      </x:c>
      <x:c r="M319" s="133" t="n">
        <x:f>'Assumptions'!$B$10*'Assumptions'!$B$33</x:f>
        <x:v>1950000</x:v>
      </x:c>
      <x:c r="N319" s="133" t="n">
        <x:f>-PMT(K319/12,'Assumptions'!$B$35*12,M319)*12</x:f>
        <x:v>159084.00784771217</x:v>
      </x:c>
      <x:c r="O319" s="133" t="n">
        <x:f>(L319*(1+'Assumptions'!$B$29)^('Assumptions'!$B$14/12)/J319)*(1-'Assumptions'!$B$42)-'Debt Schedule'!$F$9</x:f>
        <x:v>4073579.4636098803</x:v>
      </x:c>
      <x:c r="P319" s="132" t="n">
        <x:f>((O319+(L319-N319-'Assumptions'!$B$27-'Assumptions'!$B$28)*('Assumptions'!$B$14/12))/ABS('Monthly Cash Flow'!$S$5))^(1/('Assumptions'!$B$14/12))-1</x:f>
        <x:v>0.26680907533009157</x:v>
      </x:c>
      <x:c r="Q319" s="133" t="n">
        <x:f>-ABS('Monthly Cash Flow'!$S$5)+((L319-N319-'Assumptions'!$B$27-'Assumptions'!$B$28)*(1-(1+'Assumptions'!$B$43)^-('Assumptions'!$B$14/12))/'Assumptions'!$B$43)+(O319/(1+'Assumptions'!$B$43)^('Assumptions'!$B$14/12))</x:f>
        <x:v>1348427.9598626725</x:v>
      </x:c>
    </x:row>
    <x:row r="320">
      <x:c r="A320" s="131" t="n">
        <x:f>313</x:f>
        <x:v>313</x:v>
      </x:c>
      <x:c r="B320" s="131" t="n">
        <x:f>MOD(ABS(SIN((A320+1)*12.9898+78.233)*43758.5453),1)</x:f>
        <x:v>0.2894818169006612</x:v>
      </x:c>
      <x:c r="C320" s="131" t="n">
        <x:f>MOD(ABS(SIN((A320+2)*12.9898+78.233)*43758.5453),1)</x:f>
        <x:v>0.09011311607173411</x:v>
      </x:c>
      <x:c r="D320" s="131" t="n">
        <x:f>MOD(ABS(SIN((A320+3)*12.9898+78.233)*43758.5453),1)</x:f>
        <x:v>0.06317153896088712</x:v>
      </x:c>
      <x:c r="E320" s="131" t="n">
        <x:f>MOD(ABS(SIN((A320+4)*12.9898+78.233)*43758.5453),1)</x:f>
        <x:v>0.657221325665887</x:v>
      </x:c>
      <x:c r="F320" s="131" t="n">
        <x:f>MOD(ABS(SIN((A320+5)*12.9898+78.233)*43758.5453),1)</x:f>
        <x:v>0.20459823322380544</x:v>
      </x:c>
      <x:c r="G320" s="132" t="n">
        <x:f>IF(B320&lt;(('Assumptions'!$C$47-'Assumptions'!$B$47)/('Assumptions'!$D$47-'Assumptions'!$B$47)),'Assumptions'!$B$47+SQRT(B320*('Assumptions'!$D$47-'Assumptions'!$B$47)*('Assumptions'!$C$47-'Assumptions'!$B$47)),'Assumptions'!$D$47-SQRT((1-B320)*('Assumptions'!$D$47-'Assumptions'!$B$47)*('Assumptions'!$D$47-'Assumptions'!$C$47)))</x:f>
        <x:v>-0.016647953800666235</x:v>
      </x:c>
      <x:c r="H320" s="132" t="n">
        <x:f>IF(C320&lt;(('Assumptions'!$C$48-'Assumptions'!$B$48)/('Assumptions'!$D$48-'Assumptions'!$B$48)),'Assumptions'!$B$48+SQRT(C320*('Assumptions'!$D$48-'Assumptions'!$B$48)*('Assumptions'!$C$48-'Assumptions'!$B$48)),'Assumptions'!$D$48-SQRT((1-C320)*('Assumptions'!$D$48-'Assumptions'!$B$48)*('Assumptions'!$D$48-'Assumptions'!$C$48)))</x:f>
        <x:v>0.04724451457817014</x:v>
      </x:c>
      <x:c r="I320" s="132" t="n">
        <x:f>IF(D320&lt;(('Assumptions'!$C$49-'Assumptions'!$B$49)/('Assumptions'!$D$49-'Assumptions'!$B$49)),'Assumptions'!$B$49+SQRT(D320*('Assumptions'!$D$49-'Assumptions'!$B$49)*('Assumptions'!$C$49-'Assumptions'!$B$49)),'Assumptions'!$D$49-SQRT((1-D320)*('Assumptions'!$D$49-'Assumptions'!$B$49)*('Assumptions'!$D$49-'Assumptions'!$C$49)))</x:f>
        <x:v>-0.003880034058644316</x:v>
      </x:c>
      <x:c r="J320" s="132" t="n">
        <x:f>IF(E320&lt;(('Assumptions'!$C$50-'Assumptions'!$B$50)/('Assumptions'!$D$50-'Assumptions'!$B$50)),'Assumptions'!$B$50+SQRT(E320*('Assumptions'!$D$50-'Assumptions'!$B$50)*('Assumptions'!$C$50-'Assumptions'!$B$50)),'Assumptions'!$D$50-SQRT((1-E320)*('Assumptions'!$D$50-'Assumptions'!$B$50)*('Assumptions'!$D$50-'Assumptions'!$C$50)))</x:f>
        <x:v>0.0701813187160154</x:v>
      </x:c>
      <x:c r="K320" s="132" t="n">
        <x:f>IF(F320&lt;(('Assumptions'!$C$51-'Assumptions'!$B$51)/('Assumptions'!$D$51-'Assumptions'!$B$51)),'Assumptions'!$B$51+SQRT(F320*('Assumptions'!$D$51-'Assumptions'!$B$51)*('Assumptions'!$C$51-'Assumptions'!$B$51)),'Assumptions'!$D$51-SQRT((1-F320)*('Assumptions'!$D$51-'Assumptions'!$B$51)*('Assumptions'!$D$51-'Assumptions'!$C$51)))</x:f>
        <x:v>0.06500096754669334</x:v>
      </x:c>
      <x:c r="L320" s="133" t="n">
        <x:f>(('Assumptions'!$B$17*(1+G320)+'Assumptions'!$B$18)*(1-H320-'Assumptions'!$B$20)-SUM('Assumptions'!$B$21:$B$25)*(1+I320))-(('Assumptions'!$B$17*(1+G320)+'Assumptions'!$B$18)*(1-H320-'Assumptions'!$B$20)*'Assumptions'!$B$26)</x:f>
        <x:v>211171.82020191645</x:v>
      </x:c>
      <x:c r="M320" s="133" t="n">
        <x:f>'Assumptions'!$B$10*'Assumptions'!$B$33</x:f>
        <x:v>1950000</x:v>
      </x:c>
      <x:c r="N320" s="133" t="n">
        <x:f>-PMT(K320/12,'Assumptions'!$B$35*12,M320)*12</x:f>
        <x:v>147905.40646060798</x:v>
      </x:c>
      <x:c r="O320" s="133" t="n">
        <x:f>(L320*(1+'Assumptions'!$B$29)^('Assumptions'!$B$14/12)/J320)*(1-'Assumptions'!$B$42)-'Debt Schedule'!$F$9</x:f>
        <x:v>3278901.844677655</x:v>
      </x:c>
      <x:c r="P320" s="132" t="n">
        <x:f>((O320+(L320-N320-'Assumptions'!$B$27-'Assumptions'!$B$28)*('Assumptions'!$B$14/12))/ABS('Monthly Cash Flow'!$S$5))^(1/('Assumptions'!$B$14/12))-1</x:f>
        <x:v>0.21270042308721226</x:v>
      </x:c>
      <x:c r="Q320" s="133" t="n">
        <x:f>-ABS('Monthly Cash Flow'!$S$5)+((L320-N320-'Assumptions'!$B$27-'Assumptions'!$B$28)*(1-(1+'Assumptions'!$B$43)^-('Assumptions'!$B$14/12))/'Assumptions'!$B$43)+(O320/(1+'Assumptions'!$B$43)^('Assumptions'!$B$14/12))</x:f>
        <x:v>829638.0849604886</x:v>
      </x:c>
    </x:row>
    <x:row r="321">
      <x:c r="A321" s="131" t="n">
        <x:f>314</x:f>
        <x:v>314</x:v>
      </x:c>
      <x:c r="B321" s="131" t="n">
        <x:f>MOD(ABS(SIN((A321+1)*12.9898+78.233)*43758.5453),1)</x:f>
        <x:v>0.09011311607173411</x:v>
      </x:c>
      <x:c r="C321" s="131" t="n">
        <x:f>MOD(ABS(SIN((A321+2)*12.9898+78.233)*43758.5453),1)</x:f>
        <x:v>0.06317153896088712</x:v>
      </x:c>
      <x:c r="D321" s="131" t="n">
        <x:f>MOD(ABS(SIN((A321+3)*12.9898+78.233)*43758.5453),1)</x:f>
        <x:v>0.657221325665887</x:v>
      </x:c>
      <x:c r="E321" s="131" t="n">
        <x:f>MOD(ABS(SIN((A321+4)*12.9898+78.233)*43758.5453),1)</x:f>
        <x:v>0.20459823322380544</x:v>
      </x:c>
      <x:c r="F321" s="131" t="n">
        <x:f>MOD(ABS(SIN((A321+5)*12.9898+78.233)*43758.5453),1)</x:f>
        <x:v>0.058882969728074386</x:v>
      </x:c>
      <x:c r="G321" s="132" t="n">
        <x:f>IF(B321&lt;(('Assumptions'!$C$47-'Assumptions'!$B$47)/('Assumptions'!$D$47-'Assumptions'!$B$47)),'Assumptions'!$B$47+SQRT(B321*('Assumptions'!$D$47-'Assumptions'!$B$47)*('Assumptions'!$C$47-'Assumptions'!$B$47)),'Assumptions'!$D$47-SQRT((1-B321)*('Assumptions'!$D$47-'Assumptions'!$B$47)*('Assumptions'!$D$47-'Assumptions'!$C$47)))</x:f>
        <x:v>-0.05349500257260927</x:v>
      </x:c>
      <x:c r="H321" s="132" t="n">
        <x:f>IF(C321&lt;(('Assumptions'!$C$48-'Assumptions'!$B$48)/('Assumptions'!$D$48-'Assumptions'!$B$48)),'Assumptions'!$B$48+SQRT(C321*('Assumptions'!$D$48-'Assumptions'!$B$48)*('Assumptions'!$C$48-'Assumptions'!$B$48)),'Assumptions'!$D$48-SQRT((1-C321)*('Assumptions'!$D$48-'Assumptions'!$B$48)*('Assumptions'!$D$48-'Assumptions'!$C$48)))</x:f>
        <x:v>0.04443835442738983</x:v>
      </x:c>
      <x:c r="I321" s="132" t="n">
        <x:f>IF(D321&lt;(('Assumptions'!$C$49-'Assumptions'!$B$49)/('Assumptions'!$D$49-'Assumptions'!$B$49)),'Assumptions'!$B$49+SQRT(D321*('Assumptions'!$D$49-'Assumptions'!$B$49)*('Assumptions'!$C$49-'Assumptions'!$B$49)),'Assumptions'!$D$49-SQRT((1-D321)*('Assumptions'!$D$49-'Assumptions'!$B$49)*('Assumptions'!$D$49-'Assumptions'!$C$49)))</x:f>
        <x:v>0.06395338841292562</x:v>
      </x:c>
      <x:c r="J321" s="132" t="n">
        <x:f>IF(E321&lt;(('Assumptions'!$C$50-'Assumptions'!$B$50)/('Assumptions'!$D$50-'Assumptions'!$B$50)),'Assumptions'!$B$50+SQRT(E321*('Assumptions'!$D$50-'Assumptions'!$B$50)*('Assumptions'!$C$50-'Assumptions'!$B$50)),'Assumptions'!$D$50-SQRT((1-E321)*('Assumptions'!$D$50-'Assumptions'!$B$50)*('Assumptions'!$D$50-'Assumptions'!$C$50)))</x:f>
        <x:v>0.06428488043191302</x:v>
      </x:c>
      <x:c r="K321" s="132" t="n">
        <x:f>IF(F321&lt;(('Assumptions'!$C$51-'Assumptions'!$B$51)/('Assumptions'!$D$51-'Assumptions'!$B$51)),'Assumptions'!$B$51+SQRT(F321*('Assumptions'!$D$51-'Assumptions'!$B$51)*('Assumptions'!$C$51-'Assumptions'!$B$51)),'Assumptions'!$D$51-SQRT((1-F321)*('Assumptions'!$D$51-'Assumptions'!$B$51)*('Assumptions'!$D$51-'Assumptions'!$C$51)))</x:f>
        <x:v>0.0615240299048616</x:v>
      </x:c>
      <x:c r="L321" s="133" t="n">
        <x:f>(('Assumptions'!$B$17*(1+G321)+'Assumptions'!$B$18)*(1-H321-'Assumptions'!$B$20)-SUM('Assumptions'!$B$21:$B$25)*(1+I321))-(('Assumptions'!$B$17*(1+G321)+'Assumptions'!$B$18)*(1-H321-'Assumptions'!$B$20)*'Assumptions'!$B$26)</x:f>
        <x:v>191585.85949321138</x:v>
      </x:c>
      <x:c r="M321" s="133" t="n">
        <x:f>'Assumptions'!$B$10*'Assumptions'!$B$33</x:f>
        <x:v>1950000</x:v>
      </x:c>
      <x:c r="N321" s="133" t="n">
        <x:f>-PMT(K321/12,'Assumptions'!$B$35*12,M321)*12</x:f>
        <x:v>142595.79576947118</x:v>
      </x:c>
      <x:c r="O321" s="133" t="n">
        <x:f>(L321*(1+'Assumptions'!$B$29)^('Assumptions'!$B$14/12)/J321)*(1-'Assumptions'!$B$42)-'Debt Schedule'!$F$9</x:f>
        <x:v>3247645.283237434</x:v>
      </x:c>
      <x:c r="P321" s="132" t="n">
        <x:f>((O321+(L321-N321-'Assumptions'!$B$27-'Assumptions'!$B$28)*('Assumptions'!$B$14/12))/ABS('Monthly Cash Flow'!$S$5))^(1/('Assumptions'!$B$14/12))-1</x:f>
        <x:v>0.20527810645332845</x:v>
      </x:c>
      <x:c r="Q321" s="133" t="n">
        <x:f>-ABS('Monthly Cash Flow'!$S$5)+((L321-N321-'Assumptions'!$B$27-'Assumptions'!$B$28)*(1-(1+'Assumptions'!$B$43)^-('Assumptions'!$B$14/12))/'Assumptions'!$B$43)+(O321/(1+'Assumptions'!$B$43)^('Assumptions'!$B$14/12))</x:f>
        <x:v>756111.620714705</x:v>
      </x:c>
    </x:row>
    <x:row r="322">
      <x:c r="A322" s="131" t="n">
        <x:f>315</x:f>
        <x:v>315</x:v>
      </x:c>
      <x:c r="B322" s="131" t="n">
        <x:f>MOD(ABS(SIN((A322+1)*12.9898+78.233)*43758.5453),1)</x:f>
        <x:v>0.06317153896088712</x:v>
      </x:c>
      <x:c r="C322" s="131" t="n">
        <x:f>MOD(ABS(SIN((A322+2)*12.9898+78.233)*43758.5453),1)</x:f>
        <x:v>0.657221325665887</x:v>
      </x:c>
      <x:c r="D322" s="131" t="n">
        <x:f>MOD(ABS(SIN((A322+3)*12.9898+78.233)*43758.5453),1)</x:f>
        <x:v>0.20459823322380544</x:v>
      </x:c>
      <x:c r="E322" s="131" t="n">
        <x:f>MOD(ABS(SIN((A322+4)*12.9898+78.233)*43758.5453),1)</x:f>
        <x:v>0.058882969728074386</x:v>
      </x:c>
      <x:c r="F322" s="131" t="n">
        <x:f>MOD(ABS(SIN((A322+5)*12.9898+78.233)*43758.5453),1)</x:f>
        <x:v>0.11814055578906846</x:v>
      </x:c>
      <x:c r="G322" s="132" t="n">
        <x:f>IF(B322&lt;(('Assumptions'!$C$47-'Assumptions'!$B$47)/('Assumptions'!$D$47-'Assumptions'!$B$47)),'Assumptions'!$B$47+SQRT(B322*('Assumptions'!$D$47-'Assumptions'!$B$47)*('Assumptions'!$C$47-'Assumptions'!$B$47)),'Assumptions'!$D$47-SQRT((1-B322)*('Assumptions'!$D$47-'Assumptions'!$B$47)*('Assumptions'!$D$47-'Assumptions'!$C$47)))</x:f>
        <x:v>-0.06106265372343294</x:v>
      </x:c>
      <x:c r="H322" s="132" t="n">
        <x:f>IF(C322&lt;(('Assumptions'!$C$48-'Assumptions'!$B$48)/('Assumptions'!$D$48-'Assumptions'!$B$48)),'Assumptions'!$B$48+SQRT(C322*('Assumptions'!$D$48-'Assumptions'!$B$48)*('Assumptions'!$C$48-'Assumptions'!$B$48)),'Assumptions'!$D$48-SQRT((1-C322)*('Assumptions'!$D$48-'Assumptions'!$B$48)*('Assumptions'!$D$48-'Assumptions'!$C$48)))</x:f>
        <x:v>0.08507776102396958</x:v>
      </x:c>
      <x:c r="I322" s="132" t="n">
        <x:f>IF(D322&lt;(('Assumptions'!$C$49-'Assumptions'!$B$49)/('Assumptions'!$D$49-'Assumptions'!$B$49)),'Assumptions'!$B$49+SQRT(D322*('Assumptions'!$D$49-'Assumptions'!$B$49)*('Assumptions'!$C$49-'Assumptions'!$B$49)),'Assumptions'!$D$49-SQRT((1-D322)*('Assumptions'!$D$49-'Assumptions'!$B$49)*('Assumptions'!$D$49-'Assumptions'!$C$49)))</x:f>
        <x:v>0.017007030525412886</x:v>
      </x:c>
      <x:c r="J322" s="132" t="n">
        <x:f>IF(E322&lt;(('Assumptions'!$C$50-'Assumptions'!$B$50)/('Assumptions'!$D$50-'Assumptions'!$B$50)),'Assumptions'!$B$50+SQRT(E322*('Assumptions'!$D$50-'Assumptions'!$B$50)*('Assumptions'!$C$50-'Assumptions'!$B$50)),'Assumptions'!$D$50-SQRT((1-E322)*('Assumptions'!$D$50-'Assumptions'!$B$50)*('Assumptions'!$D$50-'Assumptions'!$C$50)))</x:f>
        <x:v>0.061139872001707854</x:v>
      </x:c>
      <x:c r="K322" s="132" t="n">
        <x:f>IF(F322&lt;(('Assumptions'!$C$51-'Assumptions'!$B$51)/('Assumptions'!$D$51-'Assumptions'!$B$51)),'Assumptions'!$B$51+SQRT(F322*('Assumptions'!$D$51-'Assumptions'!$B$51)*('Assumptions'!$C$51-'Assumptions'!$B$51)),'Assumptions'!$D$51-SQRT((1-F322)*('Assumptions'!$D$51-'Assumptions'!$B$51)*('Assumptions'!$D$51-'Assumptions'!$C$51)))</x:f>
        <x:v>0.06319988182702009</x:v>
      </x:c>
      <x:c r="L322" s="133" t="n">
        <x:f>(('Assumptions'!$B$17*(1+G322)+'Assumptions'!$B$18)*(1-H322-'Assumptions'!$B$20)-SUM('Assumptions'!$B$21:$B$25)*(1+I322))-(('Assumptions'!$B$17*(1+G322)+'Assumptions'!$B$18)*(1-H322-'Assumptions'!$B$20)*'Assumptions'!$B$26)</x:f>
        <x:v>181138.49316422144</x:v>
      </x:c>
      <x:c r="M322" s="133" t="n">
        <x:f>'Assumptions'!$B$10*'Assumptions'!$B$33</x:f>
        <x:v>1950000</x:v>
      </x:c>
      <x:c r="N322" s="133" t="n">
        <x:f>-PMT(K322/12,'Assumptions'!$B$35*12,M322)*12</x:f>
        <x:v>145144.6560277699</x:v>
      </x:c>
      <x:c r="O322" s="133" t="n">
        <x:f>(L322*(1+'Assumptions'!$B$29)^('Assumptions'!$B$14/12)/J322)*(1-'Assumptions'!$B$42)-'Debt Schedule'!$F$9</x:f>
        <x:v>3228495.627837639</x:v>
      </x:c>
      <x:c r="P322" s="132" t="n">
        <x:f>((O322+(L322-N322-'Assumptions'!$B$27-'Assumptions'!$B$28)*('Assumptions'!$B$14/12))/ABS('Monthly Cash Flow'!$S$5))^(1/('Assumptions'!$B$14/12))-1</x:f>
        <x:v>0.19905483657582912</x:v>
      </x:c>
      <x:c r="Q322" s="133" t="n">
        <x:f>-ABS('Monthly Cash Flow'!$S$5)+((L322-N322-'Assumptions'!$B$27-'Assumptions'!$B$28)*(1-(1+'Assumptions'!$B$43)^-('Assumptions'!$B$14/12))/'Assumptions'!$B$43)+(O322/(1+'Assumptions'!$B$43)^('Assumptions'!$B$14/12))</x:f>
        <x:v>694955.2675484088</x:v>
      </x:c>
    </x:row>
    <x:row r="323">
      <x:c r="A323" s="131" t="n">
        <x:f>316</x:f>
        <x:v>316</x:v>
      </x:c>
      <x:c r="B323" s="131" t="n">
        <x:f>MOD(ABS(SIN((A323+1)*12.9898+78.233)*43758.5453),1)</x:f>
        <x:v>0.657221325665887</x:v>
      </x:c>
      <x:c r="C323" s="131" t="n">
        <x:f>MOD(ABS(SIN((A323+2)*12.9898+78.233)*43758.5453),1)</x:f>
        <x:v>0.20459823322380544</x:v>
      </x:c>
      <x:c r="D323" s="131" t="n">
        <x:f>MOD(ABS(SIN((A323+3)*12.9898+78.233)*43758.5453),1)</x:f>
        <x:v>0.058882969728074386</x:v>
      </x:c>
      <x:c r="E323" s="131" t="n">
        <x:f>MOD(ABS(SIN((A323+4)*12.9898+78.233)*43758.5453),1)</x:f>
        <x:v>0.11814055578906846</x:v>
      </x:c>
      <x:c r="F323" s="131" t="n">
        <x:f>MOD(ABS(SIN((A323+5)*12.9898+78.233)*43758.5453),1)</x:f>
        <x:v>0.5063339834086946</x:v>
      </x:c>
      <x:c r="G323" s="132" t="n">
        <x:f>IF(B323&lt;(('Assumptions'!$C$47-'Assumptions'!$B$47)/('Assumptions'!$D$47-'Assumptions'!$B$47)),'Assumptions'!$B$47+SQRT(B323*('Assumptions'!$D$47-'Assumptions'!$B$47)*('Assumptions'!$C$47-'Assumptions'!$B$47)),'Assumptions'!$D$47-SQRT((1-B323)*('Assumptions'!$D$47-'Assumptions'!$B$47)*('Assumptions'!$D$47-'Assumptions'!$C$47)))</x:f>
        <x:v>0.025942868072373962</x:v>
      </x:c>
      <x:c r="H323" s="132" t="n">
        <x:f>IF(C323&lt;(('Assumptions'!$C$48-'Assumptions'!$B$48)/('Assumptions'!$D$48-'Assumptions'!$B$48)),'Assumptions'!$B$48+SQRT(C323*('Assumptions'!$D$48-'Assumptions'!$B$48)*('Assumptions'!$C$48-'Assumptions'!$B$48)),'Assumptions'!$D$48-SQRT((1-C323)*('Assumptions'!$D$48-'Assumptions'!$B$48)*('Assumptions'!$D$48-'Assumptions'!$C$48)))</x:f>
        <x:v>0.05598411379359623</x:v>
      </x:c>
      <x:c r="I323" s="132" t="n">
        <x:f>IF(D323&lt;(('Assumptions'!$C$49-'Assumptions'!$B$49)/('Assumptions'!$D$49-'Assumptions'!$B$49)),'Assumptions'!$B$49+SQRT(D323*('Assumptions'!$D$49-'Assumptions'!$B$49)*('Assumptions'!$C$49-'Assumptions'!$B$49)),'Assumptions'!$D$49-SQRT((1-D323)*('Assumptions'!$D$49-'Assumptions'!$B$49)*('Assumptions'!$D$49-'Assumptions'!$C$49)))</x:f>
        <x:v>-0.004782227039978264</x:v>
      </x:c>
      <x:c r="J323" s="132" t="n">
        <x:f>IF(E323&lt;(('Assumptions'!$C$50-'Assumptions'!$B$50)/('Assumptions'!$D$50-'Assumptions'!$B$50)),'Assumptions'!$B$50+SQRT(E323*('Assumptions'!$D$50-'Assumptions'!$B$50)*('Assumptions'!$C$50-'Assumptions'!$B$50)),'Assumptions'!$D$50-SQRT((1-E323)*('Assumptions'!$D$50-'Assumptions'!$B$50)*('Assumptions'!$D$50-'Assumptions'!$C$50)))</x:f>
        <x:v>0.06265573710079755</x:v>
      </x:c>
      <x:c r="K323" s="132" t="n">
        <x:f>IF(F323&lt;(('Assumptions'!$C$51-'Assumptions'!$B$51)/('Assumptions'!$D$51-'Assumptions'!$B$51)),'Assumptions'!$B$51+SQRT(F323*('Assumptions'!$D$51-'Assumptions'!$B$51)*('Assumptions'!$C$51-'Assumptions'!$B$51)),'Assumptions'!$D$51-SQRT((1-F323)*('Assumptions'!$D$51-'Assumptions'!$B$51)*('Assumptions'!$D$51-'Assumptions'!$C$51)))</x:f>
        <x:v>0.06958647443040478</x:v>
      </x:c>
      <x:c r="L323" s="133" t="n">
        <x:f>(('Assumptions'!$B$17*(1+G323)+'Assumptions'!$B$18)*(1-H323-'Assumptions'!$B$20)-SUM('Assumptions'!$B$21:$B$25)*(1+I323))-(('Assumptions'!$B$17*(1+G323)+'Assumptions'!$B$18)*(1-H323-'Assumptions'!$B$20)*'Assumptions'!$B$26)</x:f>
        <x:v>221912.49658927222</x:v>
      </x:c>
      <x:c r="M323" s="133" t="n">
        <x:f>'Assumptions'!$B$10*'Assumptions'!$B$33</x:f>
        <x:v>1950000</x:v>
      </x:c>
      <x:c r="N323" s="133" t="n">
        <x:f>-PMT(K323/12,'Assumptions'!$B$35*12,M323)*12</x:f>
        <x:v>155031.45662058186</x:v>
      </x:c>
      <x:c r="O323" s="133" t="n">
        <x:f>(L323*(1+'Assumptions'!$B$29)^('Assumptions'!$B$14/12)/J323)*(1-'Assumptions'!$B$42)-'Debt Schedule'!$F$9</x:f>
        <x:v>3859534.1943954956</x:v>
      </x:c>
      <x:c r="P323" s="132" t="n">
        <x:f>((O323+(L323-N323-'Assumptions'!$B$27-'Assumptions'!$B$28)*('Assumptions'!$B$14/12))/ABS('Monthly Cash Flow'!$S$5))^(1/('Assumptions'!$B$14/12))-1</x:f>
        <x:v>0.25273693793924323</x:v>
      </x:c>
      <x:c r="Q323" s="133" t="n">
        <x:f>-ABS('Monthly Cash Flow'!$S$5)+((L323-N323-'Assumptions'!$B$27-'Assumptions'!$B$28)*(1-(1+'Assumptions'!$B$43)^-('Assumptions'!$B$14/12))/'Assumptions'!$B$43)+(O323/(1+'Assumptions'!$B$43)^('Assumptions'!$B$14/12))</x:f>
        <x:v>1203867.369037352</x:v>
      </x:c>
    </x:row>
    <x:row r="324">
      <x:c r="A324" s="131" t="n">
        <x:f>317</x:f>
        <x:v>317</x:v>
      </x:c>
      <x:c r="B324" s="131" t="n">
        <x:f>MOD(ABS(SIN((A324+1)*12.9898+78.233)*43758.5453),1)</x:f>
        <x:v>0.20459823322380544</x:v>
      </x:c>
      <x:c r="C324" s="131" t="n">
        <x:f>MOD(ABS(SIN((A324+2)*12.9898+78.233)*43758.5453),1)</x:f>
        <x:v>0.058882969728074386</x:v>
      </x:c>
      <x:c r="D324" s="131" t="n">
        <x:f>MOD(ABS(SIN((A324+3)*12.9898+78.233)*43758.5453),1)</x:f>
        <x:v>0.11814055578906846</x:v>
      </x:c>
      <x:c r="E324" s="131" t="n">
        <x:f>MOD(ABS(SIN((A324+4)*12.9898+78.233)*43758.5453),1)</x:f>
        <x:v>0.5063339834086946</x:v>
      </x:c>
      <x:c r="F324" s="131" t="n">
        <x:f>MOD(ABS(SIN((A324+5)*12.9898+78.233)*43758.5453),1)</x:f>
        <x:v>0.4323754243014264</x:v>
      </x:c>
      <x:c r="G324" s="132" t="n">
        <x:f>IF(B324&lt;(('Assumptions'!$C$47-'Assumptions'!$B$47)/('Assumptions'!$D$47-'Assumptions'!$B$47)),'Assumptions'!$B$47+SQRT(B324*('Assumptions'!$D$47-'Assumptions'!$B$47)*('Assumptions'!$C$47-'Assumptions'!$B$47)),'Assumptions'!$D$47-SQRT((1-B324)*('Assumptions'!$D$47-'Assumptions'!$B$47)*('Assumptions'!$D$47-'Assumptions'!$C$47)))</x:f>
        <x:v>-0.02992605621651276</x:v>
      </x:c>
      <x:c r="H324" s="132" t="n">
        <x:f>IF(C324&lt;(('Assumptions'!$C$48-'Assumptions'!$B$48)/('Assumptions'!$D$48-'Assumptions'!$B$48)),'Assumptions'!$B$48+SQRT(C324*('Assumptions'!$D$48-'Assumptions'!$B$48)*('Assumptions'!$C$48-'Assumptions'!$B$48)),'Assumptions'!$D$48-SQRT((1-C324)*('Assumptions'!$D$48-'Assumptions'!$B$48)*('Assumptions'!$D$48-'Assumptions'!$C$48)))</x:f>
        <x:v>0.04393964849279369</x:v>
      </x:c>
      <x:c r="I324" s="132" t="n">
        <x:f>IF(D324&lt;(('Assumptions'!$C$49-'Assumptions'!$B$49)/('Assumptions'!$D$49-'Assumptions'!$B$49)),'Assumptions'!$B$49+SQRT(D324*('Assumptions'!$D$49-'Assumptions'!$B$49)*('Assumptions'!$C$49-'Assumptions'!$B$49)),'Assumptions'!$D$49-SQRT((1-D324)*('Assumptions'!$D$49-'Assumptions'!$B$49)*('Assumptions'!$D$49-'Assumptions'!$C$49)))</x:f>
        <x:v>0.005719994436196925</x:v>
      </x:c>
      <x:c r="J324" s="132" t="n">
        <x:f>IF(E324&lt;(('Assumptions'!$C$50-'Assumptions'!$B$50)/('Assumptions'!$D$50-'Assumptions'!$B$50)),'Assumptions'!$B$50+SQRT(E324*('Assumptions'!$D$50-'Assumptions'!$B$50)*('Assumptions'!$C$50-'Assumptions'!$B$50)),'Assumptions'!$D$50-SQRT((1-E324)*('Assumptions'!$D$50-'Assumptions'!$B$50)*('Assumptions'!$D$50-'Assumptions'!$C$50)))</x:f>
        <x:v>0.06821680997495566</x:v>
      </x:c>
      <x:c r="K324" s="132" t="n">
        <x:f>IF(F324&lt;(('Assumptions'!$C$51-'Assumptions'!$B$51)/('Assumptions'!$D$51-'Assumptions'!$B$51)),'Assumptions'!$B$51+SQRT(F324*('Assumptions'!$D$51-'Assumptions'!$B$51)*('Assumptions'!$C$51-'Assumptions'!$B$51)),'Assumptions'!$D$51-SQRT((1-F324)*('Assumptions'!$D$51-'Assumptions'!$B$51)*('Assumptions'!$D$51-'Assumptions'!$C$51)))</x:f>
        <x:v>0.06847216508265712</x:v>
      </x:c>
      <x:c r="L324" s="133" t="n">
        <x:f>(('Assumptions'!$B$17*(1+G324)+'Assumptions'!$B$18)*(1-H324-'Assumptions'!$B$20)-SUM('Assumptions'!$B$21:$B$25)*(1+I324))-(('Assumptions'!$B$17*(1+G324)+'Assumptions'!$B$18)*(1-H324-'Assumptions'!$B$20)*'Assumptions'!$B$26)</x:f>
        <x:v>206801.08387693678</x:v>
      </x:c>
      <x:c r="M324" s="133" t="n">
        <x:f>'Assumptions'!$B$10*'Assumptions'!$B$33</x:f>
        <x:v>1950000</x:v>
      </x:c>
      <x:c r="N324" s="133" t="n">
        <x:f>-PMT(K324/12,'Assumptions'!$B$35*12,M324)*12</x:f>
        <x:v>153287.18194890197</x:v>
      </x:c>
      <x:c r="O324" s="133" t="n">
        <x:f>(L324*(1+'Assumptions'!$B$29)^('Assumptions'!$B$14/12)/J324)*(1-'Assumptions'!$B$42)-'Debt Schedule'!$F$9</x:f>
        <x:v>3303508.1390329795</x:v>
      </x:c>
      <x:c r="P324" s="132" t="n">
        <x:f>((O324+(L324-N324-'Assumptions'!$B$27-'Assumptions'!$B$28)*('Assumptions'!$B$14/12))/ABS('Monthly Cash Flow'!$S$5))^(1/('Assumptions'!$B$14/12))-1</x:f>
        <x:v>0.21096987729135108</x:v>
      </x:c>
      <x:c r="Q324" s="133" t="n">
        <x:f>-ABS('Monthly Cash Flow'!$S$5)+((L324-N324-'Assumptions'!$B$27-'Assumptions'!$B$28)*(1-(1+'Assumptions'!$B$43)^-('Assumptions'!$B$14/12))/'Assumptions'!$B$43)+(O324/(1+'Assumptions'!$B$43)^('Assumptions'!$B$14/12))</x:f>
        <x:v>807946.9650569223</x:v>
      </x:c>
    </x:row>
    <x:row r="325">
      <x:c r="A325" s="131" t="n">
        <x:f>318</x:f>
        <x:v>318</x:v>
      </x:c>
      <x:c r="B325" s="131" t="n">
        <x:f>MOD(ABS(SIN((A325+1)*12.9898+78.233)*43758.5453),1)</x:f>
        <x:v>0.058882969728074386</x:v>
      </x:c>
      <x:c r="C325" s="131" t="n">
        <x:f>MOD(ABS(SIN((A325+2)*12.9898+78.233)*43758.5453),1)</x:f>
        <x:v>0.11814055578906846</x:v>
      </x:c>
      <x:c r="D325" s="131" t="n">
        <x:f>MOD(ABS(SIN((A325+3)*12.9898+78.233)*43758.5453),1)</x:f>
        <x:v>0.5063339834086946</x:v>
      </x:c>
      <x:c r="E325" s="131" t="n">
        <x:f>MOD(ABS(SIN((A325+4)*12.9898+78.233)*43758.5453),1)</x:f>
        <x:v>0.4323754243014264</x:v>
      </x:c>
      <x:c r="F325" s="131" t="n">
        <x:f>MOD(ABS(SIN((A325+5)*12.9898+78.233)*43758.5453),1)</x:f>
        <x:v>0.09748587825743016</x:v>
      </x:c>
      <x:c r="G325" s="132" t="n">
        <x:f>IF(B325&lt;(('Assumptions'!$C$47-'Assumptions'!$B$47)/('Assumptions'!$D$47-'Assumptions'!$B$47)),'Assumptions'!$B$47+SQRT(B325*('Assumptions'!$D$47-'Assumptions'!$B$47)*('Assumptions'!$C$47-'Assumptions'!$B$47)),'Assumptions'!$D$47-SQRT((1-B325)*('Assumptions'!$D$47-'Assumptions'!$B$47)*('Assumptions'!$D$47-'Assumptions'!$C$47)))</x:f>
        <x:v>-0.06240756361349021</x:v>
      </x:c>
      <x:c r="H325" s="132" t="n">
        <x:f>IF(C325&lt;(('Assumptions'!$C$48-'Assumptions'!$B$48)/('Assumptions'!$D$48-'Assumptions'!$B$48)),'Assumptions'!$B$48+SQRT(C325*('Assumptions'!$D$48-'Assumptions'!$B$48)*('Assumptions'!$C$48-'Assumptions'!$B$48)),'Assumptions'!$D$48-SQRT((1-C325)*('Assumptions'!$D$48-'Assumptions'!$B$48)*('Assumptions'!$D$48-'Assumptions'!$C$48)))</x:f>
        <x:v>0.04974496984307461</x:v>
      </x:c>
      <x:c r="I325" s="132" t="n">
        <x:f>IF(D325&lt;(('Assumptions'!$C$49-'Assumptions'!$B$49)/('Assumptions'!$D$49-'Assumptions'!$B$49)),'Assumptions'!$B$49+SQRT(D325*('Assumptions'!$D$49-'Assumptions'!$B$49)*('Assumptions'!$C$49-'Assumptions'!$B$49)),'Assumptions'!$D$49-SQRT((1-D325)*('Assumptions'!$D$49-'Assumptions'!$B$49)*('Assumptions'!$D$49-'Assumptions'!$C$49)))</x:f>
        <x:v>0.04673729638261355</x:v>
      </x:c>
      <x:c r="J325" s="132" t="n">
        <x:f>IF(E325&lt;(('Assumptions'!$C$50-'Assumptions'!$B$50)/('Assumptions'!$D$50-'Assumptions'!$B$50)),'Assumptions'!$B$50+SQRT(E325*('Assumptions'!$D$50-'Assumptions'!$B$50)*('Assumptions'!$C$50-'Assumptions'!$B$50)),'Assumptions'!$D$50-SQRT((1-E325)*('Assumptions'!$D$50-'Assumptions'!$B$50)*('Assumptions'!$D$50-'Assumptions'!$C$50)))</x:f>
        <x:v>0.06736328902891023</x:v>
      </x:c>
      <x:c r="K325" s="132" t="n">
        <x:f>IF(F325&lt;(('Assumptions'!$C$51-'Assumptions'!$B$51)/('Assumptions'!$D$51-'Assumptions'!$B$51)),'Assumptions'!$B$51+SQRT(F325*('Assumptions'!$D$51-'Assumptions'!$B$51)*('Assumptions'!$C$51-'Assumptions'!$B$51)),'Assumptions'!$D$51-SQRT((1-F325)*('Assumptions'!$D$51-'Assumptions'!$B$51)*('Assumptions'!$D$51-'Assumptions'!$C$51)))</x:f>
        <x:v>0.06267770378843684</x:v>
      </x:c>
      <x:c r="L325" s="133" t="n">
        <x:f>(('Assumptions'!$B$17*(1+G325)+'Assumptions'!$B$18)*(1-H325-'Assumptions'!$B$20)-SUM('Assumptions'!$B$21:$B$25)*(1+I325))-(('Assumptions'!$B$17*(1+G325)+'Assumptions'!$B$18)*(1-H325-'Assumptions'!$B$20)*'Assumptions'!$B$26)</x:f>
        <x:v>189031.37474921058</x:v>
      </x:c>
      <x:c r="M325" s="133" t="n">
        <x:f>'Assumptions'!$B$10*'Assumptions'!$B$33</x:f>
        <x:v>1950000</x:v>
      </x:c>
      <x:c r="N325" s="133" t="n">
        <x:f>-PMT(K325/12,'Assumptions'!$B$35*12,M325)*12</x:f>
        <x:v>144348.38021087996</x:v>
      </x:c>
      <x:c r="O325" s="133" t="n">
        <x:f>(L325*(1+'Assumptions'!$B$29)^('Assumptions'!$B$14/12)/J325)*(1-'Assumptions'!$B$42)-'Debt Schedule'!$F$9</x:f>
        <x:v>3057909.2058447413</x:v>
      </x:c>
      <x:c r="P325" s="132" t="n">
        <x:f>((O325+(L325-N325-'Assumptions'!$B$27-'Assumptions'!$B$28)*('Assumptions'!$B$14/12))/ABS('Monthly Cash Flow'!$S$5))^(1/('Assumptions'!$B$14/12))-1</x:f>
        <x:v>0.18939762620447986</x:v>
      </x:c>
      <x:c r="Q325" s="133" t="n">
        <x:f>-ABS('Monthly Cash Flow'!$S$5)+((L325-N325-'Assumptions'!$B$27-'Assumptions'!$B$28)*(1-(1+'Assumptions'!$B$43)^-('Assumptions'!$B$14/12))/'Assumptions'!$B$43)+(O325/(1+'Assumptions'!$B$43)^('Assumptions'!$B$14/12))</x:f>
        <x:v>621973.2636250025</x:v>
      </x:c>
    </x:row>
    <x:row r="326">
      <x:c r="A326" s="131" t="n">
        <x:f>319</x:f>
        <x:v>319</x:v>
      </x:c>
      <x:c r="B326" s="131" t="n">
        <x:f>MOD(ABS(SIN((A326+1)*12.9898+78.233)*43758.5453),1)</x:f>
        <x:v>0.11814055578906846</x:v>
      </x:c>
      <x:c r="C326" s="131" t="n">
        <x:f>MOD(ABS(SIN((A326+2)*12.9898+78.233)*43758.5453),1)</x:f>
        <x:v>0.5063339834086946</x:v>
      </x:c>
      <x:c r="D326" s="131" t="n">
        <x:f>MOD(ABS(SIN((A326+3)*12.9898+78.233)*43758.5453),1)</x:f>
        <x:v>0.4323754243014264</x:v>
      </x:c>
      <x:c r="E326" s="131" t="n">
        <x:f>MOD(ABS(SIN((A326+4)*12.9898+78.233)*43758.5453),1)</x:f>
        <x:v>0.09748587825743016</x:v>
      </x:c>
      <x:c r="F326" s="131" t="n">
        <x:f>MOD(ABS(SIN((A326+5)*12.9898+78.233)*43758.5453),1)</x:f>
        <x:v>0.3360470903935493</x:v>
      </x:c>
      <x:c r="G326" s="132" t="n">
        <x:f>IF(B326&lt;(('Assumptions'!$C$47-'Assumptions'!$B$47)/('Assumptions'!$D$47-'Assumptions'!$B$47)),'Assumptions'!$B$47+SQRT(B326*('Assumptions'!$D$47-'Assumptions'!$B$47)*('Assumptions'!$C$47-'Assumptions'!$B$47)),'Assumptions'!$D$47-SQRT((1-B326)*('Assumptions'!$D$47-'Assumptions'!$B$47)*('Assumptions'!$D$47-'Assumptions'!$C$47)))</x:f>
        <x:v>-0.046751776189832936</x:v>
      </x:c>
      <x:c r="H326" s="132" t="n">
        <x:f>IF(C326&lt;(('Assumptions'!$C$48-'Assumptions'!$B$48)/('Assumptions'!$D$48-'Assumptions'!$B$48)),'Assumptions'!$B$48+SQRT(C326*('Assumptions'!$D$48-'Assumptions'!$B$48)*('Assumptions'!$C$48-'Assumptions'!$B$48)),'Assumptions'!$D$48-SQRT((1-C326)*('Assumptions'!$D$48-'Assumptions'!$B$48)*('Assumptions'!$D$48-'Assumptions'!$C$48)))</x:f>
        <x:v>0.07408899222433717</x:v>
      </x:c>
      <x:c r="I326" s="132" t="n">
        <x:f>IF(D326&lt;(('Assumptions'!$C$49-'Assumptions'!$B$49)/('Assumptions'!$D$49-'Assumptions'!$B$49)),'Assumptions'!$B$49+SQRT(D326*('Assumptions'!$D$49-'Assumptions'!$B$49)*('Assumptions'!$C$49-'Assumptions'!$B$49)),'Assumptions'!$D$49-SQRT((1-D326)*('Assumptions'!$D$49-'Assumptions'!$B$49)*('Assumptions'!$D$49-'Assumptions'!$C$49)))</x:f>
        <x:v>0.03927199615684751</x:v>
      </x:c>
      <x:c r="J326" s="132" t="n">
        <x:f>IF(E326&lt;(('Assumptions'!$C$50-'Assumptions'!$B$50)/('Assumptions'!$D$50-'Assumptions'!$B$50)),'Assumptions'!$B$50+SQRT(E326*('Assumptions'!$D$50-'Assumptions'!$B$50)*('Assumptions'!$C$50-'Assumptions'!$B$50)),'Assumptions'!$D$50-SQRT((1-E326)*('Assumptions'!$D$50-'Assumptions'!$B$50)*('Assumptions'!$D$50-'Assumptions'!$C$50)))</x:f>
        <x:v>0.06218340929323093</x:v>
      </x:c>
      <x:c r="K326" s="132" t="n">
        <x:f>IF(F326&lt;(('Assumptions'!$C$51-'Assumptions'!$B$51)/('Assumptions'!$D$51-'Assumptions'!$B$51)),'Assumptions'!$B$51+SQRT(F326*('Assumptions'!$D$51-'Assumptions'!$B$51)*('Assumptions'!$C$51-'Assumptions'!$B$51)),'Assumptions'!$D$51-SQRT((1-F326)*('Assumptions'!$D$51-'Assumptions'!$B$51)*('Assumptions'!$D$51-'Assumptions'!$C$51)))</x:f>
        <x:v>0.0671131654442346</x:v>
      </x:c>
      <x:c r="L326" s="133" t="n">
        <x:f>(('Assumptions'!$B$17*(1+G326)+'Assumptions'!$B$18)*(1-H326-'Assumptions'!$B$20)-SUM('Assumptions'!$B$21:$B$25)*(1+I326))-(('Assumptions'!$B$17*(1+G326)+'Assumptions'!$B$18)*(1-H326-'Assumptions'!$B$20)*'Assumptions'!$B$26)</x:f>
        <x:v>186618.761782363</x:v>
      </x:c>
      <x:c r="M326" s="133" t="n">
        <x:f>'Assumptions'!$B$10*'Assumptions'!$B$33</x:f>
        <x:v>1950000</x:v>
      </x:c>
      <x:c r="N326" s="133" t="n">
        <x:f>-PMT(K326/12,'Assumptions'!$B$35*12,M326)*12</x:f>
        <x:v>151170.74174188962</x:v>
      </x:c>
      <x:c r="O326" s="133" t="n">
        <x:f>(L326*(1+'Assumptions'!$B$29)^('Assumptions'!$B$14/12)/J326)*(1-'Assumptions'!$B$42)-'Debt Schedule'!$F$9</x:f>
        <x:v>3270353.8947913987</x:v>
      </x:c>
      <x:c r="P326" s="132" t="n">
        <x:f>((O326+(L326-N326-'Assumptions'!$B$27-'Assumptions'!$B$28)*('Assumptions'!$B$14/12))/ABS('Monthly Cash Flow'!$S$5))^(1/('Assumptions'!$B$14/12))-1</x:f>
        <x:v>0.2019653137062054</x:v>
      </x:c>
      <x:c r="Q326" s="133" t="n">
        <x:f>-ABS('Monthly Cash Flow'!$S$5)+((L326-N326-'Assumptions'!$B$27-'Assumptions'!$B$28)*(1-(1+'Assumptions'!$B$43)^-('Assumptions'!$B$14/12))/'Assumptions'!$B$43)+(O326/(1+'Assumptions'!$B$43)^('Assumptions'!$B$14/12))</x:f>
        <x:v>718876.8818203497</x:v>
      </x:c>
    </x:row>
    <x:row r="327">
      <x:c r="A327" s="131" t="n">
        <x:f>320</x:f>
        <x:v>320</x:v>
      </x:c>
      <x:c r="B327" s="131" t="n">
        <x:f>MOD(ABS(SIN((A327+1)*12.9898+78.233)*43758.5453),1)</x:f>
        <x:v>0.5063339834086946</x:v>
      </x:c>
      <x:c r="C327" s="131" t="n">
        <x:f>MOD(ABS(SIN((A327+2)*12.9898+78.233)*43758.5453),1)</x:f>
        <x:v>0.4323754243014264</x:v>
      </x:c>
      <x:c r="D327" s="131" t="n">
        <x:f>MOD(ABS(SIN((A327+3)*12.9898+78.233)*43758.5453),1)</x:f>
        <x:v>0.09748587825743016</x:v>
      </x:c>
      <x:c r="E327" s="131" t="n">
        <x:f>MOD(ABS(SIN((A327+4)*12.9898+78.233)*43758.5453),1)</x:f>
        <x:v>0.3360470903935493</x:v>
      </x:c>
      <x:c r="F327" s="131" t="n">
        <x:f>MOD(ABS(SIN((A327+5)*12.9898+78.233)*43758.5453),1)</x:f>
        <x:v>0.3801711584455916</x:v>
      </x:c>
      <x:c r="G327" s="132" t="n">
        <x:f>IF(B327&lt;(('Assumptions'!$C$47-'Assumptions'!$B$47)/('Assumptions'!$D$47-'Assumptions'!$B$47)),'Assumptions'!$B$47+SQRT(B327*('Assumptions'!$D$47-'Assumptions'!$B$47)*('Assumptions'!$C$47-'Assumptions'!$B$47)),'Assumptions'!$D$47-SQRT((1-B327)*('Assumptions'!$D$47-'Assumptions'!$B$47)*('Assumptions'!$D$47-'Assumptions'!$C$47)))</x:f>
        <x:v>0.010236181001559874</x:v>
      </x:c>
      <x:c r="H327" s="132" t="n">
        <x:f>IF(C327&lt;(('Assumptions'!$C$48-'Assumptions'!$B$48)/('Assumptions'!$D$48-'Assumptions'!$B$48)),'Assumptions'!$B$48+SQRT(C327*('Assumptions'!$D$48-'Assumptions'!$B$48)*('Assumptions'!$C$48-'Assumptions'!$B$48)),'Assumptions'!$D$48-SQRT((1-C327)*('Assumptions'!$D$48-'Assumptions'!$B$48)*('Assumptions'!$D$48-'Assumptions'!$C$48)))</x:f>
        <x:v>0.06932400502187855</x:v>
      </x:c>
      <x:c r="I327" s="132" t="n">
        <x:f>IF(D327&lt;(('Assumptions'!$C$49-'Assumptions'!$B$49)/('Assumptions'!$D$49-'Assumptions'!$B$49)),'Assumptions'!$B$49+SQRT(D327*('Assumptions'!$D$49-'Assumptions'!$B$49)*('Assumptions'!$C$49-'Assumptions'!$B$49)),'Assumptions'!$D$49-SQRT((1-D327)*('Assumptions'!$D$49-'Assumptions'!$B$49)*('Assumptions'!$D$49-'Assumptions'!$C$49)))</x:f>
        <x:v>0.0024476113940648317</x:v>
      </x:c>
      <x:c r="J327" s="132" t="n">
        <x:f>IF(E327&lt;(('Assumptions'!$C$50-'Assumptions'!$B$50)/('Assumptions'!$D$50-'Assumptions'!$B$50)),'Assumptions'!$B$50+SQRT(E327*('Assumptions'!$D$50-'Assumptions'!$B$50)*('Assumptions'!$C$50-'Assumptions'!$B$50)),'Assumptions'!$D$50-SQRT((1-E327)*('Assumptions'!$D$50-'Assumptions'!$B$50)*('Assumptions'!$D$50-'Assumptions'!$C$50)))</x:f>
        <x:v>0.066195435316219</x:v>
      </x:c>
      <x:c r="K327" s="132" t="n">
        <x:f>IF(F327&lt;(('Assumptions'!$C$51-'Assumptions'!$B$51)/('Assumptions'!$D$51-'Assumptions'!$B$51)),'Assumptions'!$B$51+SQRT(F327*('Assumptions'!$D$51-'Assumptions'!$B$51)*('Assumptions'!$C$51-'Assumptions'!$B$51)),'Assumptions'!$D$51-SQRT((1-F327)*('Assumptions'!$D$51-'Assumptions'!$B$51)*('Assumptions'!$D$51-'Assumptions'!$C$51)))</x:f>
        <x:v>0.06772884977779248</x:v>
      </x:c>
      <x:c r="L327" s="133" t="n">
        <x:f>(('Assumptions'!$B$17*(1+G327)+'Assumptions'!$B$18)*(1-H327-'Assumptions'!$B$20)-SUM('Assumptions'!$B$21:$B$25)*(1+I327))-(('Assumptions'!$B$17*(1+G327)+'Assumptions'!$B$18)*(1-H327-'Assumptions'!$B$20)*'Assumptions'!$B$26)</x:f>
        <x:v>211043.51165997918</x:v>
      </x:c>
      <x:c r="M327" s="133" t="n">
        <x:f>'Assumptions'!$B$10*'Assumptions'!$B$33</x:f>
        <x:v>1950000</x:v>
      </x:c>
      <x:c r="N327" s="133" t="n">
        <x:f>-PMT(K327/12,'Assumptions'!$B$35*12,M327)*12</x:f>
        <x:v>152128.08980441105</x:v>
      </x:c>
      <x:c r="O327" s="133" t="n">
        <x:f>(L327*(1+'Assumptions'!$B$29)^('Assumptions'!$B$14/12)/J327)*(1-'Assumptions'!$B$42)-'Debt Schedule'!$F$9</x:f>
        <x:v>3474224.9857717385</x:v>
      </x:c>
      <x:c r="P327" s="132" t="n">
        <x:f>((O327+(L327-N327-'Assumptions'!$B$27-'Assumptions'!$B$28)*('Assumptions'!$B$14/12))/ABS('Monthly Cash Flow'!$S$5))^(1/('Assumptions'!$B$14/12))-1</x:f>
        <x:v>0.22485331544566112</x:v>
      </x:c>
      <x:c r="Q327" s="133" t="n">
        <x:f>-ABS('Monthly Cash Flow'!$S$5)+((L327-N327-'Assumptions'!$B$27-'Assumptions'!$B$28)*(1-(1+'Assumptions'!$B$43)^-('Assumptions'!$B$14/12))/'Assumptions'!$B$43)+(O327/(1+'Assumptions'!$B$43)^('Assumptions'!$B$14/12))</x:f>
        <x:v>934424.7056784288</x:v>
      </x:c>
    </x:row>
    <x:row r="328">
      <x:c r="A328" s="131" t="n">
        <x:f>321</x:f>
        <x:v>321</x:v>
      </x:c>
      <x:c r="B328" s="131" t="n">
        <x:f>MOD(ABS(SIN((A328+1)*12.9898+78.233)*43758.5453),1)</x:f>
        <x:v>0.4323754243014264</x:v>
      </x:c>
      <x:c r="C328" s="131" t="n">
        <x:f>MOD(ABS(SIN((A328+2)*12.9898+78.233)*43758.5453),1)</x:f>
        <x:v>0.09748587825743016</x:v>
      </x:c>
      <x:c r="D328" s="131" t="n">
        <x:f>MOD(ABS(SIN((A328+3)*12.9898+78.233)*43758.5453),1)</x:f>
        <x:v>0.3360470903935493</x:v>
      </x:c>
      <x:c r="E328" s="131" t="n">
        <x:f>MOD(ABS(SIN((A328+4)*12.9898+78.233)*43758.5453),1)</x:f>
        <x:v>0.3801711584455916</x:v>
      </x:c>
      <x:c r="F328" s="131" t="n">
        <x:f>MOD(ABS(SIN((A328+5)*12.9898+78.233)*43758.5453),1)</x:f>
        <x:v>0.22363049168052385</x:v>
      </x:c>
      <x:c r="G328" s="132" t="n">
        <x:f>IF(B328&lt;(('Assumptions'!$C$47-'Assumptions'!$B$47)/('Assumptions'!$D$47-'Assumptions'!$B$47)),'Assumptions'!$B$47+SQRT(B328*('Assumptions'!$D$47-'Assumptions'!$B$47)*('Assumptions'!$C$47-'Assumptions'!$B$47)),'Assumptions'!$D$47-SQRT((1-B328)*('Assumptions'!$D$47-'Assumptions'!$B$47)*('Assumptions'!$D$47-'Assumptions'!$C$47)))</x:f>
        <x:v>0.0018676110607990654</x:v>
      </x:c>
      <x:c r="H328" s="132" t="n">
        <x:f>IF(C328&lt;(('Assumptions'!$C$48-'Assumptions'!$B$48)/('Assumptions'!$D$48-'Assumptions'!$B$48)),'Assumptions'!$B$48+SQRT(C328*('Assumptions'!$D$48-'Assumptions'!$B$48)*('Assumptions'!$C$48-'Assumptions'!$B$48)),'Assumptions'!$D$48-SQRT((1-C328)*('Assumptions'!$D$48-'Assumptions'!$B$48)*('Assumptions'!$D$48-'Assumptions'!$C$48)))</x:f>
        <x:v>0.04793609205622896</x:v>
      </x:c>
      <x:c r="I328" s="132" t="n">
        <x:f>IF(D328&lt;(('Assumptions'!$C$49-'Assumptions'!$B$49)/('Assumptions'!$D$49-'Assumptions'!$B$49)),'Assumptions'!$B$49+SQRT(D328*('Assumptions'!$D$49-'Assumptions'!$B$49)*('Assumptions'!$C$49-'Assumptions'!$B$49)),'Assumptions'!$D$49-SQRT((1-D328)*('Assumptions'!$D$49-'Assumptions'!$B$49)*('Assumptions'!$D$49-'Assumptions'!$C$49)))</x:f>
        <x:v>0.03024448719370229</x:v>
      </x:c>
      <x:c r="J328" s="132" t="n">
        <x:f>IF(E328&lt;(('Assumptions'!$C$50-'Assumptions'!$B$50)/('Assumptions'!$D$50-'Assumptions'!$B$50)),'Assumptions'!$B$50+SQRT(E328*('Assumptions'!$D$50-'Assumptions'!$B$50)*('Assumptions'!$C$50-'Assumptions'!$B$50)),'Assumptions'!$D$50-SQRT((1-E328)*('Assumptions'!$D$50-'Assumptions'!$B$50)*('Assumptions'!$D$50-'Assumptions'!$C$50)))</x:f>
        <x:v>0.0667487031874884</x:v>
      </x:c>
      <x:c r="K328" s="132" t="n">
        <x:f>IF(F328&lt;(('Assumptions'!$C$51-'Assumptions'!$B$51)/('Assumptions'!$D$51-'Assumptions'!$B$51)),'Assumptions'!$B$51+SQRT(F328*('Assumptions'!$D$51-'Assumptions'!$B$51)*('Assumptions'!$C$51-'Assumptions'!$B$51)),'Assumptions'!$D$51-SQRT((1-F328)*('Assumptions'!$D$51-'Assumptions'!$B$51)*('Assumptions'!$D$51-'Assumptions'!$C$51)))</x:f>
        <x:v>0.0653420906148899</x:v>
      </x:c>
      <x:c r="L328" s="133" t="n">
        <x:f>(('Assumptions'!$B$17*(1+G328)+'Assumptions'!$B$18)*(1-H328-'Assumptions'!$B$20)-SUM('Assumptions'!$B$21:$B$25)*(1+I328))-(('Assumptions'!$B$17*(1+G328)+'Assumptions'!$B$18)*(1-H328-'Assumptions'!$B$20)*'Assumptions'!$B$26)</x:f>
        <x:v>212653.39726980095</x:v>
      </x:c>
      <x:c r="M328" s="133" t="n">
        <x:f>'Assumptions'!$B$10*'Assumptions'!$B$33</x:f>
        <x:v>1950000</x:v>
      </x:c>
      <x:c r="N328" s="133" t="n">
        <x:f>-PMT(K328/12,'Assumptions'!$B$35*12,M328)*12</x:f>
        <x:v>148430.75383239033</x:v>
      </x:c>
      <x:c r="O328" s="133" t="n">
        <x:f>(L328*(1+'Assumptions'!$B$29)^('Assumptions'!$B$14/12)/J328)*(1-'Assumptions'!$B$42)-'Debt Schedule'!$F$9</x:f>
        <x:v>3471710.235325341</x:v>
      </x:c>
      <x:c r="P328" s="132" t="n">
        <x:f>((O328+(L328-N328-'Assumptions'!$B$27-'Assumptions'!$B$28)*('Assumptions'!$B$14/12))/ABS('Monthly Cash Flow'!$S$5))^(1/('Assumptions'!$B$14/12))-1</x:f>
        <x:v>0.22649777430206663</x:v>
      </x:c>
      <x:c r="Q328" s="133" t="n">
        <x:f>-ABS('Monthly Cash Flow'!$S$5)+((L328-N328-'Assumptions'!$B$27-'Assumptions'!$B$28)*(1-(1+'Assumptions'!$B$43)^-('Assumptions'!$B$14/12))/'Assumptions'!$B$43)+(O328/(1+'Assumptions'!$B$43)^('Assumptions'!$B$14/12))</x:f>
        <x:v>952981.7888588556</x:v>
      </x:c>
    </x:row>
    <x:row r="329">
      <x:c r="A329" s="131" t="n">
        <x:f>322</x:f>
        <x:v>322</x:v>
      </x:c>
      <x:c r="B329" s="131" t="n">
        <x:f>MOD(ABS(SIN((A329+1)*12.9898+78.233)*43758.5453),1)</x:f>
        <x:v>0.09748587825743016</x:v>
      </x:c>
      <x:c r="C329" s="131" t="n">
        <x:f>MOD(ABS(SIN((A329+2)*12.9898+78.233)*43758.5453),1)</x:f>
        <x:v>0.3360470903935493</x:v>
      </x:c>
      <x:c r="D329" s="131" t="n">
        <x:f>MOD(ABS(SIN((A329+3)*12.9898+78.233)*43758.5453),1)</x:f>
        <x:v>0.3801711584455916</x:v>
      </x:c>
      <x:c r="E329" s="131" t="n">
        <x:f>MOD(ABS(SIN((A329+4)*12.9898+78.233)*43758.5453),1)</x:f>
        <x:v>0.22363049168052385</x:v>
      </x:c>
      <x:c r="F329" s="131" t="n">
        <x:f>MOD(ABS(SIN((A329+5)*12.9898+78.233)*43758.5453),1)</x:f>
        <x:v>0.9339035578764197</x:v>
      </x:c>
      <x:c r="G329" s="132" t="n">
        <x:f>IF(B329&lt;(('Assumptions'!$C$47-'Assumptions'!$B$47)/('Assumptions'!$D$47-'Assumptions'!$B$47)),'Assumptions'!$B$47+SQRT(B329*('Assumptions'!$D$47-'Assumptions'!$B$47)*('Assumptions'!$C$47-'Assumptions'!$B$47)),'Assumptions'!$D$47-SQRT((1-B329)*('Assumptions'!$D$47-'Assumptions'!$B$47)*('Assumptions'!$D$47-'Assumptions'!$C$47)))</x:f>
        <x:v>-0.05162995681024955</x:v>
      </x:c>
      <x:c r="H329" s="132" t="n">
        <x:f>IF(C329&lt;(('Assumptions'!$C$48-'Assumptions'!$B$48)/('Assumptions'!$D$48-'Assumptions'!$B$48)),'Assumptions'!$B$48+SQRT(C329*('Assumptions'!$D$48-'Assumptions'!$B$48)*('Assumptions'!$C$48-'Assumptions'!$B$48)),'Assumptions'!$D$48-SQRT((1-C329)*('Assumptions'!$D$48-'Assumptions'!$B$48)*('Assumptions'!$D$48-'Assumptions'!$C$48)))</x:f>
        <x:v>0.06356188382399286</x:v>
      </x:c>
      <x:c r="I329" s="132" t="n">
        <x:f>IF(D329&lt;(('Assumptions'!$C$49-'Assumptions'!$B$49)/('Assumptions'!$D$49-'Assumptions'!$B$49)),'Assumptions'!$B$49+SQRT(D329*('Assumptions'!$D$49-'Assumptions'!$B$49)*('Assumptions'!$C$49-'Assumptions'!$B$49)),'Assumptions'!$D$49-SQRT((1-D329)*('Assumptions'!$D$49-'Assumptions'!$B$49)*('Assumptions'!$D$49-'Assumptions'!$C$49)))</x:f>
        <x:v>0.03429216544427417</x:v>
      </x:c>
      <x:c r="J329" s="132" t="n">
        <x:f>IF(E329&lt;(('Assumptions'!$C$50-'Assumptions'!$B$50)/('Assumptions'!$D$50-'Assumptions'!$B$50)),'Assumptions'!$B$50+SQRT(E329*('Assumptions'!$D$50-'Assumptions'!$B$50)*('Assumptions'!$C$50-'Assumptions'!$B$50)),'Assumptions'!$D$50-SQRT((1-E329)*('Assumptions'!$D$50-'Assumptions'!$B$50)*('Assumptions'!$D$50-'Assumptions'!$C$50)))</x:f>
        <x:v>0.06459343785678834</x:v>
      </x:c>
      <x:c r="K329" s="132" t="n">
        <x:f>IF(F329&lt;(('Assumptions'!$C$51-'Assumptions'!$B$51)/('Assumptions'!$D$51-'Assumptions'!$B$51)),'Assumptions'!$B$51+SQRT(F329*('Assumptions'!$D$51-'Assumptions'!$B$51)*('Assumptions'!$C$51-'Assumptions'!$B$51)),'Assumptions'!$D$51-SQRT((1-F329)*('Assumptions'!$D$51-'Assumptions'!$B$51)*('Assumptions'!$D$51-'Assumptions'!$C$51)))</x:f>
        <x:v>0.07936006092479954</x:v>
      </x:c>
      <x:c r="L329" s="133" t="n">
        <x:f>(('Assumptions'!$B$17*(1+G329)+'Assumptions'!$B$18)*(1-H329-'Assumptions'!$B$20)-SUM('Assumptions'!$B$21:$B$25)*(1+I329))-(('Assumptions'!$B$17*(1+G329)+'Assumptions'!$B$18)*(1-H329-'Assumptions'!$B$20)*'Assumptions'!$B$26)</x:f>
        <x:v>189334.32540170566</x:v>
      </x:c>
      <x:c r="M329" s="133" t="n">
        <x:f>'Assumptions'!$B$10*'Assumptions'!$B$33</x:f>
        <x:v>1950000</x:v>
      </x:c>
      <x:c r="N329" s="133" t="n">
        <x:f>-PMT(K329/12,'Assumptions'!$B$35*12,M329)*12</x:f>
        <x:v>170658.15409441962</x:v>
      </x:c>
      <x:c r="O329" s="133" t="n">
        <x:f>(L329*(1+'Assumptions'!$B$29)^('Assumptions'!$B$14/12)/J329)*(1-'Assumptions'!$B$42)-'Debt Schedule'!$F$9</x:f>
        <x:v>3194147.256597796</x:v>
      </x:c>
      <x:c r="P329" s="132" t="n">
        <x:f>((O329+(L329-N329-'Assumptions'!$B$27-'Assumptions'!$B$28)*('Assumptions'!$B$14/12))/ABS('Monthly Cash Flow'!$S$5))^(1/('Assumptions'!$B$14/12))-1</x:f>
        <x:v>0.1898761873114354</x:v>
      </x:c>
      <x:c r="Q329" s="133" t="n">
        <x:f>-ABS('Monthly Cash Flow'!$S$5)+((L329-N329-'Assumptions'!$B$27-'Assumptions'!$B$28)*(1-(1+'Assumptions'!$B$43)^-('Assumptions'!$B$14/12))/'Assumptions'!$B$43)+(O329/(1+'Assumptions'!$B$43)^('Assumptions'!$B$14/12))</x:f>
        <x:v>607980.0529310014</x:v>
      </x:c>
    </x:row>
    <x:row r="330">
      <x:c r="A330" s="131" t="n">
        <x:f>323</x:f>
        <x:v>323</x:v>
      </x:c>
      <x:c r="B330" s="131" t="n">
        <x:f>MOD(ABS(SIN((A330+1)*12.9898+78.233)*43758.5453),1)</x:f>
        <x:v>0.3360470903935493</x:v>
      </x:c>
      <x:c r="C330" s="131" t="n">
        <x:f>MOD(ABS(SIN((A330+2)*12.9898+78.233)*43758.5453),1)</x:f>
        <x:v>0.3801711584455916</x:v>
      </x:c>
      <x:c r="D330" s="131" t="n">
        <x:f>MOD(ABS(SIN((A330+3)*12.9898+78.233)*43758.5453),1)</x:f>
        <x:v>0.22363049168052385</x:v>
      </x:c>
      <x:c r="E330" s="131" t="n">
        <x:f>MOD(ABS(SIN((A330+4)*12.9898+78.233)*43758.5453),1)</x:f>
        <x:v>0.9339035578764197</x:v>
      </x:c>
      <x:c r="F330" s="131" t="n">
        <x:f>MOD(ABS(SIN((A330+5)*12.9898+78.233)*43758.5453),1)</x:f>
        <x:v>0.22178958661243087</x:v>
      </x:c>
      <x:c r="G330" s="132" t="n">
        <x:f>IF(B330&lt;(('Assumptions'!$C$47-'Assumptions'!$B$47)/('Assumptions'!$D$47-'Assumptions'!$B$47)),'Assumptions'!$B$47+SQRT(B330*('Assumptions'!$D$47-'Assumptions'!$B$47)*('Assumptions'!$C$47-'Assumptions'!$B$47)),'Assumptions'!$D$47-SQRT((1-B330)*('Assumptions'!$D$47-'Assumptions'!$B$47)*('Assumptions'!$D$47-'Assumptions'!$C$47)))</x:f>
        <x:v>-0.010193930219359992</x:v>
      </x:c>
      <x:c r="H330" s="132" t="n">
        <x:f>IF(C330&lt;(('Assumptions'!$C$48-'Assumptions'!$B$48)/('Assumptions'!$D$48-'Assumptions'!$B$48)),'Assumptions'!$B$48+SQRT(C330*('Assumptions'!$D$48-'Assumptions'!$B$48)*('Assumptions'!$C$48-'Assumptions'!$B$48)),'Assumptions'!$D$48-SQRT((1-C330)*('Assumptions'!$D$48-'Assumptions'!$B$48)*('Assumptions'!$D$48-'Assumptions'!$C$48)))</x:f>
        <x:v>0.06614545507770836</x:v>
      </x:c>
      <x:c r="I330" s="132" t="n">
        <x:f>IF(D330&lt;(('Assumptions'!$C$49-'Assumptions'!$B$49)/('Assumptions'!$D$49-'Assumptions'!$B$49)),'Assumptions'!$B$49+SQRT(D330*('Assumptions'!$D$49-'Assumptions'!$B$49)*('Assumptions'!$C$49-'Assumptions'!$B$49)),'Assumptions'!$D$49-SQRT((1-D330)*('Assumptions'!$D$49-'Assumptions'!$B$49)*('Assumptions'!$D$49-'Assumptions'!$C$49)))</x:f>
        <x:v>0.019144779073159514</x:v>
      </x:c>
      <x:c r="J330" s="132" t="n">
        <x:f>IF(E330&lt;(('Assumptions'!$C$50-'Assumptions'!$B$50)/('Assumptions'!$D$50-'Assumptions'!$B$50)),'Assumptions'!$B$50+SQRT(E330*('Assumptions'!$D$50-'Assumptions'!$B$50)*('Assumptions'!$C$50-'Assumptions'!$B$50)),'Assumptions'!$D$50-SQRT((1-E330)*('Assumptions'!$D$50-'Assumptions'!$B$50)*('Assumptions'!$D$50-'Assumptions'!$C$50)))</x:f>
        <x:v>0.07568843133566715</x:v>
      </x:c>
      <x:c r="K330" s="132" t="n">
        <x:f>IF(F330&lt;(('Assumptions'!$C$51-'Assumptions'!$B$51)/('Assumptions'!$D$51-'Assumptions'!$B$51)),'Assumptions'!$B$51+SQRT(F330*('Assumptions'!$D$51-'Assumptions'!$B$51)*('Assumptions'!$C$51-'Assumptions'!$B$51)),'Assumptions'!$D$51-SQRT((1-F330)*('Assumptions'!$D$51-'Assumptions'!$B$51)*('Assumptions'!$D$51-'Assumptions'!$C$51)))</x:f>
        <x:v>0.06530974623905403</x:v>
      </x:c>
      <x:c r="L330" s="133" t="n">
        <x:f>(('Assumptions'!$B$17*(1+G330)+'Assumptions'!$B$18)*(1-H330-'Assumptions'!$B$20)-SUM('Assumptions'!$B$21:$B$25)*(1+I330))-(('Assumptions'!$B$17*(1+G330)+'Assumptions'!$B$18)*(1-H330-'Assumptions'!$B$20)*'Assumptions'!$B$26)</x:f>
        <x:v>203581.334949422</x:v>
      </x:c>
      <x:c r="M330" s="133" t="n">
        <x:f>'Assumptions'!$B$10*'Assumptions'!$B$33</x:f>
        <x:v>1950000</x:v>
      </x:c>
      <x:c r="N330" s="133" t="n">
        <x:f>-PMT(K330/12,'Assumptions'!$B$35*12,M330)*12</x:f>
        <x:v>148380.90836816438</x:v>
      </x:c>
      <x:c r="O330" s="133" t="n">
        <x:f>(L330*(1+'Assumptions'!$B$29)^('Assumptions'!$B$14/12)/J330)*(1-'Assumptions'!$B$42)-'Debt Schedule'!$F$9</x:f>
        <x:v>2931044.6244723857</x:v>
      </x:c>
      <x:c r="P330" s="132" t="n">
        <x:f>((O330+(L330-N330-'Assumptions'!$B$27-'Assumptions'!$B$28)*('Assumptions'!$B$14/12))/ABS('Monthly Cash Flow'!$S$5))^(1/('Assumptions'!$B$14/12))-1</x:f>
        <x:v>0.183607273354933</x:v>
      </x:c>
      <x:c r="Q330" s="133" t="n">
        <x:f>-ABS('Monthly Cash Flow'!$S$5)+((L330-N330-'Assumptions'!$B$27-'Assumptions'!$B$28)*(1-(1+'Assumptions'!$B$43)^-('Assumptions'!$B$14/12))/'Assumptions'!$B$43)+(O330/(1+'Assumptions'!$B$43)^('Assumptions'!$B$14/12))</x:f>
        <x:v>583069.6821464137</x:v>
      </x:c>
    </x:row>
    <x:row r="331">
      <x:c r="A331" s="131" t="n">
        <x:f>324</x:f>
        <x:v>324</x:v>
      </x:c>
      <x:c r="B331" s="131" t="n">
        <x:f>MOD(ABS(SIN((A331+1)*12.9898+78.233)*43758.5453),1)</x:f>
        <x:v>0.3801711584455916</x:v>
      </x:c>
      <x:c r="C331" s="131" t="n">
        <x:f>MOD(ABS(SIN((A331+2)*12.9898+78.233)*43758.5453),1)</x:f>
        <x:v>0.22363049168052385</x:v>
      </x:c>
      <x:c r="D331" s="131" t="n">
        <x:f>MOD(ABS(SIN((A331+3)*12.9898+78.233)*43758.5453),1)</x:f>
        <x:v>0.9339035578764197</x:v>
      </x:c>
      <x:c r="E331" s="131" t="n">
        <x:f>MOD(ABS(SIN((A331+4)*12.9898+78.233)*43758.5453),1)</x:f>
        <x:v>0.22178958661243087</x:v>
      </x:c>
      <x:c r="F331" s="131" t="n">
        <x:f>MOD(ABS(SIN((A331+5)*12.9898+78.233)*43758.5453),1)</x:f>
        <x:v>0.024853368162439438</x:v>
      </x:c>
      <x:c r="G331" s="132" t="n">
        <x:f>IF(B331&lt;(('Assumptions'!$C$47-'Assumptions'!$B$47)/('Assumptions'!$D$47-'Assumptions'!$B$47)),'Assumptions'!$B$47+SQRT(B331*('Assumptions'!$D$47-'Assumptions'!$B$47)*('Assumptions'!$C$47-'Assumptions'!$B$47)),'Assumptions'!$D$47-SQRT((1-B331)*('Assumptions'!$D$47-'Assumptions'!$B$47)*('Assumptions'!$D$47-'Assumptions'!$C$47)))</x:f>
        <x:v>-0.004479804215578587</x:v>
      </x:c>
      <x:c r="H331" s="132" t="n">
        <x:f>IF(C331&lt;(('Assumptions'!$C$48-'Assumptions'!$B$48)/('Assumptions'!$D$48-'Assumptions'!$B$48)),'Assumptions'!$B$48+SQRT(C331*('Assumptions'!$D$48-'Assumptions'!$B$48)*('Assumptions'!$C$48-'Assumptions'!$B$48)),'Assumptions'!$D$48-SQRT((1-C331)*('Assumptions'!$D$48-'Assumptions'!$B$48)*('Assumptions'!$D$48-'Assumptions'!$C$48)))</x:f>
        <x:v>0.057165798765096684</x:v>
      </x:c>
      <x:c r="I331" s="132" t="n">
        <x:f>IF(D331&lt;(('Assumptions'!$C$49-'Assumptions'!$B$49)/('Assumptions'!$D$49-'Assumptions'!$B$49)),'Assumptions'!$B$49+SQRT(D331*('Assumptions'!$D$49-'Assumptions'!$B$49)*('Assumptions'!$C$49-'Assumptions'!$B$49)),'Assumptions'!$D$49-SQRT((1-D331)*('Assumptions'!$D$49-'Assumptions'!$B$49)*('Assumptions'!$D$49-'Assumptions'!$C$49)))</x:f>
        <x:v>0.11221530534899962</x:v>
      </x:c>
      <x:c r="J331" s="132" t="n">
        <x:f>IF(E331&lt;(('Assumptions'!$C$50-'Assumptions'!$B$50)/('Assumptions'!$D$50-'Assumptions'!$B$50)),'Assumptions'!$B$50+SQRT(E331*('Assumptions'!$D$50-'Assumptions'!$B$50)*('Assumptions'!$C$50-'Assumptions'!$B$50)),'Assumptions'!$D$50-SQRT((1-E331)*('Assumptions'!$D$50-'Assumptions'!$B$50)*('Assumptions'!$D$50-'Assumptions'!$C$50)))</x:f>
        <x:v>0.06456418126804493</x:v>
      </x:c>
      <x:c r="K331" s="132" t="n">
        <x:f>IF(F331&lt;(('Assumptions'!$C$51-'Assumptions'!$B$51)/('Assumptions'!$D$51-'Assumptions'!$B$51)),'Assumptions'!$B$51+SQRT(F331*('Assumptions'!$D$51-'Assumptions'!$B$51)*('Assumptions'!$C$51-'Assumptions'!$B$51)),'Assumptions'!$D$51-SQRT((1-F331)*('Assumptions'!$D$51-'Assumptions'!$B$51)*('Assumptions'!$D$51-'Assumptions'!$C$51)))</x:f>
        <x:v>0.060114321373639985</x:v>
      </x:c>
      <x:c r="L331" s="133" t="n">
        <x:f>(('Assumptions'!$B$17*(1+G331)+'Assumptions'!$B$18)*(1-H331-'Assumptions'!$B$20)-SUM('Assumptions'!$B$21:$B$25)*(1+I331))-(('Assumptions'!$B$17*(1+G331)+'Assumptions'!$B$18)*(1-H331-'Assumptions'!$B$20)*'Assumptions'!$B$26)</x:f>
        <x:v>196923.51358883636</x:v>
      </x:c>
      <x:c r="M331" s="133" t="n">
        <x:f>'Assumptions'!$B$10*'Assumptions'!$B$33</x:f>
        <x:v>1950000</x:v>
      </x:c>
      <x:c r="N331" s="133" t="n">
        <x:f>-PMT(K331/12,'Assumptions'!$B$35*12,M331)*12</x:f>
        <x:v>140466.8576986949</x:v>
      </x:c>
      <x:c r="O331" s="133" t="n">
        <x:f>(L331*(1+'Assumptions'!$B$29)^('Assumptions'!$B$14/12)/J331)*(1-'Assumptions'!$B$42)-'Debt Schedule'!$F$9</x:f>
        <x:v>3323685.3666166477</x:v>
      </x:c>
      <x:c r="P331" s="132" t="n">
        <x:f>((O331+(L331-N331-'Assumptions'!$B$27-'Assumptions'!$B$28)*('Assumptions'!$B$14/12))/ABS('Monthly Cash Flow'!$S$5))^(1/('Assumptions'!$B$14/12))-1</x:f>
        <x:v>0.21346629564298136</x:v>
      </x:c>
      <x:c r="Q331" s="133" t="n">
        <x:f>-ABS('Monthly Cash Flow'!$S$5)+((L331-N331-'Assumptions'!$B$27-'Assumptions'!$B$28)*(1-(1+'Assumptions'!$B$43)^-('Assumptions'!$B$14/12))/'Assumptions'!$B$43)+(O331/(1+'Assumptions'!$B$43)^('Assumptions'!$B$14/12))</x:f>
        <x:v>831630.7886890173</x:v>
      </x:c>
    </x:row>
    <x:row r="332">
      <x:c r="A332" s="131" t="n">
        <x:f>325</x:f>
        <x:v>325</x:v>
      </x:c>
      <x:c r="B332" s="131" t="n">
        <x:f>MOD(ABS(SIN((A332+1)*12.9898+78.233)*43758.5453),1)</x:f>
        <x:v>0.22363049168052385</x:v>
      </x:c>
      <x:c r="C332" s="131" t="n">
        <x:f>MOD(ABS(SIN((A332+2)*12.9898+78.233)*43758.5453),1)</x:f>
        <x:v>0.9339035578764197</x:v>
      </x:c>
      <x:c r="D332" s="131" t="n">
        <x:f>MOD(ABS(SIN((A332+3)*12.9898+78.233)*43758.5453),1)</x:f>
        <x:v>0.22178958661243087</x:v>
      </x:c>
      <x:c r="E332" s="131" t="n">
        <x:f>MOD(ABS(SIN((A332+4)*12.9898+78.233)*43758.5453),1)</x:f>
        <x:v>0.024853368162439438</x:v>
      </x:c>
      <x:c r="F332" s="131" t="n">
        <x:f>MOD(ABS(SIN((A332+5)*12.9898+78.233)*43758.5453),1)</x:f>
        <x:v>0.7379416754993144</x:v>
      </x:c>
      <x:c r="G332" s="132" t="n">
        <x:f>IF(B332&lt;(('Assumptions'!$C$47-'Assumptions'!$B$47)/('Assumptions'!$D$47-'Assumptions'!$B$47)),'Assumptions'!$B$47+SQRT(B332*('Assumptions'!$D$47-'Assumptions'!$B$47)*('Assumptions'!$C$47-'Assumptions'!$B$47)),'Assumptions'!$D$47-SQRT((1-B332)*('Assumptions'!$D$47-'Assumptions'!$B$47)*('Assumptions'!$D$47-'Assumptions'!$C$47)))</x:f>
        <x:v>-0.026739288835470804</x:v>
      </x:c>
      <x:c r="H332" s="132" t="n">
        <x:f>IF(C332&lt;(('Assumptions'!$C$48-'Assumptions'!$B$48)/('Assumptions'!$D$48-'Assumptions'!$B$48)),'Assumptions'!$B$48+SQRT(C332*('Assumptions'!$D$48-'Assumptions'!$B$48)*('Assumptions'!$C$48-'Assumptions'!$B$48)),'Assumptions'!$D$48-SQRT((1-C332)*('Assumptions'!$D$48-'Assumptions'!$B$48)*('Assumptions'!$D$48-'Assumptions'!$C$48)))</x:f>
        <x:v>0.11588260605522424</x:v>
      </x:c>
      <x:c r="I332" s="132" t="n">
        <x:f>IF(D332&lt;(('Assumptions'!$C$49-'Assumptions'!$B$49)/('Assumptions'!$D$49-'Assumptions'!$B$49)),'Assumptions'!$B$49+SQRT(D332*('Assumptions'!$D$49-'Assumptions'!$B$49)*('Assumptions'!$C$49-'Assumptions'!$B$49)),'Assumptions'!$D$49-SQRT((1-D332)*('Assumptions'!$D$49-'Assumptions'!$B$49)*('Assumptions'!$D$49-'Assumptions'!$C$49)))</x:f>
        <x:v>0.018942083480520663</x:v>
      </x:c>
      <x:c r="J332" s="132" t="n">
        <x:f>IF(E332&lt;(('Assumptions'!$C$50-'Assumptions'!$B$50)/('Assumptions'!$D$50-'Assumptions'!$B$50)),'Assumptions'!$B$50+SQRT(E332*('Assumptions'!$D$50-'Assumptions'!$B$50)*('Assumptions'!$C$50-'Assumptions'!$B$50)),'Assumptions'!$D$50-SQRT((1-E332)*('Assumptions'!$D$50-'Assumptions'!$B$50)*('Assumptions'!$D$50-'Assumptions'!$C$50)))</x:f>
        <x:v>0.05986474265757374</x:v>
      </x:c>
      <x:c r="K332" s="132" t="n">
        <x:f>IF(F332&lt;(('Assumptions'!$C$51-'Assumptions'!$B$51)/('Assumptions'!$D$51-'Assumptions'!$B$51)),'Assumptions'!$B$51+SQRT(F332*('Assumptions'!$D$51-'Assumptions'!$B$51)*('Assumptions'!$C$51-'Assumptions'!$B$51)),'Assumptions'!$D$51-SQRT((1-F332)*('Assumptions'!$D$51-'Assumptions'!$B$51)*('Assumptions'!$D$51-'Assumptions'!$C$51)))</x:f>
        <x:v>0.07376988118201971</x:v>
      </x:c>
      <x:c r="L332" s="133" t="n">
        <x:f>(('Assumptions'!$B$17*(1+G332)+'Assumptions'!$B$18)*(1-H332-'Assumptions'!$B$20)-SUM('Assumptions'!$B$21:$B$25)*(1+I332))-(('Assumptions'!$B$17*(1+G332)+'Assumptions'!$B$18)*(1-H332-'Assumptions'!$B$20)*'Assumptions'!$B$26)</x:f>
        <x:v>180735.21270153546</x:v>
      </x:c>
      <x:c r="M332" s="133" t="n">
        <x:f>'Assumptions'!$B$10*'Assumptions'!$B$33</x:f>
        <x:v>1950000</x:v>
      </x:c>
      <x:c r="N332" s="133" t="n">
        <x:f>-PMT(K332/12,'Assumptions'!$B$35*12,M332)*12</x:f>
        <x:v>161649.69219433353</x:v>
      </x:c>
      <x:c r="O332" s="133" t="n">
        <x:f>(L332*(1+'Assumptions'!$B$29)^('Assumptions'!$B$14/12)/J332)*(1-'Assumptions'!$B$42)-'Debt Schedule'!$F$9</x:f>
        <x:v>3289922.229193613</x:v>
      </x:c>
      <x:c r="P332" s="132" t="n">
        <x:f>((O332+(L332-N332-'Assumptions'!$B$27-'Assumptions'!$B$28)*('Assumptions'!$B$14/12))/ABS('Monthly Cash Flow'!$S$5))^(1/('Assumptions'!$B$14/12))-1</x:f>
        <x:v>0.1973221481853038</x:v>
      </x:c>
      <x:c r="Q332" s="133" t="n">
        <x:f>-ABS('Monthly Cash Flow'!$S$5)+((L332-N332-'Assumptions'!$B$27-'Assumptions'!$B$28)*(1-(1+'Assumptions'!$B$43)^-('Assumptions'!$B$14/12))/'Assumptions'!$B$43)+(O332/(1+'Assumptions'!$B$43)^('Assumptions'!$B$14/12))</x:f>
        <x:v>669000.5311622592</x:v>
      </x:c>
    </x:row>
    <x:row r="333">
      <x:c r="A333" s="131" t="n">
        <x:f>326</x:f>
        <x:v>326</x:v>
      </x:c>
      <x:c r="B333" s="131" t="n">
        <x:f>MOD(ABS(SIN((A333+1)*12.9898+78.233)*43758.5453),1)</x:f>
        <x:v>0.9339035578764197</x:v>
      </x:c>
      <x:c r="C333" s="131" t="n">
        <x:f>MOD(ABS(SIN((A333+2)*12.9898+78.233)*43758.5453),1)</x:f>
        <x:v>0.22178958661243087</x:v>
      </x:c>
      <x:c r="D333" s="131" t="n">
        <x:f>MOD(ABS(SIN((A333+3)*12.9898+78.233)*43758.5453),1)</x:f>
        <x:v>0.024853368162439438</x:v>
      </x:c>
      <x:c r="E333" s="131" t="n">
        <x:f>MOD(ABS(SIN((A333+4)*12.9898+78.233)*43758.5453),1)</x:f>
        <x:v>0.7379416754993144</x:v>
      </x:c>
      <x:c r="F333" s="131" t="n">
        <x:f>MOD(ABS(SIN((A333+5)*12.9898+78.233)*43758.5453),1)</x:f>
        <x:v>0.31982157992752036</x:v>
      </x:c>
      <x:c r="G333" s="132" t="n">
        <x:f>IF(B333&lt;(('Assumptions'!$C$47-'Assumptions'!$B$47)/('Assumptions'!$D$47-'Assumptions'!$B$47)),'Assumptions'!$B$47+SQRT(B333*('Assumptions'!$D$47-'Assumptions'!$B$47)*('Assumptions'!$C$47-'Assumptions'!$B$47)),'Assumptions'!$D$47-SQRT((1-B333)*('Assumptions'!$D$47-'Assumptions'!$B$47)*('Assumptions'!$D$47-'Assumptions'!$C$47)))</x:f>
        <x:v>0.0674801126389207</x:v>
      </x:c>
      <x:c r="H333" s="132" t="n">
        <x:f>IF(C333&lt;(('Assumptions'!$C$48-'Assumptions'!$B$48)/('Assumptions'!$D$48-'Assumptions'!$B$48)),'Assumptions'!$B$48+SQRT(C333*('Assumptions'!$D$48-'Assumptions'!$B$48)*('Assumptions'!$C$48-'Assumptions'!$B$48)),'Assumptions'!$D$48-SQRT((1-C333)*('Assumptions'!$D$48-'Assumptions'!$B$48)*('Assumptions'!$D$48-'Assumptions'!$C$48)))</x:f>
        <x:v>0.05705375456052306</x:v>
      </x:c>
      <x:c r="I333" s="132" t="n">
        <x:f>IF(D333&lt;(('Assumptions'!$C$49-'Assumptions'!$B$49)/('Assumptions'!$D$49-'Assumptions'!$B$49)),'Assumptions'!$B$49+SQRT(D333*('Assumptions'!$D$49-'Assumptions'!$B$49)*('Assumptions'!$C$49-'Assumptions'!$B$49)),'Assumptions'!$D$49-SQRT((1-D333)*('Assumptions'!$D$49-'Assumptions'!$B$49)*('Assumptions'!$D$49-'Assumptions'!$C$49)))</x:f>
        <x:v>-0.01361658228102738</x:v>
      </x:c>
      <x:c r="J333" s="132" t="n">
        <x:f>IF(E333&lt;(('Assumptions'!$C$50-'Assumptions'!$B$50)/('Assumptions'!$D$50-'Assumptions'!$B$50)),'Assumptions'!$B$50+SQRT(E333*('Assumptions'!$D$50-'Assumptions'!$B$50)*('Assumptions'!$C$50-'Assumptions'!$B$50)),'Assumptions'!$D$50-SQRT((1-E333)*('Assumptions'!$D$50-'Assumptions'!$B$50)*('Assumptions'!$D$50-'Assumptions'!$C$50)))</x:f>
        <x:v>0.07141490222735829</x:v>
      </x:c>
      <x:c r="K333" s="132" t="n">
        <x:f>IF(F333&lt;(('Assumptions'!$C$51-'Assumptions'!$B$51)/('Assumptions'!$D$51-'Assumptions'!$B$51)),'Assumptions'!$B$51+SQRT(F333*('Assumptions'!$D$51-'Assumptions'!$B$51)*('Assumptions'!$C$51-'Assumptions'!$B$51)),'Assumptions'!$D$51-SQRT((1-F333)*('Assumptions'!$D$51-'Assumptions'!$B$51)*('Assumptions'!$D$51-'Assumptions'!$C$51)))</x:f>
        <x:v>0.0668782159540111</x:v>
      </x:c>
      <x:c r="L333" s="133" t="n">
        <x:f>(('Assumptions'!$B$17*(1+G333)+'Assumptions'!$B$18)*(1-H333-'Assumptions'!$B$20)-SUM('Assumptions'!$B$21:$B$25)*(1+I333))-(('Assumptions'!$B$17*(1+G333)+'Assumptions'!$B$18)*(1-H333-'Assumptions'!$B$20)*'Assumptions'!$B$26)</x:f>
        <x:v>236020.58071939216</x:v>
      </x:c>
      <x:c r="M333" s="133" t="n">
        <x:f>'Assumptions'!$B$10*'Assumptions'!$B$33</x:f>
        <x:v>1950000</x:v>
      </x:c>
      <x:c r="N333" s="133" t="n">
        <x:f>-PMT(K333/12,'Assumptions'!$B$35*12,M333)*12</x:f>
        <x:v>150806.06508804107</x:v>
      </x:c>
      <x:c r="O333" s="133" t="n">
        <x:f>(L333*(1+'Assumptions'!$B$29)^('Assumptions'!$B$14/12)/J333)*(1-'Assumptions'!$B$42)-'Debt Schedule'!$F$9</x:f>
        <x:v>3601430.230859289</x:v>
      </x:c>
      <x:c r="P333" s="132" t="n">
        <x:f>((O333+(L333-N333-'Assumptions'!$B$27-'Assumptions'!$B$28)*('Assumptions'!$B$14/12))/ABS('Monthly Cash Flow'!$S$5))^(1/('Assumptions'!$B$14/12))-1</x:f>
        <x:v>0.24211753470129138</x:v>
      </x:c>
      <x:c r="Q333" s="133" t="n">
        <x:f>-ABS('Monthly Cash Flow'!$S$5)+((L333-N333-'Assumptions'!$B$27-'Assumptions'!$B$28)*(1-(1+'Assumptions'!$B$43)^-('Assumptions'!$B$14/12))/'Assumptions'!$B$43)+(O333/(1+'Assumptions'!$B$43)^('Assumptions'!$B$14/12))</x:f>
        <x:v>1113103.4114909251</x:v>
      </x:c>
    </x:row>
    <x:row r="334">
      <x:c r="A334" s="131" t="n">
        <x:f>327</x:f>
        <x:v>327</x:v>
      </x:c>
      <x:c r="B334" s="131" t="n">
        <x:f>MOD(ABS(SIN((A334+1)*12.9898+78.233)*43758.5453),1)</x:f>
        <x:v>0.22178958661243087</x:v>
      </x:c>
      <x:c r="C334" s="131" t="n">
        <x:f>MOD(ABS(SIN((A334+2)*12.9898+78.233)*43758.5453),1)</x:f>
        <x:v>0.024853368162439438</x:v>
      </x:c>
      <x:c r="D334" s="131" t="n">
        <x:f>MOD(ABS(SIN((A334+3)*12.9898+78.233)*43758.5453),1)</x:f>
        <x:v>0.7379416754993144</x:v>
      </x:c>
      <x:c r="E334" s="131" t="n">
        <x:f>MOD(ABS(SIN((A334+4)*12.9898+78.233)*43758.5453),1)</x:f>
        <x:v>0.31982157992752036</x:v>
      </x:c>
      <x:c r="F334" s="131" t="n">
        <x:f>MOD(ABS(SIN((A334+5)*12.9898+78.233)*43758.5453),1)</x:f>
        <x:v>0.5425443663771148</x:v>
      </x:c>
      <x:c r="G334" s="132" t="n">
        <x:f>IF(B334&lt;(('Assumptions'!$C$47-'Assumptions'!$B$47)/('Assumptions'!$D$47-'Assumptions'!$B$47)),'Assumptions'!$B$47+SQRT(B334*('Assumptions'!$D$47-'Assumptions'!$B$47)*('Assumptions'!$C$47-'Assumptions'!$B$47)),'Assumptions'!$D$47-SQRT((1-B334)*('Assumptions'!$D$47-'Assumptions'!$B$47)*('Assumptions'!$D$47-'Assumptions'!$C$47)))</x:f>
        <x:v>-0.02704144958472421</x:v>
      </x:c>
      <x:c r="H334" s="132" t="n">
        <x:f>IF(C334&lt;(('Assumptions'!$C$48-'Assumptions'!$B$48)/('Assumptions'!$D$48-'Assumptions'!$B$48)),'Assumptions'!$B$48+SQRT(C334*('Assumptions'!$D$48-'Assumptions'!$B$48)*('Assumptions'!$C$48-'Assumptions'!$B$48)),'Assumptions'!$D$48-SQRT((1-C334)*('Assumptions'!$D$48-'Assumptions'!$B$48)*('Assumptions'!$D$48-'Assumptions'!$C$48)))</x:f>
        <x:v>0.03905627489291542</x:v>
      </x:c>
      <x:c r="I334" s="132" t="n">
        <x:f>IF(D334&lt;(('Assumptions'!$C$49-'Assumptions'!$B$49)/('Assumptions'!$D$49-'Assumptions'!$B$49)),'Assumptions'!$B$49+SQRT(D334*('Assumptions'!$D$49-'Assumptions'!$B$49)*('Assumptions'!$C$49-'Assumptions'!$B$49)),'Assumptions'!$D$49-SQRT((1-D334)*('Assumptions'!$D$49-'Assumptions'!$B$49)*('Assumptions'!$D$49-'Assumptions'!$C$49)))</x:f>
        <x:v>0.07476397266458835</x:v>
      </x:c>
      <x:c r="J334" s="132" t="n">
        <x:f>IF(E334&lt;(('Assumptions'!$C$50-'Assumptions'!$B$50)/('Assumptions'!$D$50-'Assumptions'!$B$50)),'Assumptions'!$B$50+SQRT(E334*('Assumptions'!$D$50-'Assumptions'!$B$50)*('Assumptions'!$C$50-'Assumptions'!$B$50)),'Assumptions'!$D$50-SQRT((1-E334)*('Assumptions'!$D$50-'Assumptions'!$B$50)*('Assumptions'!$D$50-'Assumptions'!$C$50)))</x:f>
        <x:v>0.06598291550610355</x:v>
      </x:c>
      <x:c r="K334" s="132" t="n">
        <x:f>IF(F334&lt;(('Assumptions'!$C$51-'Assumptions'!$B$51)/('Assumptions'!$D$51-'Assumptions'!$B$51)),'Assumptions'!$B$51+SQRT(F334*('Assumptions'!$D$51-'Assumptions'!$B$51)*('Assumptions'!$C$51-'Assumptions'!$B$51)),'Assumptions'!$D$51-SQRT((1-F334)*('Assumptions'!$D$51-'Assumptions'!$B$51)*('Assumptions'!$D$51-'Assumptions'!$C$51)))</x:f>
        <x:v>0.07016252974119196</x:v>
      </x:c>
      <x:c r="L334" s="133" t="n">
        <x:f>(('Assumptions'!$B$17*(1+G334)+'Assumptions'!$B$18)*(1-H334-'Assumptions'!$B$20)-SUM('Assumptions'!$B$21:$B$25)*(1+I334))-(('Assumptions'!$B$17*(1+G334)+'Assumptions'!$B$18)*(1-H334-'Assumptions'!$B$20)*'Assumptions'!$B$26)</x:f>
        <x:v>200771.1300769049</x:v>
      </x:c>
      <x:c r="M334" s="133" t="n">
        <x:f>'Assumptions'!$B$10*'Assumptions'!$B$33</x:f>
        <x:v>1950000</x:v>
      </x:c>
      <x:c r="N334" s="133" t="n">
        <x:f>-PMT(K334/12,'Assumptions'!$B$35*12,M334)*12</x:f>
        <x:v>155936.28893738112</x:v>
      </x:c>
      <x:c r="O334" s="133" t="n">
        <x:f>(L334*(1+'Assumptions'!$B$29)^('Assumptions'!$B$14/12)/J334)*(1-'Assumptions'!$B$42)-'Debt Schedule'!$F$9</x:f>
        <x:v>3315764.9723414658</x:v>
      </x:c>
      <x:c r="P334" s="132" t="n">
        <x:f>((O334+(L334-N334-'Assumptions'!$B$27-'Assumptions'!$B$28)*('Assumptions'!$B$14/12))/ABS('Monthly Cash Flow'!$S$5))^(1/('Assumptions'!$B$14/12))-1</x:f>
        <x:v>0.2087244321905275</x:v>
      </x:c>
      <x:c r="Q334" s="133" t="n">
        <x:f>-ABS('Monthly Cash Flow'!$S$5)+((L334-N334-'Assumptions'!$B$27-'Assumptions'!$B$28)*(1-(1+'Assumptions'!$B$43)^-('Assumptions'!$B$14/12))/'Assumptions'!$B$43)+(O334/(1+'Assumptions'!$B$43)^('Assumptions'!$B$14/12))</x:f>
        <x:v>782657.0254033639</x:v>
      </x:c>
    </x:row>
    <x:row r="335">
      <x:c r="A335" s="131" t="n">
        <x:f>328</x:f>
        <x:v>328</x:v>
      </x:c>
      <x:c r="B335" s="131" t="n">
        <x:f>MOD(ABS(SIN((A335+1)*12.9898+78.233)*43758.5453),1)</x:f>
        <x:v>0.024853368162439438</x:v>
      </x:c>
      <x:c r="C335" s="131" t="n">
        <x:f>MOD(ABS(SIN((A335+2)*12.9898+78.233)*43758.5453),1)</x:f>
        <x:v>0.7379416754993144</x:v>
      </x:c>
      <x:c r="D335" s="131" t="n">
        <x:f>MOD(ABS(SIN((A335+3)*12.9898+78.233)*43758.5453),1)</x:f>
        <x:v>0.31982157992752036</x:v>
      </x:c>
      <x:c r="E335" s="131" t="n">
        <x:f>MOD(ABS(SIN((A335+4)*12.9898+78.233)*43758.5453),1)</x:f>
        <x:v>0.5425443663771148</x:v>
      </x:c>
      <x:c r="F335" s="131" t="n">
        <x:f>MOD(ABS(SIN((A335+5)*12.9898+78.233)*43758.5453),1)</x:f>
        <x:v>0.8220194442983484</x:v>
      </x:c>
      <x:c r="G335" s="132" t="n">
        <x:f>IF(B335&lt;(('Assumptions'!$C$47-'Assumptions'!$B$47)/('Assumptions'!$D$47-'Assumptions'!$B$47)),'Assumptions'!$B$47+SQRT(B335*('Assumptions'!$D$47-'Assumptions'!$B$47)*('Assumptions'!$C$47-'Assumptions'!$B$47)),'Assumptions'!$D$47-SQRT((1-B335)*('Assumptions'!$D$47-'Assumptions'!$B$47)*('Assumptions'!$D$47-'Assumptions'!$C$47)))</x:f>
        <x:v>-0.07557704285106846</x:v>
      </x:c>
      <x:c r="H335" s="132" t="n">
        <x:f>IF(C335&lt;(('Assumptions'!$C$48-'Assumptions'!$B$48)/('Assumptions'!$D$48-'Assumptions'!$B$48)),'Assumptions'!$B$48+SQRT(C335*('Assumptions'!$D$48-'Assumptions'!$B$48)*('Assumptions'!$C$48-'Assumptions'!$B$48)),'Assumptions'!$D$48-SQRT((1-C335)*('Assumptions'!$D$48-'Assumptions'!$B$48)*('Assumptions'!$D$48-'Assumptions'!$C$48)))</x:f>
        <x:v>0.09197799196612003</x:v>
      </x:c>
      <x:c r="I335" s="132" t="n">
        <x:f>IF(D335&lt;(('Assumptions'!$C$49-'Assumptions'!$B$49)/('Assumptions'!$D$49-'Assumptions'!$B$49)),'Assumptions'!$B$49+SQRT(D335*('Assumptions'!$D$49-'Assumptions'!$B$49)*('Assumptions'!$C$49-'Assumptions'!$B$49)),'Assumptions'!$D$49-SQRT((1-D335)*('Assumptions'!$D$49-'Assumptions'!$B$49)*('Assumptions'!$D$49-'Assumptions'!$C$49)))</x:f>
        <x:v>0.028771362611540834</x:v>
      </x:c>
      <x:c r="J335" s="132" t="n">
        <x:f>IF(E335&lt;(('Assumptions'!$C$50-'Assumptions'!$B$50)/('Assumptions'!$D$50-'Assumptions'!$B$50)),'Assumptions'!$B$50+SQRT(E335*('Assumptions'!$D$50-'Assumptions'!$B$50)*('Assumptions'!$C$50-'Assumptions'!$B$50)),'Assumptions'!$D$50-SQRT((1-E335)*('Assumptions'!$D$50-'Assumptions'!$B$50)*('Assumptions'!$D$50-'Assumptions'!$C$50)))</x:f>
        <x:v>0.06865718743183877</x:v>
      </x:c>
      <x:c r="K335" s="132" t="n">
        <x:f>IF(F335&lt;(('Assumptions'!$C$51-'Assumptions'!$B$51)/('Assumptions'!$D$51-'Assumptions'!$B$51)),'Assumptions'!$B$51+SQRT(F335*('Assumptions'!$D$51-'Assumptions'!$B$51)*('Assumptions'!$C$51-'Assumptions'!$B$51)),'Assumptions'!$D$51-SQRT((1-F335)*('Assumptions'!$D$51-'Assumptions'!$B$51)*('Assumptions'!$D$51-'Assumptions'!$C$51)))</x:f>
        <x:v>0.0757451017060467</x:v>
      </x:c>
      <x:c r="L335" s="133" t="n">
        <x:f>(('Assumptions'!$B$17*(1+G335)+'Assumptions'!$B$18)*(1-H335-'Assumptions'!$B$20)-SUM('Assumptions'!$B$21:$B$25)*(1+I335))-(('Assumptions'!$B$17*(1+G335)+'Assumptions'!$B$18)*(1-H335-'Assumptions'!$B$20)*'Assumptions'!$B$26)</x:f>
        <x:v>172793.21519269</x:v>
      </x:c>
      <x:c r="M335" s="133" t="n">
        <x:f>'Assumptions'!$B$10*'Assumptions'!$B$33</x:f>
        <x:v>1950000</x:v>
      </x:c>
      <x:c r="N335" s="133" t="n">
        <x:f>-PMT(K335/12,'Assumptions'!$B$35*12,M335)*12</x:f>
        <x:v>164811.73906921648</x:v>
      </x:c>
      <x:c r="O335" s="133" t="n">
        <x:f>(L335*(1+'Assumptions'!$B$29)^('Assumptions'!$B$14/12)/J335)*(1-'Assumptions'!$B$42)-'Debt Schedule'!$F$9</x:f>
        <x:v>2742550.633893829</x:v>
      </x:c>
      <x:c r="P335" s="132" t="n">
        <x:f>((O335+(L335-N335-'Assumptions'!$B$27-'Assumptions'!$B$28)*('Assumptions'!$B$14/12))/ABS('Monthly Cash Flow'!$S$5))^(1/('Assumptions'!$B$14/12))-1</x:f>
        <x:v>0.14811725225868</x:v>
      </x:c>
      <x:c r="Q335" s="133" t="n">
        <x:f>-ABS('Monthly Cash Flow'!$S$5)+((L335-N335-'Assumptions'!$B$27-'Assumptions'!$B$28)*(1-(1+'Assumptions'!$B$43)^-('Assumptions'!$B$14/12))/'Assumptions'!$B$43)+(O335/(1+'Assumptions'!$B$43)^('Assumptions'!$B$14/12))</x:f>
        <x:v>287032.7714669553</x:v>
      </x:c>
    </x:row>
    <x:row r="336">
      <x:c r="A336" s="131" t="n">
        <x:f>329</x:f>
        <x:v>329</x:v>
      </x:c>
      <x:c r="B336" s="131" t="n">
        <x:f>MOD(ABS(SIN((A336+1)*12.9898+78.233)*43758.5453),1)</x:f>
        <x:v>0.7379416754993144</x:v>
      </x:c>
      <x:c r="C336" s="131" t="n">
        <x:f>MOD(ABS(SIN((A336+2)*12.9898+78.233)*43758.5453),1)</x:f>
        <x:v>0.31982157992752036</x:v>
      </x:c>
      <x:c r="D336" s="131" t="n">
        <x:f>MOD(ABS(SIN((A336+3)*12.9898+78.233)*43758.5453),1)</x:f>
        <x:v>0.5425443663771148</x:v>
      </x:c>
      <x:c r="E336" s="131" t="n">
        <x:f>MOD(ABS(SIN((A336+4)*12.9898+78.233)*43758.5453),1)</x:f>
        <x:v>0.8220194442983484</x:v>
      </x:c>
      <x:c r="F336" s="131" t="n">
        <x:f>MOD(ABS(SIN((A336+5)*12.9898+78.233)*43758.5453),1)</x:f>
        <x:v>0.18873498399261734</x:v>
      </x:c>
      <x:c r="G336" s="132" t="n">
        <x:f>IF(B336&lt;(('Assumptions'!$C$47-'Assumptions'!$B$47)/('Assumptions'!$D$47-'Assumptions'!$B$47)),'Assumptions'!$B$47+SQRT(B336*('Assumptions'!$D$47-'Assumptions'!$B$47)*('Assumptions'!$C$47-'Assumptions'!$B$47)),'Assumptions'!$D$47-SQRT((1-B336)*('Assumptions'!$D$47-'Assumptions'!$B$47)*('Assumptions'!$D$47-'Assumptions'!$C$47)))</x:f>
        <x:v>0.03524713757669884</x:v>
      </x:c>
      <x:c r="H336" s="132" t="n">
        <x:f>IF(C336&lt;(('Assumptions'!$C$48-'Assumptions'!$B$48)/('Assumptions'!$D$48-'Assumptions'!$B$48)),'Assumptions'!$B$48+SQRT(C336*('Assumptions'!$D$48-'Assumptions'!$B$48)*('Assumptions'!$C$48-'Assumptions'!$B$48)),'Assumptions'!$D$48-SQRT((1-C336)*('Assumptions'!$D$48-'Assumptions'!$B$48)*('Assumptions'!$D$48-'Assumptions'!$C$48)))</x:f>
        <x:v>0.06263353377180898</x:v>
      </x:c>
      <x:c r="I336" s="132" t="n">
        <x:f>IF(D336&lt;(('Assumptions'!$C$49-'Assumptions'!$B$49)/('Assumptions'!$D$49-'Assumptions'!$B$49)),'Assumptions'!$B$49+SQRT(D336*('Assumptions'!$D$49-'Assumptions'!$B$49)*('Assumptions'!$C$49-'Assumptions'!$B$49)),'Assumptions'!$D$49-SQRT((1-D336)*('Assumptions'!$D$49-'Assumptions'!$B$49)*('Assumptions'!$D$49-'Assumptions'!$C$49)))</x:f>
        <x:v>0.05059657105383979</x:v>
      </x:c>
      <x:c r="J336" s="132" t="n">
        <x:f>IF(E336&lt;(('Assumptions'!$C$50-'Assumptions'!$B$50)/('Assumptions'!$D$50-'Assumptions'!$B$50)),'Assumptions'!$B$50+SQRT(E336*('Assumptions'!$D$50-'Assumptions'!$B$50)*('Assumptions'!$C$50-'Assumptions'!$B$50)),'Assumptions'!$D$50-SQRT((1-E336)*('Assumptions'!$D$50-'Assumptions'!$B$50)*('Assumptions'!$D$50-'Assumptions'!$C$50)))</x:f>
        <x:v>0.07292490061616874</x:v>
      </x:c>
      <x:c r="K336" s="132" t="n">
        <x:f>IF(F336&lt;(('Assumptions'!$C$51-'Assumptions'!$B$51)/('Assumptions'!$D$51-'Assumptions'!$B$51)),'Assumptions'!$B$51+SQRT(F336*('Assumptions'!$D$51-'Assumptions'!$B$51)*('Assumptions'!$C$51-'Assumptions'!$B$51)),'Assumptions'!$D$51-SQRT((1-F336)*('Assumptions'!$D$51-'Assumptions'!$B$51)*('Assumptions'!$D$51-'Assumptions'!$C$51)))</x:f>
        <x:v>0.0647043126388275</x:v>
      </x:c>
      <x:c r="L336" s="133" t="n">
        <x:f>(('Assumptions'!$B$17*(1+G336)+'Assumptions'!$B$18)*(1-H336-'Assumptions'!$B$20)-SUM('Assumptions'!$B$21:$B$25)*(1+I336))-(('Assumptions'!$B$17*(1+G336)+'Assumptions'!$B$18)*(1-H336-'Assumptions'!$B$20)*'Assumptions'!$B$26)</x:f>
        <x:v>215444.20714976455</x:v>
      </x:c>
      <x:c r="M336" s="133" t="n">
        <x:f>'Assumptions'!$B$10*'Assumptions'!$B$33</x:f>
        <x:v>1950000</x:v>
      </x:c>
      <x:c r="N336" s="133" t="n">
        <x:f>-PMT(K336/12,'Assumptions'!$B$35*12,M336)*12</x:f>
        <x:v>147449.17715187435</x:v>
      </x:c>
      <x:c r="O336" s="133" t="n">
        <x:f>(L336*(1+'Assumptions'!$B$29)^('Assumptions'!$B$14/12)/J336)*(1-'Assumptions'!$B$42)-'Debt Schedule'!$F$9</x:f>
        <x:v>3219385.2688827235</x:v>
      </x:c>
      <x:c r="P336" s="132" t="n">
        <x:f>((O336+(L336-N336-'Assumptions'!$B$27-'Assumptions'!$B$28)*('Assumptions'!$B$14/12))/ABS('Monthly Cash Flow'!$S$5))^(1/('Assumptions'!$B$14/12))-1</x:f>
        <x:v>0.21012688388289202</x:v>
      </x:c>
      <x:c r="Q336" s="133" t="n">
        <x:f>-ABS('Monthly Cash Flow'!$S$5)+((L336-N336-'Assumptions'!$B$27-'Assumptions'!$B$28)*(1-(1+'Assumptions'!$B$43)^-('Assumptions'!$B$14/12))/'Assumptions'!$B$43)+(O336/(1+'Assumptions'!$B$43)^('Assumptions'!$B$14/12))</x:f>
        <x:v>810608.1499170088</x:v>
      </x:c>
    </x:row>
    <x:row r="337">
      <x:c r="A337" s="131" t="n">
        <x:f>330</x:f>
        <x:v>330</x:v>
      </x:c>
      <x:c r="B337" s="131" t="n">
        <x:f>MOD(ABS(SIN((A337+1)*12.9898+78.233)*43758.5453),1)</x:f>
        <x:v>0.31982157992752036</x:v>
      </x:c>
      <x:c r="C337" s="131" t="n">
        <x:f>MOD(ABS(SIN((A337+2)*12.9898+78.233)*43758.5453),1)</x:f>
        <x:v>0.5425443663771148</x:v>
      </x:c>
      <x:c r="D337" s="131" t="n">
        <x:f>MOD(ABS(SIN((A337+3)*12.9898+78.233)*43758.5453),1)</x:f>
        <x:v>0.8220194442983484</x:v>
      </x:c>
      <x:c r="E337" s="131" t="n">
        <x:f>MOD(ABS(SIN((A337+4)*12.9898+78.233)*43758.5453),1)</x:f>
        <x:v>0.18873498399261734</x:v>
      </x:c>
      <x:c r="F337" s="131" t="n">
        <x:f>MOD(ABS(SIN((A337+5)*12.9898+78.233)*43758.5453),1)</x:f>
        <x:v>0.6316531082811707</x:v>
      </x:c>
      <x:c r="G337" s="132" t="n">
        <x:f>IF(B337&lt;(('Assumptions'!$C$47-'Assumptions'!$B$47)/('Assumptions'!$D$47-'Assumptions'!$B$47)),'Assumptions'!$B$47+SQRT(B337*('Assumptions'!$D$47-'Assumptions'!$B$47)*('Assumptions'!$C$47-'Assumptions'!$B$47)),'Assumptions'!$D$47-SQRT((1-B337)*('Assumptions'!$D$47-'Assumptions'!$B$47)*('Assumptions'!$D$47-'Assumptions'!$C$47)))</x:f>
        <x:v>-0.012388825380203417</x:v>
      </x:c>
      <x:c r="H337" s="132" t="n">
        <x:f>IF(C337&lt;(('Assumptions'!$C$48-'Assumptions'!$B$48)/('Assumptions'!$D$48-'Assumptions'!$B$48)),'Assumptions'!$B$48+SQRT(C337*('Assumptions'!$D$48-'Assumptions'!$B$48)*('Assumptions'!$C$48-'Assumptions'!$B$48)),'Assumptions'!$D$48-SQRT((1-C337)*('Assumptions'!$D$48-'Assumptions'!$B$48)*('Assumptions'!$D$48-'Assumptions'!$C$48)))</x:f>
        <x:v>0.07655230834867678</x:v>
      </x:c>
      <x:c r="I337" s="132" t="n">
        <x:f>IF(D337&lt;(('Assumptions'!$C$49-'Assumptions'!$B$49)/('Assumptions'!$D$49-'Assumptions'!$B$49)),'Assumptions'!$B$49+SQRT(D337*('Assumptions'!$D$49-'Assumptions'!$B$49)*('Assumptions'!$C$49-'Assumptions'!$B$49)),'Assumptions'!$D$49-SQRT((1-D337)*('Assumptions'!$D$49-'Assumptions'!$B$49)*('Assumptions'!$D$49-'Assumptions'!$C$49)))</x:f>
        <x:v>0.08799693553415545</x:v>
      </x:c>
      <x:c r="J337" s="132" t="n">
        <x:f>IF(E337&lt;(('Assumptions'!$C$50-'Assumptions'!$B$50)/('Assumptions'!$D$50-'Assumptions'!$B$50)),'Assumptions'!$B$50+SQRT(E337*('Assumptions'!$D$50-'Assumptions'!$B$50)*('Assumptions'!$C$50-'Assumptions'!$B$50)),'Assumptions'!$D$50-SQRT((1-E337)*('Assumptions'!$D$50-'Assumptions'!$B$50)*('Assumptions'!$D$50-'Assumptions'!$C$50)))</x:f>
        <x:v>0.06401654597147438</x:v>
      </x:c>
      <x:c r="K337" s="132" t="n">
        <x:f>IF(F337&lt;(('Assumptions'!$C$51-'Assumptions'!$B$51)/('Assumptions'!$D$51-'Assumptions'!$B$51)),'Assumptions'!$B$51+SQRT(F337*('Assumptions'!$D$51-'Assumptions'!$B$51)*('Assumptions'!$C$51-'Assumptions'!$B$51)),'Assumptions'!$D$51-SQRT((1-F337)*('Assumptions'!$D$51-'Assumptions'!$B$51)*('Assumptions'!$D$51-'Assumptions'!$C$51)))</x:f>
        <x:v>0.07168583680287467</x:v>
      </x:c>
      <x:c r="L337" s="133" t="n">
        <x:f>(('Assumptions'!$B$17*(1+G337)+'Assumptions'!$B$18)*(1-H337-'Assumptions'!$B$20)-SUM('Assumptions'!$B$21:$B$25)*(1+I337))-(('Assumptions'!$B$17*(1+G337)+'Assumptions'!$B$18)*(1-H337-'Assumptions'!$B$20)*'Assumptions'!$B$26)</x:f>
        <x:v>190473.28688145382</x:v>
      </x:c>
      <x:c r="M337" s="133" t="n">
        <x:f>'Assumptions'!$B$10*'Assumptions'!$B$33</x:f>
        <x:v>1950000</x:v>
      </x:c>
      <x:c r="N337" s="133" t="n">
        <x:f>-PMT(K337/12,'Assumptions'!$B$35*12,M337)*12</x:f>
        <x:v>158339.0900311221</x:v>
      </x:c>
      <x:c r="O337" s="133" t="n">
        <x:f>(L337*(1+'Assumptions'!$B$29)^('Assumptions'!$B$14/12)/J337)*(1-'Assumptions'!$B$42)-'Debt Schedule'!$F$9</x:f>
        <x:v>3242319.5531536858</x:v>
      </x:c>
      <x:c r="P337" s="132" t="n">
        <x:f>((O337+(L337-N337-'Assumptions'!$B$27-'Assumptions'!$B$28)*('Assumptions'!$B$14/12))/ABS('Monthly Cash Flow'!$S$5))^(1/('Assumptions'!$B$14/12))-1</x:f>
        <x:v>0.19864539206018939</x:v>
      </x:c>
      <x:c r="Q337" s="133" t="n">
        <x:f>-ABS('Monthly Cash Flow'!$S$5)+((L337-N337-'Assumptions'!$B$27-'Assumptions'!$B$28)*(1-(1+'Assumptions'!$B$43)^-('Assumptions'!$B$14/12))/'Assumptions'!$B$43)+(O337/(1+'Assumptions'!$B$43)^('Assumptions'!$B$14/12))</x:f>
        <x:v>688907.7642142209</x:v>
      </x:c>
    </x:row>
    <x:row r="338">
      <x:c r="A338" s="131" t="n">
        <x:f>331</x:f>
        <x:v>331</x:v>
      </x:c>
      <x:c r="B338" s="131" t="n">
        <x:f>MOD(ABS(SIN((A338+1)*12.9898+78.233)*43758.5453),1)</x:f>
        <x:v>0.5425443663771148</x:v>
      </x:c>
      <x:c r="C338" s="131" t="n">
        <x:f>MOD(ABS(SIN((A338+2)*12.9898+78.233)*43758.5453),1)</x:f>
        <x:v>0.8220194442983484</x:v>
      </x:c>
      <x:c r="D338" s="131" t="n">
        <x:f>MOD(ABS(SIN((A338+3)*12.9898+78.233)*43758.5453),1)</x:f>
        <x:v>0.18873498399261734</x:v>
      </x:c>
      <x:c r="E338" s="131" t="n">
        <x:f>MOD(ABS(SIN((A338+4)*12.9898+78.233)*43758.5453),1)</x:f>
        <x:v>0.6316531082811707</x:v>
      </x:c>
      <x:c r="F338" s="131" t="n">
        <x:f>MOD(ABS(SIN((A338+5)*12.9898+78.233)*43758.5453),1)</x:f>
        <x:v>0.10218786048062611</x:v>
      </x:c>
      <x:c r="G338" s="132" t="n">
        <x:f>IF(B338&lt;(('Assumptions'!$C$47-'Assumptions'!$B$47)/('Assumptions'!$D$47-'Assumptions'!$B$47)),'Assumptions'!$B$47+SQRT(B338*('Assumptions'!$D$47-'Assumptions'!$B$47)*('Assumptions'!$C$47-'Assumptions'!$B$47)),'Assumptions'!$D$47-SQRT((1-B338)*('Assumptions'!$D$47-'Assumptions'!$B$47)*('Assumptions'!$D$47-'Assumptions'!$C$47)))</x:f>
        <x:v>0.014109880348069578</x:v>
      </x:c>
      <x:c r="H338" s="132" t="n">
        <x:f>IF(C338&lt;(('Assumptions'!$C$48-'Assumptions'!$B$48)/('Assumptions'!$D$48-'Assumptions'!$B$48)),'Assumptions'!$B$48+SQRT(C338*('Assumptions'!$D$48-'Assumptions'!$B$48)*('Assumptions'!$C$48-'Assumptions'!$B$48)),'Assumptions'!$D$48-SQRT((1-C338)*('Assumptions'!$D$48-'Assumptions'!$B$48)*('Assumptions'!$D$48-'Assumptions'!$C$48)))</x:f>
        <x:v>0.10042439021095778</x:v>
      </x:c>
      <x:c r="I338" s="132" t="n">
        <x:f>IF(D338&lt;(('Assumptions'!$C$49-'Assumptions'!$B$49)/('Assumptions'!$D$49-'Assumptions'!$B$49)),'Assumptions'!$B$49+SQRT(D338*('Assumptions'!$D$49-'Assumptions'!$B$49)*('Assumptions'!$C$49-'Assumptions'!$B$49)),'Assumptions'!$D$49-SQRT((1-D338)*('Assumptions'!$D$49-'Assumptions'!$B$49)*('Assumptions'!$D$49-'Assumptions'!$C$49)))</x:f>
        <x:v>0.015147954849807618</x:v>
      </x:c>
      <x:c r="J338" s="132" t="n">
        <x:f>IF(E338&lt;(('Assumptions'!$C$50-'Assumptions'!$B$50)/('Assumptions'!$D$50-'Assumptions'!$B$50)),'Assumptions'!$B$50+SQRT(E338*('Assumptions'!$D$50-'Assumptions'!$B$50)*('Assumptions'!$C$50-'Assumptions'!$B$50)),'Assumptions'!$D$50-SQRT((1-E338)*('Assumptions'!$D$50-'Assumptions'!$B$50)*('Assumptions'!$D$50-'Assumptions'!$C$50)))</x:f>
        <x:v>0.06982171118036432</x:v>
      </x:c>
      <x:c r="K338" s="132" t="n">
        <x:f>IF(F338&lt;(('Assumptions'!$C$51-'Assumptions'!$B$51)/('Assumptions'!$D$51-'Assumptions'!$B$51)),'Assumptions'!$B$51+SQRT(F338*('Assumptions'!$D$51-'Assumptions'!$B$51)*('Assumptions'!$C$51-'Assumptions'!$B$51)),'Assumptions'!$D$51-SQRT((1-F338)*('Assumptions'!$D$51-'Assumptions'!$B$51)*('Assumptions'!$D$51-'Assumptions'!$C$51)))</x:f>
        <x:v>0.0628011000398193</x:v>
      </x:c>
      <x:c r="L338" s="133" t="n">
        <x:f>(('Assumptions'!$B$17*(1+G338)+'Assumptions'!$B$18)*(1-H338-'Assumptions'!$B$20)-SUM('Assumptions'!$B$21:$B$25)*(1+I338))-(('Assumptions'!$B$17*(1+G338)+'Assumptions'!$B$18)*(1-H338-'Assumptions'!$B$20)*'Assumptions'!$B$26)</x:f>
        <x:v>199238.45892048674</x:v>
      </x:c>
      <x:c r="M338" s="133" t="n">
        <x:f>'Assumptions'!$B$10*'Assumptions'!$B$33</x:f>
        <x:v>1950000</x:v>
      </x:c>
      <x:c r="N338" s="133" t="n">
        <x:f>-PMT(K338/12,'Assumptions'!$B$35*12,M338)*12</x:f>
        <x:v>144536.37976817728</x:v>
      </x:c>
      <x:c r="O338" s="133" t="n">
        <x:f>(L338*(1+'Assumptions'!$B$29)^('Assumptions'!$B$14/12)/J338)*(1-'Assumptions'!$B$42)-'Debt Schedule'!$F$9</x:f>
        <x:v>3109543.6871685195</x:v>
      </x:c>
      <x:c r="P338" s="132" t="n">
        <x:f>((O338+(L338-N338-'Assumptions'!$B$27-'Assumptions'!$B$28)*('Assumptions'!$B$14/12))/ABS('Monthly Cash Flow'!$S$5))^(1/('Assumptions'!$B$14/12))-1</x:f>
        <x:v>0.19714951134441883</x:v>
      </x:c>
      <x:c r="Q338" s="133" t="n">
        <x:f>-ABS('Monthly Cash Flow'!$S$5)+((L338-N338-'Assumptions'!$B$27-'Assumptions'!$B$28)*(1-(1+'Assumptions'!$B$43)^-('Assumptions'!$B$14/12))/'Assumptions'!$B$43)+(O338/(1+'Assumptions'!$B$43)^('Assumptions'!$B$14/12))</x:f>
        <x:v>692014.4274802906</x:v>
      </x:c>
    </x:row>
    <x:row r="339">
      <x:c r="A339" s="131" t="n">
        <x:f>332</x:f>
        <x:v>332</x:v>
      </x:c>
      <x:c r="B339" s="131" t="n">
        <x:f>MOD(ABS(SIN((A339+1)*12.9898+78.233)*43758.5453),1)</x:f>
        <x:v>0.8220194442983484</x:v>
      </x:c>
      <x:c r="C339" s="131" t="n">
        <x:f>MOD(ABS(SIN((A339+2)*12.9898+78.233)*43758.5453),1)</x:f>
        <x:v>0.18873498399261734</x:v>
      </x:c>
      <x:c r="D339" s="131" t="n">
        <x:f>MOD(ABS(SIN((A339+3)*12.9898+78.233)*43758.5453),1)</x:f>
        <x:v>0.6316531082811707</x:v>
      </x:c>
      <x:c r="E339" s="131" t="n">
        <x:f>MOD(ABS(SIN((A339+4)*12.9898+78.233)*43758.5453),1)</x:f>
        <x:v>0.10218786048062611</x:v>
      </x:c>
      <x:c r="F339" s="131" t="n">
        <x:f>MOD(ABS(SIN((A339+5)*12.9898+78.233)*43758.5453),1)</x:f>
        <x:v>0.13246729512320599</x:v>
      </x:c>
      <x:c r="G339" s="132" t="n">
        <x:f>IF(B339&lt;(('Assumptions'!$C$47-'Assumptions'!$B$47)/('Assumptions'!$D$47-'Assumptions'!$B$47)),'Assumptions'!$B$47+SQRT(B339*('Assumptions'!$D$47-'Assumptions'!$B$47)*('Assumptions'!$C$47-'Assumptions'!$B$47)),'Assumptions'!$D$47-SQRT((1-B339)*('Assumptions'!$D$47-'Assumptions'!$B$47)*('Assumptions'!$D$47-'Assumptions'!$C$47)))</x:f>
        <x:v>0.0466362586466576</x:v>
      </x:c>
      <x:c r="H339" s="132" t="n">
        <x:f>IF(C339&lt;(('Assumptions'!$C$48-'Assumptions'!$B$48)/('Assumptions'!$D$48-'Assumptions'!$B$48)),'Assumptions'!$B$48+SQRT(C339*('Assumptions'!$D$48-'Assumptions'!$B$48)*('Assumptions'!$C$48-'Assumptions'!$B$48)),'Assumptions'!$D$48-SQRT((1-C339)*('Assumptions'!$D$48-'Assumptions'!$B$48)*('Assumptions'!$D$48-'Assumptions'!$C$48)))</x:f>
        <x:v>0.05495647104811971</x:v>
      </x:c>
      <x:c r="I339" s="132" t="n">
        <x:f>IF(D339&lt;(('Assumptions'!$C$49-'Assumptions'!$B$49)/('Assumptions'!$D$49-'Assumptions'!$B$49)),'Assumptions'!$B$49+SQRT(D339*('Assumptions'!$D$49-'Assumptions'!$B$49)*('Assumptions'!$C$49-'Assumptions'!$B$49)),'Assumptions'!$D$49-SQRT((1-D339)*('Assumptions'!$D$49-'Assumptions'!$B$49)*('Assumptions'!$D$49-'Assumptions'!$C$49)))</x:f>
        <x:v>0.060801945866926485</x:v>
      </x:c>
      <x:c r="J339" s="132" t="n">
        <x:f>IF(E339&lt;(('Assumptions'!$C$50-'Assumptions'!$B$50)/('Assumptions'!$D$50-'Assumptions'!$B$50)),'Assumptions'!$B$50+SQRT(E339*('Assumptions'!$D$50-'Assumptions'!$B$50)*('Assumptions'!$C$50-'Assumptions'!$B$50)),'Assumptions'!$D$50-SQRT((1-E339)*('Assumptions'!$D$50-'Assumptions'!$B$50)*('Assumptions'!$D$50-'Assumptions'!$C$50)))</x:f>
        <x:v>0.062295025402241466</x:v>
      </x:c>
      <x:c r="K339" s="132" t="n">
        <x:f>IF(F339&lt;(('Assumptions'!$C$51-'Assumptions'!$B$51)/('Assumptions'!$D$51-'Assumptions'!$B$51)),'Assumptions'!$B$51+SQRT(F339*('Assumptions'!$D$51-'Assumptions'!$B$51)*('Assumptions'!$C$51-'Assumptions'!$B$51)),'Assumptions'!$D$51-SQRT((1-F339)*('Assumptions'!$D$51-'Assumptions'!$B$51)*('Assumptions'!$D$51-'Assumptions'!$C$51)))</x:f>
        <x:v>0.06353560321416854</x:v>
      </x:c>
      <x:c r="L339" s="133" t="n">
        <x:f>(('Assumptions'!$B$17*(1+G339)+'Assumptions'!$B$18)*(1-H339-'Assumptions'!$B$20)-SUM('Assumptions'!$B$21:$B$25)*(1+I339))-(('Assumptions'!$B$17*(1+G339)+'Assumptions'!$B$18)*(1-H339-'Assumptions'!$B$20)*'Assumptions'!$B$26)</x:f>
        <x:v>220718.1062583616</x:v>
      </x:c>
      <x:c r="M339" s="133" t="n">
        <x:f>'Assumptions'!$B$10*'Assumptions'!$B$33</x:f>
        <x:v>1950000</x:v>
      </x:c>
      <x:c r="N339" s="133" t="n">
        <x:f>-PMT(K339/12,'Assumptions'!$B$35*12,M339)*12</x:f>
        <x:v>145657.58792272082</x:v>
      </x:c>
      <x:c r="O339" s="133" t="n">
        <x:f>(L339*(1+'Assumptions'!$B$29)^('Assumptions'!$B$14/12)/J339)*(1-'Assumptions'!$B$42)-'Debt Schedule'!$F$9</x:f>
        <x:v>3860989.0607159496</x:v>
      </x:c>
      <x:c r="P339" s="132" t="n">
        <x:f>((O339+(L339-N339-'Assumptions'!$B$27-'Assumptions'!$B$28)*('Assumptions'!$B$14/12))/ABS('Monthly Cash Flow'!$S$5))^(1/('Assumptions'!$B$14/12))-1</x:f>
        <x:v>0.25538257715206725</x:v>
      </x:c>
      <x:c r="Q339" s="133" t="n">
        <x:f>-ABS('Monthly Cash Flow'!$S$5)+((L339-N339-'Assumptions'!$B$27-'Assumptions'!$B$28)*(1-(1+'Assumptions'!$B$43)^-('Assumptions'!$B$14/12))/'Assumptions'!$B$43)+(O339/(1+'Assumptions'!$B$43)^('Assumptions'!$B$14/12))</x:f>
        <x:v>1235777.384932021</x:v>
      </x:c>
    </x:row>
    <x:row r="340">
      <x:c r="A340" s="131" t="n">
        <x:f>333</x:f>
        <x:v>333</x:v>
      </x:c>
      <x:c r="B340" s="131" t="n">
        <x:f>MOD(ABS(SIN((A340+1)*12.9898+78.233)*43758.5453),1)</x:f>
        <x:v>0.18873498399261734</x:v>
      </x:c>
      <x:c r="C340" s="131" t="n">
        <x:f>MOD(ABS(SIN((A340+2)*12.9898+78.233)*43758.5453),1)</x:f>
        <x:v>0.6316531082811707</x:v>
      </x:c>
      <x:c r="D340" s="131" t="n">
        <x:f>MOD(ABS(SIN((A340+3)*12.9898+78.233)*43758.5453),1)</x:f>
        <x:v>0.10218786048062611</x:v>
      </x:c>
      <x:c r="E340" s="131" t="n">
        <x:f>MOD(ABS(SIN((A340+4)*12.9898+78.233)*43758.5453),1)</x:f>
        <x:v>0.13246729512320599</x:v>
      </x:c>
      <x:c r="F340" s="131" t="n">
        <x:f>MOD(ABS(SIN((A340+5)*12.9898+78.233)*43758.5453),1)</x:f>
        <x:v>0.456190472265007</x:v>
      </x:c>
      <x:c r="G340" s="132" t="n">
        <x:f>IF(B340&lt;(('Assumptions'!$C$47-'Assumptions'!$B$47)/('Assumptions'!$D$47-'Assumptions'!$B$47)),'Assumptions'!$B$47+SQRT(B340*('Assumptions'!$D$47-'Assumptions'!$B$47)*('Assumptions'!$C$47-'Assumptions'!$B$47)),'Assumptions'!$D$47-SQRT((1-B340)*('Assumptions'!$D$47-'Assumptions'!$B$47)*('Assumptions'!$D$47-'Assumptions'!$C$47)))</x:f>
        <x:v>-0.03269740260715924</x:v>
      </x:c>
      <x:c r="H340" s="132" t="n">
        <x:f>IF(C340&lt;(('Assumptions'!$C$48-'Assumptions'!$B$48)/('Assumptions'!$D$48-'Assumptions'!$B$48)),'Assumptions'!$B$48+SQRT(C340*('Assumptions'!$D$48-'Assumptions'!$B$48)*('Assumptions'!$C$48-'Assumptions'!$B$48)),'Assumptions'!$D$48-SQRT((1-C340)*('Assumptions'!$D$48-'Assumptions'!$B$48)*('Assumptions'!$D$48-'Assumptions'!$C$48)))</x:f>
        <x:v>0.08306624334258543</x:v>
      </x:c>
      <x:c r="I340" s="132" t="n">
        <x:f>IF(D340&lt;(('Assumptions'!$C$49-'Assumptions'!$B$49)/('Assumptions'!$D$49-'Assumptions'!$B$49)),'Assumptions'!$B$49+SQRT(D340*('Assumptions'!$D$49-'Assumptions'!$B$49)*('Assumptions'!$C$49-'Assumptions'!$B$49)),'Assumptions'!$D$49-SQRT((1-D340)*('Assumptions'!$D$49-'Assumptions'!$B$49)*('Assumptions'!$D$49-'Assumptions'!$C$49)))</x:f>
        <x:v>0.0032209104810624056</x:v>
      </x:c>
      <x:c r="J340" s="132" t="n">
        <x:f>IF(E340&lt;(('Assumptions'!$C$50-'Assumptions'!$B$50)/('Assumptions'!$D$50-'Assumptions'!$B$50)),'Assumptions'!$B$50+SQRT(E340*('Assumptions'!$D$50-'Assumptions'!$B$50)*('Assumptions'!$C$50-'Assumptions'!$B$50)),'Assumptions'!$D$50-SQRT((1-E340)*('Assumptions'!$D$50-'Assumptions'!$B$50)*('Assumptions'!$D$50-'Assumptions'!$C$50)))</x:f>
        <x:v>0.06295940852132549</x:v>
      </x:c>
      <x:c r="K340" s="132" t="n">
        <x:f>IF(F340&lt;(('Assumptions'!$C$51-'Assumptions'!$B$51)/('Assumptions'!$D$51-'Assumptions'!$B$51)),'Assumptions'!$B$51+SQRT(F340*('Assumptions'!$D$51-'Assumptions'!$B$51)*('Assumptions'!$C$51-'Assumptions'!$B$51)),'Assumptions'!$D$51-SQRT((1-F340)*('Assumptions'!$D$51-'Assumptions'!$B$51)*('Assumptions'!$D$51-'Assumptions'!$C$51)))</x:f>
        <x:v>0.0688225980076384</x:v>
      </x:c>
      <x:c r="L340" s="133" t="n">
        <x:f>(('Assumptions'!$B$17*(1+G340)+'Assumptions'!$B$18)*(1-H340-'Assumptions'!$B$20)-SUM('Assumptions'!$B$21:$B$25)*(1+I340))-(('Assumptions'!$B$17*(1+G340)+'Assumptions'!$B$18)*(1-H340-'Assumptions'!$B$20)*'Assumptions'!$B$26)</x:f>
        <x:v>192453.73379641052</x:v>
      </x:c>
      <x:c r="M340" s="133" t="n">
        <x:f>'Assumptions'!$B$10*'Assumptions'!$B$33</x:f>
        <x:v>1950000</x:v>
      </x:c>
      <x:c r="N340" s="133" t="n">
        <x:f>-PMT(K340/12,'Assumptions'!$B$35*12,M340)*12</x:f>
        <x:v>153834.8700372462</x:v>
      </x:c>
      <x:c r="O340" s="133" t="n">
        <x:f>(L340*(1+'Assumptions'!$B$29)^('Assumptions'!$B$14/12)/J340)*(1-'Assumptions'!$B$42)-'Debt Schedule'!$F$9</x:f>
        <x:v>3331038.7052926593</x:v>
      </x:c>
      <x:c r="P340" s="132" t="n">
        <x:f>((O340+(L340-N340-'Assumptions'!$B$27-'Assumptions'!$B$28)*('Assumptions'!$B$14/12))/ABS('Monthly Cash Flow'!$S$5))^(1/('Assumptions'!$B$14/12))-1</x:f>
        <x:v>0.20757821050630998</x:v>
      </x:c>
      <x:c r="Q340" s="133" t="n">
        <x:f>-ABS('Monthly Cash Flow'!$S$5)+((L340-N340-'Assumptions'!$B$27-'Assumptions'!$B$28)*(1-(1+'Assumptions'!$B$43)^-('Assumptions'!$B$14/12))/'Assumptions'!$B$43)+(O340/(1+'Assumptions'!$B$43)^('Assumptions'!$B$14/12))</x:f>
        <x:v>768577.3670630623</x:v>
      </x:c>
    </x:row>
    <x:row r="341">
      <x:c r="A341" s="131" t="n">
        <x:f>334</x:f>
        <x:v>334</x:v>
      </x:c>
      <x:c r="B341" s="131" t="n">
        <x:f>MOD(ABS(SIN((A341+1)*12.9898+78.233)*43758.5453),1)</x:f>
        <x:v>0.6316531082811707</x:v>
      </x:c>
      <x:c r="C341" s="131" t="n">
        <x:f>MOD(ABS(SIN((A341+2)*12.9898+78.233)*43758.5453),1)</x:f>
        <x:v>0.10218786048062611</x:v>
      </x:c>
      <x:c r="D341" s="131" t="n">
        <x:f>MOD(ABS(SIN((A341+3)*12.9898+78.233)*43758.5453),1)</x:f>
        <x:v>0.13246729512320599</x:v>
      </x:c>
      <x:c r="E341" s="131" t="n">
        <x:f>MOD(ABS(SIN((A341+4)*12.9898+78.233)*43758.5453),1)</x:f>
        <x:v>0.456190472265007</x:v>
      </x:c>
      <x:c r="F341" s="131" t="n">
        <x:f>MOD(ABS(SIN((A341+5)*12.9898+78.233)*43758.5453),1)</x:f>
        <x:v>0.0947675483621424</x:v>
      </x:c>
      <x:c r="G341" s="132" t="n">
        <x:f>IF(B341&lt;(('Assumptions'!$C$47-'Assumptions'!$B$47)/('Assumptions'!$D$47-'Assumptions'!$B$47)),'Assumptions'!$B$47+SQRT(B341*('Assumptions'!$D$47-'Assumptions'!$B$47)*('Assumptions'!$C$47-'Assumptions'!$B$47)),'Assumptions'!$D$47-SQRT((1-B341)*('Assumptions'!$D$47-'Assumptions'!$B$47)*('Assumptions'!$D$47-'Assumptions'!$C$47)))</x:f>
        <x:v>0.02323053818411082</x:v>
      </x:c>
      <x:c r="H341" s="132" t="n">
        <x:f>IF(C341&lt;(('Assumptions'!$C$48-'Assumptions'!$B$48)/('Assumptions'!$D$48-'Assumptions'!$B$48)),'Assumptions'!$B$48+SQRT(C341*('Assumptions'!$D$48-'Assumptions'!$B$48)*('Assumptions'!$C$48-'Assumptions'!$B$48)),'Assumptions'!$D$48-SQRT((1-C341)*('Assumptions'!$D$48-'Assumptions'!$B$48)*('Assumptions'!$D$48-'Assumptions'!$C$48)))</x:f>
        <x:v>0.04836354920994485</x:v>
      </x:c>
      <x:c r="I341" s="132" t="n">
        <x:f>IF(D341&lt;(('Assumptions'!$C$49-'Assumptions'!$B$49)/('Assumptions'!$D$49-'Assumptions'!$B$49)),'Assumptions'!$B$49+SQRT(D341*('Assumptions'!$D$49-'Assumptions'!$B$49)*('Assumptions'!$C$49-'Assumptions'!$B$49)),'Assumptions'!$D$49-SQRT((1-D341)*('Assumptions'!$D$49-'Assumptions'!$B$49)*('Assumptions'!$D$49-'Assumptions'!$C$49)))</x:f>
        <x:v>0.007823891752840886</x:v>
      </x:c>
      <x:c r="J341" s="132" t="n">
        <x:f>IF(E341&lt;(('Assumptions'!$C$50-'Assumptions'!$B$50)/('Assumptions'!$D$50-'Assumptions'!$B$50)),'Assumptions'!$B$50+SQRT(E341*('Assumptions'!$D$50-'Assumptions'!$B$50)*('Assumptions'!$C$50-'Assumptions'!$B$50)),'Assumptions'!$D$50-SQRT((1-E341)*('Assumptions'!$D$50-'Assumptions'!$B$50)*('Assumptions'!$D$50-'Assumptions'!$C$50)))</x:f>
        <x:v>0.06763284876475319</x:v>
      </x:c>
      <x:c r="K341" s="132" t="n">
        <x:f>IF(F341&lt;(('Assumptions'!$C$51-'Assumptions'!$B$51)/('Assumptions'!$D$51-'Assumptions'!$B$51)),'Assumptions'!$B$51+SQRT(F341*('Assumptions'!$D$51-'Assumptions'!$B$51)*('Assumptions'!$C$51-'Assumptions'!$B$51)),'Assumptions'!$D$51-SQRT((1-F341)*('Assumptions'!$D$51-'Assumptions'!$B$51)*('Assumptions'!$D$51-'Assumptions'!$C$51)))</x:f>
        <x:v>0.06260500497547154</x:v>
      </x:c>
      <x:c r="L341" s="133" t="n">
        <x:f>(('Assumptions'!$B$17*(1+G341)+'Assumptions'!$B$18)*(1-H341-'Assumptions'!$B$20)-SUM('Assumptions'!$B$21:$B$25)*(1+I341))-(('Assumptions'!$B$17*(1+G341)+'Assumptions'!$B$18)*(1-H341-'Assumptions'!$B$20)*'Assumptions'!$B$26)</x:f>
        <x:v>222275.12866109464</x:v>
      </x:c>
      <x:c r="M341" s="133" t="n">
        <x:f>'Assumptions'!$B$10*'Assumptions'!$B$33</x:f>
        <x:v>1950000</x:v>
      </x:c>
      <x:c r="N341" s="133" t="n">
        <x:f>-PMT(K341/12,'Assumptions'!$B$35*12,M341)*12</x:f>
        <x:v>144237.66944954733</x:v>
      </x:c>
      <x:c r="O341" s="133" t="n">
        <x:f>(L341*(1+'Assumptions'!$B$29)^('Assumptions'!$B$14/12)/J341)*(1-'Assumptions'!$B$42)-'Debt Schedule'!$F$9</x:f>
        <x:v>3581353.303923299</x:v>
      </x:c>
      <x:c r="P341" s="132" t="n">
        <x:f>((O341+(L341-N341-'Assumptions'!$B$27-'Assumptions'!$B$28)*('Assumptions'!$B$14/12))/ABS('Monthly Cash Flow'!$S$5))^(1/('Assumptions'!$B$14/12))-1</x:f>
        <x:v>0.23846388469009772</x:v>
      </x:c>
      <x:c r="Q341" s="133" t="n">
        <x:f>-ABS('Monthly Cash Flow'!$S$5)+((L341-N341-'Assumptions'!$B$27-'Assumptions'!$B$28)*(1-(1+'Assumptions'!$B$43)^-('Assumptions'!$B$14/12))/'Assumptions'!$B$43)+(O341/(1+'Assumptions'!$B$43)^('Assumptions'!$B$14/12))</x:f>
        <x:v>1073430.528935378</x:v>
      </x:c>
    </x:row>
    <x:row r="342">
      <x:c r="A342" s="131" t="n">
        <x:f>335</x:f>
        <x:v>335</x:v>
      </x:c>
      <x:c r="B342" s="131" t="n">
        <x:f>MOD(ABS(SIN((A342+1)*12.9898+78.233)*43758.5453),1)</x:f>
        <x:v>0.10218786048062611</x:v>
      </x:c>
      <x:c r="C342" s="131" t="n">
        <x:f>MOD(ABS(SIN((A342+2)*12.9898+78.233)*43758.5453),1)</x:f>
        <x:v>0.13246729512320599</x:v>
      </x:c>
      <x:c r="D342" s="131" t="n">
        <x:f>MOD(ABS(SIN((A342+3)*12.9898+78.233)*43758.5453),1)</x:f>
        <x:v>0.456190472265007</x:v>
      </x:c>
      <x:c r="E342" s="131" t="n">
        <x:f>MOD(ABS(SIN((A342+4)*12.9898+78.233)*43758.5453),1)</x:f>
        <x:v>0.0947675483621424</x:v>
      </x:c>
      <x:c r="F342" s="131" t="n">
        <x:f>MOD(ABS(SIN((A342+5)*12.9898+78.233)*43758.5453),1)</x:f>
        <x:v>0.7031595039297827</x:v>
      </x:c>
      <x:c r="G342" s="132" t="n">
        <x:f>IF(B342&lt;(('Assumptions'!$C$47-'Assumptions'!$B$47)/('Assumptions'!$D$47-'Assumptions'!$B$47)),'Assumptions'!$B$47+SQRT(B342*('Assumptions'!$D$47-'Assumptions'!$B$47)*('Assumptions'!$C$47-'Assumptions'!$B$47)),'Assumptions'!$D$47-SQRT((1-B342)*('Assumptions'!$D$47-'Assumptions'!$B$47)*('Assumptions'!$D$47-'Assumptions'!$C$47)))</x:f>
        <x:v>-0.05047719059327282</x:v>
      </x:c>
      <x:c r="H342" s="132" t="n">
        <x:f>IF(C342&lt;(('Assumptions'!$C$48-'Assumptions'!$B$48)/('Assumptions'!$D$48-'Assumptions'!$B$48)),'Assumptions'!$B$48+SQRT(C342*('Assumptions'!$D$48-'Assumptions'!$B$48)*('Assumptions'!$C$48-'Assumptions'!$B$48)),'Assumptions'!$D$48-SQRT((1-C342)*('Assumptions'!$D$48-'Assumptions'!$B$48)*('Assumptions'!$D$48-'Assumptions'!$C$48)))</x:f>
        <x:v>0.050907942842531875</x:v>
      </x:c>
      <x:c r="I342" s="132" t="n">
        <x:f>IF(D342&lt;(('Assumptions'!$C$49-'Assumptions'!$B$49)/('Assumptions'!$D$49-'Assumptions'!$B$49)),'Assumptions'!$B$49+SQRT(D342*('Assumptions'!$D$49-'Assumptions'!$B$49)*('Assumptions'!$C$49-'Assumptions'!$B$49)),'Assumptions'!$D$49-SQRT((1-D342)*('Assumptions'!$D$49-'Assumptions'!$B$49)*('Assumptions'!$D$49-'Assumptions'!$C$49)))</x:f>
        <x:v>0.041619716742039056</x:v>
      </x:c>
      <x:c r="J342" s="132" t="n">
        <x:f>IF(E342&lt;(('Assumptions'!$C$50-'Assumptions'!$B$50)/('Assumptions'!$D$50-'Assumptions'!$B$50)),'Assumptions'!$B$50+SQRT(E342*('Assumptions'!$D$50-'Assumptions'!$B$50)*('Assumptions'!$C$50-'Assumptions'!$B$50)),'Assumptions'!$D$50-SQRT((1-E342)*('Assumptions'!$D$50-'Assumptions'!$B$50)*('Assumptions'!$D$50-'Assumptions'!$C$50)))</x:f>
        <x:v>0.06211765074269179</x:v>
      </x:c>
      <x:c r="K342" s="132" t="n">
        <x:f>IF(F342&lt;(('Assumptions'!$C$51-'Assumptions'!$B$51)/('Assumptions'!$D$51-'Assumptions'!$B$51)),'Assumptions'!$B$51+SQRT(F342*('Assumptions'!$D$51-'Assumptions'!$B$51)*('Assumptions'!$C$51-'Assumptions'!$B$51)),'Assumptions'!$D$51-SQRT((1-F342)*('Assumptions'!$D$51-'Assumptions'!$B$51)*('Assumptions'!$D$51-'Assumptions'!$C$51)))</x:f>
        <x:v>0.07304782493711742</x:v>
      </x:c>
      <x:c r="L342" s="133" t="n">
        <x:f>(('Assumptions'!$B$17*(1+G342)+'Assumptions'!$B$18)*(1-H342-'Assumptions'!$B$20)-SUM('Assumptions'!$B$21:$B$25)*(1+I342))-(('Assumptions'!$B$17*(1+G342)+'Assumptions'!$B$18)*(1-H342-'Assumptions'!$B$20)*'Assumptions'!$B$26)</x:f>
        <x:v>193151.25833450354</x:v>
      </x:c>
      <x:c r="M342" s="133" t="n">
        <x:f>'Assumptions'!$B$10*'Assumptions'!$B$33</x:f>
        <x:v>1950000</x:v>
      </x:c>
      <x:c r="N342" s="133" t="n">
        <x:f>-PMT(K342/12,'Assumptions'!$B$35*12,M342)*12</x:f>
        <x:v>160499.65680937364</x:v>
      </x:c>
      <x:c r="O342" s="133" t="n">
        <x:f>(L342*(1+'Assumptions'!$B$29)^('Assumptions'!$B$14/12)/J342)*(1-'Assumptions'!$B$42)-'Debt Schedule'!$F$9</x:f>
        <x:v>3388414.225533767</x:v>
      </x:c>
      <x:c r="P342" s="132" t="n">
        <x:f>((O342+(L342-N342-'Assumptions'!$B$27-'Assumptions'!$B$28)*('Assumptions'!$B$14/12))/ABS('Monthly Cash Flow'!$S$5))^(1/('Assumptions'!$B$14/12))-1</x:f>
        <x:v>0.20957248020591712</x:v>
      </x:c>
      <x:c r="Q342" s="133" t="n">
        <x:f>-ABS('Monthly Cash Flow'!$S$5)+((L342-N342-'Assumptions'!$B$27-'Assumptions'!$B$28)*(1-(1+'Assumptions'!$B$43)^-('Assumptions'!$B$14/12))/'Assumptions'!$B$43)+(O342/(1+'Assumptions'!$B$43)^('Assumptions'!$B$14/12))</x:f>
        <x:v>781582.4322760098</x:v>
      </x:c>
    </x:row>
    <x:row r="343">
      <x:c r="A343" s="131" t="n">
        <x:f>336</x:f>
        <x:v>336</x:v>
      </x:c>
      <x:c r="B343" s="131" t="n">
        <x:f>MOD(ABS(SIN((A343+1)*12.9898+78.233)*43758.5453),1)</x:f>
        <x:v>0.13246729512320599</x:v>
      </x:c>
      <x:c r="C343" s="131" t="n">
        <x:f>MOD(ABS(SIN((A343+2)*12.9898+78.233)*43758.5453),1)</x:f>
        <x:v>0.456190472265007</x:v>
      </x:c>
      <x:c r="D343" s="131" t="n">
        <x:f>MOD(ABS(SIN((A343+3)*12.9898+78.233)*43758.5453),1)</x:f>
        <x:v>0.0947675483621424</x:v>
      </x:c>
      <x:c r="E343" s="131" t="n">
        <x:f>MOD(ABS(SIN((A343+4)*12.9898+78.233)*43758.5453),1)</x:f>
        <x:v>0.7031595039297827</x:v>
      </x:c>
      <x:c r="F343" s="131" t="n">
        <x:f>MOD(ABS(SIN((A343+5)*12.9898+78.233)*43758.5453),1)</x:f>
        <x:v>0.823981410543638</x:v>
      </x:c>
      <x:c r="G343" s="132" t="n">
        <x:f>IF(B343&lt;(('Assumptions'!$C$47-'Assumptions'!$B$47)/('Assumptions'!$D$47-'Assumptions'!$B$47)),'Assumptions'!$B$47+SQRT(B343*('Assumptions'!$D$47-'Assumptions'!$B$47)*('Assumptions'!$C$47-'Assumptions'!$B$47)),'Assumptions'!$D$47-SQRT((1-B343)*('Assumptions'!$D$47-'Assumptions'!$B$47)*('Assumptions'!$D$47-'Assumptions'!$C$47)))</x:f>
        <x:v>-0.04361547124470274</x:v>
      </x:c>
      <x:c r="H343" s="132" t="n">
        <x:f>IF(C343&lt;(('Assumptions'!$C$48-'Assumptions'!$B$48)/('Assumptions'!$D$48-'Assumptions'!$B$48)),'Assumptions'!$B$48+SQRT(C343*('Assumptions'!$D$48-'Assumptions'!$B$48)*('Assumptions'!$C$48-'Assumptions'!$B$48)),'Assumptions'!$D$48-SQRT((1-C343)*('Assumptions'!$D$48-'Assumptions'!$B$48)*('Assumptions'!$D$48-'Assumptions'!$C$48)))</x:f>
        <x:v>0.07082251924167852</x:v>
      </x:c>
      <x:c r="I343" s="132" t="n">
        <x:f>IF(D343&lt;(('Assumptions'!$C$49-'Assumptions'!$B$49)/('Assumptions'!$D$49-'Assumptions'!$B$49)),'Assumptions'!$B$49+SQRT(D343*('Assumptions'!$D$49-'Assumptions'!$B$49)*('Assumptions'!$C$49-'Assumptions'!$B$49)),'Assumptions'!$D$49-SQRT((1-D343)*('Assumptions'!$D$49-'Assumptions'!$B$49)*('Assumptions'!$D$49-'Assumptions'!$C$49)))</x:f>
        <x:v>0.0019920227918013636</x:v>
      </x:c>
      <x:c r="J343" s="132" t="n">
        <x:f>IF(E343&lt;(('Assumptions'!$C$50-'Assumptions'!$B$50)/('Assumptions'!$D$50-'Assumptions'!$B$50)),'Assumptions'!$B$50+SQRT(E343*('Assumptions'!$D$50-'Assumptions'!$B$50)*('Assumptions'!$C$50-'Assumptions'!$B$50)),'Assumptions'!$D$50-SQRT((1-E343)*('Assumptions'!$D$50-'Assumptions'!$B$50)*('Assumptions'!$D$50-'Assumptions'!$C$50)))</x:f>
        <x:v>0.0708629113214466</x:v>
      </x:c>
      <x:c r="K343" s="132" t="n">
        <x:f>IF(F343&lt;(('Assumptions'!$C$51-'Assumptions'!$B$51)/('Assumptions'!$D$51-'Assumptions'!$B$51)),'Assumptions'!$B$51+SQRT(F343*('Assumptions'!$D$51-'Assumptions'!$B$51)*('Assumptions'!$C$51-'Assumptions'!$B$51)),'Assumptions'!$D$51-SQRT((1-F343)*('Assumptions'!$D$51-'Assumptions'!$B$51)*('Assumptions'!$D$51-'Assumptions'!$C$51)))</x:f>
        <x:v>0.07579625368798802</x:v>
      </x:c>
      <x:c r="L343" s="133" t="n">
        <x:f>(('Assumptions'!$B$17*(1+G343)+'Assumptions'!$B$18)*(1-H343-'Assumptions'!$B$20)-SUM('Assumptions'!$B$21:$B$25)*(1+I343))-(('Assumptions'!$B$17*(1+G343)+'Assumptions'!$B$18)*(1-H343-'Assumptions'!$B$20)*'Assumptions'!$B$26)</x:f>
        <x:v>193444.9012820507</x:v>
      </x:c>
      <x:c r="M343" s="133" t="n">
        <x:f>'Assumptions'!$B$10*'Assumptions'!$B$33</x:f>
        <x:v>1950000</x:v>
      </x:c>
      <x:c r="N343" s="133" t="n">
        <x:f>-PMT(K343/12,'Assumptions'!$B$35*12,M343)*12</x:f>
        <x:v>164893.93521909526</x:v>
      </x:c>
      <x:c r="O343" s="133" t="n">
        <x:f>(L343*(1+'Assumptions'!$B$29)^('Assumptions'!$B$14/12)/J343)*(1-'Assumptions'!$B$42)-'Debt Schedule'!$F$9</x:f>
        <x:v>2974762.331932267</x:v>
      </x:c>
      <x:c r="P343" s="132" t="n">
        <x:f>((O343+(L343-N343-'Assumptions'!$B$27-'Assumptions'!$B$28)*('Assumptions'!$B$14/12))/ABS('Monthly Cash Flow'!$S$5))^(1/('Assumptions'!$B$14/12))-1</x:f>
        <x:v>0.17647383529417726</x:v>
      </x:c>
      <x:c r="Q343" s="133" t="n">
        <x:f>-ABS('Monthly Cash Flow'!$S$5)+((L343-N343-'Assumptions'!$B$27-'Assumptions'!$B$28)*(1-(1+'Assumptions'!$B$43)^-('Assumptions'!$B$14/12))/'Assumptions'!$B$43)+(O343/(1+'Assumptions'!$B$43)^('Assumptions'!$B$14/12))</x:f>
        <x:v>509192.5165588637</x:v>
      </x:c>
    </x:row>
    <x:row r="344">
      <x:c r="A344" s="131" t="n">
        <x:f>337</x:f>
        <x:v>337</x:v>
      </x:c>
      <x:c r="B344" s="131" t="n">
        <x:f>MOD(ABS(SIN((A344+1)*12.9898+78.233)*43758.5453),1)</x:f>
        <x:v>0.456190472265007</x:v>
      </x:c>
      <x:c r="C344" s="131" t="n">
        <x:f>MOD(ABS(SIN((A344+2)*12.9898+78.233)*43758.5453),1)</x:f>
        <x:v>0.0947675483621424</x:v>
      </x:c>
      <x:c r="D344" s="131" t="n">
        <x:f>MOD(ABS(SIN((A344+3)*12.9898+78.233)*43758.5453),1)</x:f>
        <x:v>0.7031595039297827</x:v>
      </x:c>
      <x:c r="E344" s="131" t="n">
        <x:f>MOD(ABS(SIN((A344+4)*12.9898+78.233)*43758.5453),1)</x:f>
        <x:v>0.823981410543638</x:v>
      </x:c>
      <x:c r="F344" s="131" t="n">
        <x:f>MOD(ABS(SIN((A344+5)*12.9898+78.233)*43758.5453),1)</x:f>
        <x:v>0.3065776604807411</x:v>
      </x:c>
      <x:c r="G344" s="132" t="n">
        <x:f>IF(B344&lt;(('Assumptions'!$C$47-'Assumptions'!$B$47)/('Assumptions'!$D$47-'Assumptions'!$B$47)),'Assumptions'!$B$47+SQRT(B344*('Assumptions'!$D$47-'Assumptions'!$B$47)*('Assumptions'!$C$47-'Assumptions'!$B$47)),'Assumptions'!$D$47-SQRT((1-B344)*('Assumptions'!$D$47-'Assumptions'!$B$47)*('Assumptions'!$D$47-'Assumptions'!$C$47)))</x:f>
        <x:v>0.0046354210311219946</x:v>
      </x:c>
      <x:c r="H344" s="132" t="n">
        <x:f>IF(C344&lt;(('Assumptions'!$C$48-'Assumptions'!$B$48)/('Assumptions'!$D$48-'Assumptions'!$B$48)),'Assumptions'!$B$48+SQRT(C344*('Assumptions'!$D$48-'Assumptions'!$B$48)*('Assumptions'!$C$48-'Assumptions'!$B$48)),'Assumptions'!$D$48-SQRT((1-C344)*('Assumptions'!$D$48-'Assumptions'!$B$48)*('Assumptions'!$D$48-'Assumptions'!$C$48)))</x:f>
        <x:v>0.04768425598081723</x:v>
      </x:c>
      <x:c r="I344" s="132" t="n">
        <x:f>IF(D344&lt;(('Assumptions'!$C$49-'Assumptions'!$B$49)/('Assumptions'!$D$49-'Assumptions'!$B$49)),'Assumptions'!$B$49+SQRT(D344*('Assumptions'!$D$49-'Assumptions'!$B$49)*('Assumptions'!$C$49-'Assumptions'!$B$49)),'Assumptions'!$D$49-SQRT((1-D344)*('Assumptions'!$D$49-'Assumptions'!$B$49)*('Assumptions'!$D$49-'Assumptions'!$C$49)))</x:f>
        <x:v>0.06992656673329976</x:v>
      </x:c>
      <x:c r="J344" s="132" t="n">
        <x:f>IF(E344&lt;(('Assumptions'!$C$50-'Assumptions'!$B$50)/('Assumptions'!$D$50-'Assumptions'!$B$50)),'Assumptions'!$B$50+SQRT(E344*('Assumptions'!$D$50-'Assumptions'!$B$50)*('Assumptions'!$C$50-'Assumptions'!$B$50)),'Assumptions'!$D$50-SQRT((1-E344)*('Assumptions'!$D$50-'Assumptions'!$B$50)*('Assumptions'!$D$50-'Assumptions'!$C$50)))</x:f>
        <x:v>0.07296400481206804</x:v>
      </x:c>
      <x:c r="K344" s="132" t="n">
        <x:f>IF(F344&lt;(('Assumptions'!$C$51-'Assumptions'!$B$51)/('Assumptions'!$D$51-'Assumptions'!$B$51)),'Assumptions'!$B$51+SQRT(F344*('Assumptions'!$D$51-'Assumptions'!$B$51)*('Assumptions'!$C$51-'Assumptions'!$B$51)),'Assumptions'!$D$51-SQRT((1-F344)*('Assumptions'!$D$51-'Assumptions'!$B$51)*('Assumptions'!$D$51-'Assumptions'!$C$51)))</x:f>
        <x:v>0.0666819854406443</x:v>
      </x:c>
      <x:c r="L344" s="133" t="n">
        <x:f>(('Assumptions'!$B$17*(1+G344)+'Assumptions'!$B$18)*(1-H344-'Assumptions'!$B$20)-SUM('Assumptions'!$B$21:$B$25)*(1+I344))-(('Assumptions'!$B$17*(1+G344)+'Assumptions'!$B$18)*(1-H344-'Assumptions'!$B$20)*'Assumptions'!$B$26)</x:f>
        <x:v>208646.38102455132</x:v>
      </x:c>
      <x:c r="M344" s="133" t="n">
        <x:f>'Assumptions'!$B$10*'Assumptions'!$B$33</x:f>
        <x:v>1950000</x:v>
      </x:c>
      <x:c r="N344" s="133" t="n">
        <x:f>-PMT(K344/12,'Assumptions'!$B$35*12,M344)*12</x:f>
        <x:v>150501.76408271576</x:v>
      </x:c>
      <x:c r="O344" s="133" t="n">
        <x:f>(L344*(1+'Assumptions'!$B$29)^('Assumptions'!$B$14/12)/J344)*(1-'Assumptions'!$B$42)-'Debt Schedule'!$F$9</x:f>
        <x:v>3116134.3239150066</x:v>
      </x:c>
      <x:c r="P344" s="132" t="n">
        <x:f>((O344+(L344-N344-'Assumptions'!$B$27-'Assumptions'!$B$28)*('Assumptions'!$B$14/12))/ABS('Monthly Cash Flow'!$S$5))^(1/('Assumptions'!$B$14/12))-1</x:f>
        <x:v>0.19893466988687658</x:v>
      </x:c>
      <x:c r="Q344" s="133" t="n">
        <x:f>-ABS('Monthly Cash Flow'!$S$5)+((L344-N344-'Assumptions'!$B$27-'Assumptions'!$B$28)*(1-(1+'Assumptions'!$B$43)^-('Assumptions'!$B$14/12))/'Assumptions'!$B$43)+(O344/(1+'Assumptions'!$B$43)^('Assumptions'!$B$14/12))</x:f>
        <x:v>709156.621074446</x:v>
      </x:c>
    </x:row>
    <x:row r="345">
      <x:c r="A345" s="131" t="n">
        <x:f>338</x:f>
        <x:v>338</x:v>
      </x:c>
      <x:c r="B345" s="131" t="n">
        <x:f>MOD(ABS(SIN((A345+1)*12.9898+78.233)*43758.5453),1)</x:f>
        <x:v>0.0947675483621424</x:v>
      </x:c>
      <x:c r="C345" s="131" t="n">
        <x:f>MOD(ABS(SIN((A345+2)*12.9898+78.233)*43758.5453),1)</x:f>
        <x:v>0.7031595039297827</x:v>
      </x:c>
      <x:c r="D345" s="131" t="n">
        <x:f>MOD(ABS(SIN((A345+3)*12.9898+78.233)*43758.5453),1)</x:f>
        <x:v>0.823981410543638</x:v>
      </x:c>
      <x:c r="E345" s="131" t="n">
        <x:f>MOD(ABS(SIN((A345+4)*12.9898+78.233)*43758.5453),1)</x:f>
        <x:v>0.3065776604807411</x:v>
      </x:c>
      <x:c r="F345" s="131" t="n">
        <x:f>MOD(ABS(SIN((A345+5)*12.9898+78.233)*43758.5453),1)</x:f>
        <x:v>0.07992665776328067</x:v>
      </x:c>
      <x:c r="G345" s="132" t="n">
        <x:f>IF(B345&lt;(('Assumptions'!$C$47-'Assumptions'!$B$47)/('Assumptions'!$D$47-'Assumptions'!$B$47)),'Assumptions'!$B$47+SQRT(B345*('Assumptions'!$D$47-'Assumptions'!$B$47)*('Assumptions'!$C$47-'Assumptions'!$B$47)),'Assumptions'!$D$47-SQRT((1-B345)*('Assumptions'!$D$47-'Assumptions'!$B$47)*('Assumptions'!$D$47-'Assumptions'!$C$47)))</x:f>
        <x:v>-0.052309108199873035</x:v>
      </x:c>
      <x:c r="H345" s="132" t="n">
        <x:f>IF(C345&lt;(('Assumptions'!$C$48-'Assumptions'!$B$48)/('Assumptions'!$D$48-'Assumptions'!$B$48)),'Assumptions'!$B$48+SQRT(C345*('Assumptions'!$D$48-'Assumptions'!$B$48)*('Assumptions'!$C$48-'Assumptions'!$B$48)),'Assumptions'!$D$48-SQRT((1-C345)*('Assumptions'!$D$48-'Assumptions'!$B$48)*('Assumptions'!$D$48-'Assumptions'!$C$48)))</x:f>
        <x:v>0.08889034958622871</x:v>
      </x:c>
      <x:c r="I345" s="132" t="n">
        <x:f>IF(D345&lt;(('Assumptions'!$C$49-'Assumptions'!$B$49)/('Assumptions'!$D$49-'Assumptions'!$B$49)),'Assumptions'!$B$49+SQRT(D345*('Assumptions'!$D$49-'Assumptions'!$B$49)*('Assumptions'!$C$49-'Assumptions'!$B$49)),'Assumptions'!$D$49-SQRT((1-D345)*('Assumptions'!$D$49-'Assumptions'!$B$49)*('Assumptions'!$D$49-'Assumptions'!$C$49)))</x:f>
        <x:v>0.08833962753714977</x:v>
      </x:c>
      <x:c r="J345" s="132" t="n">
        <x:f>IF(E345&lt;(('Assumptions'!$C$50-'Assumptions'!$B$50)/('Assumptions'!$D$50-'Assumptions'!$B$50)),'Assumptions'!$B$50+SQRT(E345*('Assumptions'!$D$50-'Assumptions'!$B$50)*('Assumptions'!$C$50-'Assumptions'!$B$50)),'Assumptions'!$D$50-SQRT((1-E345)*('Assumptions'!$D$50-'Assumptions'!$B$50)*('Assumptions'!$D$50-'Assumptions'!$C$50)))</x:f>
        <x:v>0.06580541832830633</x:v>
      </x:c>
      <x:c r="K345" s="132" t="n">
        <x:f>IF(F345&lt;(('Assumptions'!$C$51-'Assumptions'!$B$51)/('Assumptions'!$D$51-'Assumptions'!$B$51)),'Assumptions'!$B$51+SQRT(F345*('Assumptions'!$D$51-'Assumptions'!$B$51)*('Assumptions'!$C$51-'Assumptions'!$B$51)),'Assumptions'!$D$51-SQRT((1-F345)*('Assumptions'!$D$51-'Assumptions'!$B$51)*('Assumptions'!$D$51-'Assumptions'!$C$51)))</x:f>
        <x:v>0.06218826523192771</x:v>
      </x:c>
      <x:c r="L345" s="133" t="n">
        <x:f>(('Assumptions'!$B$17*(1+G345)+'Assumptions'!$B$18)*(1-H345-'Assumptions'!$B$20)-SUM('Assumptions'!$B$21:$B$25)*(1+I345))-(('Assumptions'!$B$17*(1+G345)+'Assumptions'!$B$18)*(1-H345-'Assumptions'!$B$20)*'Assumptions'!$B$26)</x:f>
        <x:v>173573.5915669583</x:v>
      </x:c>
      <x:c r="M345" s="133" t="n">
        <x:f>'Assumptions'!$B$10*'Assumptions'!$B$33</x:f>
        <x:v>1950000</x:v>
      </x:c>
      <x:c r="N345" s="133" t="n">
        <x:f>-PMT(K345/12,'Assumptions'!$B$35*12,M345)*12</x:f>
        <x:v>143603.7326688267</x:v>
      </x:c>
      <x:c r="O345" s="133" t="n">
        <x:f>(L345*(1+'Assumptions'!$B$29)^('Assumptions'!$B$14/12)/J345)*(1-'Assumptions'!$B$42)-'Debt Schedule'!$F$9</x:f>
        <x:v>2874325.6651276015</x:v>
      </x:c>
      <x:c r="P345" s="132" t="n">
        <x:f>((O345+(L345-N345-'Assumptions'!$B$27-'Assumptions'!$B$28)*('Assumptions'!$B$14/12))/ABS('Monthly Cash Flow'!$S$5))^(1/('Assumptions'!$B$14/12))-1</x:f>
        <x:v>0.16884765172471794</x:v>
      </x:c>
      <x:c r="Q345" s="133" t="n">
        <x:f>-ABS('Monthly Cash Flow'!$S$5)+((L345-N345-'Assumptions'!$B$27-'Assumptions'!$B$28)*(1-(1+'Assumptions'!$B$43)^-('Assumptions'!$B$14/12))/'Assumptions'!$B$43)+(O345/(1+'Assumptions'!$B$43)^('Assumptions'!$B$14/12))</x:f>
        <x:v>452207.968709653</x:v>
      </x:c>
    </x:row>
    <x:row r="346">
      <x:c r="A346" s="131" t="n">
        <x:f>339</x:f>
        <x:v>339</x:v>
      </x:c>
      <x:c r="B346" s="131" t="n">
        <x:f>MOD(ABS(SIN((A346+1)*12.9898+78.233)*43758.5453),1)</x:f>
        <x:v>0.7031595039297827</x:v>
      </x:c>
      <x:c r="C346" s="131" t="n">
        <x:f>MOD(ABS(SIN((A346+2)*12.9898+78.233)*43758.5453),1)</x:f>
        <x:v>0.823981410543638</x:v>
      </x:c>
      <x:c r="D346" s="131" t="n">
        <x:f>MOD(ABS(SIN((A346+3)*12.9898+78.233)*43758.5453),1)</x:f>
        <x:v>0.3065776604807411</x:v>
      </x:c>
      <x:c r="E346" s="131" t="n">
        <x:f>MOD(ABS(SIN((A346+4)*12.9898+78.233)*43758.5453),1)</x:f>
        <x:v>0.07992665776328067</x:v>
      </x:c>
      <x:c r="F346" s="131" t="n">
        <x:f>MOD(ABS(SIN((A346+5)*12.9898+78.233)*43758.5453),1)</x:f>
        <x:v>0.6982701215238194</x:v>
      </x:c>
      <x:c r="G346" s="132" t="n">
        <x:f>IF(B346&lt;(('Assumptions'!$C$47-'Assumptions'!$B$47)/('Assumptions'!$D$47-'Assumptions'!$B$47)),'Assumptions'!$B$47+SQRT(B346*('Assumptions'!$D$47-'Assumptions'!$B$47)*('Assumptions'!$C$47-'Assumptions'!$B$47)),'Assumptions'!$D$47-SQRT((1-B346)*('Assumptions'!$D$47-'Assumptions'!$B$47)*('Assumptions'!$D$47-'Assumptions'!$C$47)))</x:f>
        <x:v>0.031083761440982016</x:v>
      </x:c>
      <x:c r="H346" s="132" t="n">
        <x:f>IF(C346&lt;(('Assumptions'!$C$48-'Assumptions'!$B$48)/('Assumptions'!$D$48-'Assumptions'!$B$48)),'Assumptions'!$B$48+SQRT(C346*('Assumptions'!$D$48-'Assumptions'!$B$48)*('Assumptions'!$C$48-'Assumptions'!$B$48)),'Assumptions'!$D$48-SQRT((1-C346)*('Assumptions'!$D$48-'Assumptions'!$B$48)*('Assumptions'!$D$48-'Assumptions'!$C$48)))</x:f>
        <x:v>0.10064312528647651</x:v>
      </x:c>
      <x:c r="I346" s="132" t="n">
        <x:f>IF(D346&lt;(('Assumptions'!$C$49-'Assumptions'!$B$49)/('Assumptions'!$D$49-'Assumptions'!$B$49)),'Assumptions'!$B$49+SQRT(D346*('Assumptions'!$D$49-'Assumptions'!$B$49)*('Assumptions'!$C$49-'Assumptions'!$B$49)),'Assumptions'!$D$49-SQRT((1-D346)*('Assumptions'!$D$49-'Assumptions'!$B$49)*('Assumptions'!$D$49-'Assumptions'!$C$49)))</x:f>
        <x:v>0.02754162609096135</x:v>
      </x:c>
      <x:c r="J346" s="132" t="n">
        <x:f>IF(E346&lt;(('Assumptions'!$C$50-'Assumptions'!$B$50)/('Assumptions'!$D$50-'Assumptions'!$B$50)),'Assumptions'!$B$50+SQRT(E346*('Assumptions'!$D$50-'Assumptions'!$B$50)*('Assumptions'!$C$50-'Assumptions'!$B$50)),'Assumptions'!$D$50-SQRT((1-E346)*('Assumptions'!$D$50-'Assumptions'!$B$50)*('Assumptions'!$D$50-'Assumptions'!$C$50)))</x:f>
        <x:v>0.061740695461447115</x:v>
      </x:c>
      <x:c r="K346" s="132" t="n">
        <x:f>IF(F346&lt;(('Assumptions'!$C$51-'Assumptions'!$B$51)/('Assumptions'!$D$51-'Assumptions'!$B$51)),'Assumptions'!$B$51+SQRT(F346*('Assumptions'!$D$51-'Assumptions'!$B$51)*('Assumptions'!$C$51-'Assumptions'!$B$51)),'Assumptions'!$D$51-SQRT((1-F346)*('Assumptions'!$D$51-'Assumptions'!$B$51)*('Assumptions'!$D$51-'Assumptions'!$C$51)))</x:f>
        <x:v>0.07294979236624274</x:v>
      </x:c>
      <x:c r="L346" s="133" t="n">
        <x:f>(('Assumptions'!$B$17*(1+G346)+'Assumptions'!$B$18)*(1-H346-'Assumptions'!$B$20)-SUM('Assumptions'!$B$21:$B$25)*(1+I346))-(('Assumptions'!$B$17*(1+G346)+'Assumptions'!$B$18)*(1-H346-'Assumptions'!$B$20)*'Assumptions'!$B$26)</x:f>
        <x:v>202813.5366834148</x:v>
      </x:c>
      <x:c r="M346" s="133" t="n">
        <x:f>'Assumptions'!$B$10*'Assumptions'!$B$33</x:f>
        <x:v>1950000</x:v>
      </x:c>
      <x:c r="N346" s="133" t="n">
        <x:f>-PMT(K346/12,'Assumptions'!$B$35*12,M346)*12</x:f>
        <x:v>160343.76334586492</x:v>
      </x:c>
      <x:c r="O346" s="133" t="n">
        <x:f>(L346*(1+'Assumptions'!$B$29)^('Assumptions'!$B$14/12)/J346)*(1-'Assumptions'!$B$42)-'Debt Schedule'!$F$9</x:f>
        <x:v>3579640.378889638</x:v>
      </x:c>
      <x:c r="P346" s="132" t="n">
        <x:f>((O346+(L346-N346-'Assumptions'!$B$27-'Assumptions'!$B$28)*('Assumptions'!$B$14/12))/ABS('Monthly Cash Flow'!$S$5))^(1/('Assumptions'!$B$14/12))-1</x:f>
        <x:v>0.22644081364140578</x:v>
      </x:c>
      <x:c r="Q346" s="133" t="n">
        <x:f>-ABS('Monthly Cash Flow'!$S$5)+((L346-N346-'Assumptions'!$B$27-'Assumptions'!$B$28)*(1-(1+'Assumptions'!$B$43)^-('Assumptions'!$B$14/12))/'Assumptions'!$B$43)+(O346/(1+'Assumptions'!$B$43)^('Assumptions'!$B$14/12))</x:f>
        <x:v>937537.4242275504</x:v>
      </x:c>
    </x:row>
    <x:row r="347">
      <x:c r="A347" s="131" t="n">
        <x:f>340</x:f>
        <x:v>340</x:v>
      </x:c>
      <x:c r="B347" s="131" t="n">
        <x:f>MOD(ABS(SIN((A347+1)*12.9898+78.233)*43758.5453),1)</x:f>
        <x:v>0.823981410543638</x:v>
      </x:c>
      <x:c r="C347" s="131" t="n">
        <x:f>MOD(ABS(SIN((A347+2)*12.9898+78.233)*43758.5453),1)</x:f>
        <x:v>0.3065776604807411</x:v>
      </x:c>
      <x:c r="D347" s="131" t="n">
        <x:f>MOD(ABS(SIN((A347+3)*12.9898+78.233)*43758.5453),1)</x:f>
        <x:v>0.07992665776328067</x:v>
      </x:c>
      <x:c r="E347" s="131" t="n">
        <x:f>MOD(ABS(SIN((A347+4)*12.9898+78.233)*43758.5453),1)</x:f>
        <x:v>0.6982701215238194</x:v>
      </x:c>
      <x:c r="F347" s="131" t="n">
        <x:f>MOD(ABS(SIN((A347+5)*12.9898+78.233)*43758.5453),1)</x:f>
        <x:v>0.8377045684683253</x:v>
      </x:c>
      <x:c r="G347" s="132" t="n">
        <x:f>IF(B347&lt;(('Assumptions'!$C$47-'Assumptions'!$B$47)/('Assumptions'!$D$47-'Assumptions'!$B$47)),'Assumptions'!$B$47+SQRT(B347*('Assumptions'!$D$47-'Assumptions'!$B$47)*('Assumptions'!$C$47-'Assumptions'!$B$47)),'Assumptions'!$D$47-SQRT((1-B347)*('Assumptions'!$D$47-'Assumptions'!$B$47)*('Assumptions'!$D$47-'Assumptions'!$C$47)))</x:f>
        <x:v>0.04693120096231882</x:v>
      </x:c>
      <x:c r="H347" s="132" t="n">
        <x:f>IF(C347&lt;(('Assumptions'!$C$48-'Assumptions'!$B$48)/('Assumptions'!$D$48-'Assumptions'!$B$48)),'Assumptions'!$B$48+SQRT(C347*('Assumptions'!$D$48-'Assumptions'!$B$48)*('Assumptions'!$C$48-'Assumptions'!$B$48)),'Assumptions'!$D$48-SQRT((1-C347)*('Assumptions'!$D$48-'Assumptions'!$B$48)*('Assumptions'!$D$48-'Assumptions'!$C$48)))</x:f>
        <x:v>0.06188395435142996</x:v>
      </x:c>
      <x:c r="I347" s="132" t="n">
        <x:f>IF(D347&lt;(('Assumptions'!$C$49-'Assumptions'!$B$49)/('Assumptions'!$D$49-'Assumptions'!$B$49)),'Assumptions'!$B$49+SQRT(D347*('Assumptions'!$D$49-'Assumptions'!$B$49)*('Assumptions'!$C$49-'Assumptions'!$B$49)),'Assumptions'!$D$49-SQRT((1-D347)*('Assumptions'!$D$49-'Assumptions'!$B$49)*('Assumptions'!$D$49-'Assumptions'!$C$49)))</x:f>
        <x:v>-0.0006196000053874141</x:v>
      </x:c>
      <x:c r="J347" s="132" t="n">
        <x:f>IF(E347&lt;(('Assumptions'!$C$50-'Assumptions'!$B$50)/('Assumptions'!$D$50-'Assumptions'!$B$50)),'Assumptions'!$B$50+SQRT(E347*('Assumptions'!$D$50-'Assumptions'!$B$50)*('Assumptions'!$C$50-'Assumptions'!$B$50)),'Assumptions'!$D$50-SQRT((1-E347)*('Assumptions'!$D$50-'Assumptions'!$B$50)*('Assumptions'!$D$50-'Assumptions'!$C$50)))</x:f>
        <x:v>0.07078796828482306</x:v>
      </x:c>
      <x:c r="K347" s="132" t="n">
        <x:f>IF(F347&lt;(('Assumptions'!$C$51-'Assumptions'!$B$51)/('Assumptions'!$D$51-'Assumptions'!$B$51)),'Assumptions'!$B$51+SQRT(F347*('Assumptions'!$D$51-'Assumptions'!$B$51)*('Assumptions'!$C$51-'Assumptions'!$B$51)),'Assumptions'!$D$51-SQRT((1-F347)*('Assumptions'!$D$51-'Assumptions'!$B$51)*('Assumptions'!$D$51-'Assumptions'!$C$51)))</x:f>
        <x:v>0.07616231498498513</x:v>
      </x:c>
      <x:c r="L347" s="133" t="n">
        <x:f>(('Assumptions'!$B$17*(1+G347)+'Assumptions'!$B$18)*(1-H347-'Assumptions'!$B$20)-SUM('Assumptions'!$B$21:$B$25)*(1+I347))-(('Assumptions'!$B$17*(1+G347)+'Assumptions'!$B$18)*(1-H347-'Assumptions'!$B$20)*'Assumptions'!$B$26)</x:f>
        <x:v>225926.32703189127</x:v>
      </x:c>
      <x:c r="M347" s="133" t="n">
        <x:f>'Assumptions'!$B$10*'Assumptions'!$B$33</x:f>
        <x:v>1950000</x:v>
      </x:c>
      <x:c r="N347" s="133" t="n">
        <x:f>-PMT(K347/12,'Assumptions'!$B$35*12,M347)*12</x:f>
        <x:v>165482.6102908582</x:v>
      </x:c>
      <x:c r="O347" s="133" t="n">
        <x:f>(L347*(1+'Assumptions'!$B$29)^('Assumptions'!$B$14/12)/J347)*(1-'Assumptions'!$B$42)-'Debt Schedule'!$F$9</x:f>
        <x:v>3477934.2814516905</x:v>
      </x:c>
      <x:c r="P347" s="132" t="n">
        <x:f>((O347+(L347-N347-'Assumptions'!$B$27-'Assumptions'!$B$28)*('Assumptions'!$B$14/12))/ABS('Monthly Cash Flow'!$S$5))^(1/('Assumptions'!$B$14/12))-1</x:f>
        <x:v>0.22563146867306894</x:v>
      </x:c>
      <x:c r="Q347" s="133" t="n">
        <x:f>-ABS('Monthly Cash Flow'!$S$5)+((L347-N347-'Assumptions'!$B$27-'Assumptions'!$B$28)*(1-(1+'Assumptions'!$B$43)^-('Assumptions'!$B$14/12))/'Assumptions'!$B$43)+(O347/(1+'Assumptions'!$B$43)^('Assumptions'!$B$14/12))</x:f>
        <x:v>942521.3264912176</x:v>
      </x:c>
    </x:row>
    <x:row r="348">
      <x:c r="A348" s="131" t="n">
        <x:f>341</x:f>
        <x:v>341</x:v>
      </x:c>
      <x:c r="B348" s="131" t="n">
        <x:f>MOD(ABS(SIN((A348+1)*12.9898+78.233)*43758.5453),1)</x:f>
        <x:v>0.3065776604807411</x:v>
      </x:c>
      <x:c r="C348" s="131" t="n">
        <x:f>MOD(ABS(SIN((A348+2)*12.9898+78.233)*43758.5453),1)</x:f>
        <x:v>0.07992665776328067</x:v>
      </x:c>
      <x:c r="D348" s="131" t="n">
        <x:f>MOD(ABS(SIN((A348+3)*12.9898+78.233)*43758.5453),1)</x:f>
        <x:v>0.6982701215238194</x:v>
      </x:c>
      <x:c r="E348" s="131" t="n">
        <x:f>MOD(ABS(SIN((A348+4)*12.9898+78.233)*43758.5453),1)</x:f>
        <x:v>0.8377045684683253</x:v>
      </x:c>
      <x:c r="F348" s="131" t="n">
        <x:f>MOD(ABS(SIN((A348+5)*12.9898+78.233)*43758.5453),1)</x:f>
        <x:v>0.022091801140049938</x:v>
      </x:c>
      <x:c r="G348" s="132" t="n">
        <x:f>IF(B348&lt;(('Assumptions'!$C$47-'Assumptions'!$B$47)/('Assumptions'!$D$47-'Assumptions'!$B$47)),'Assumptions'!$B$47+SQRT(B348*('Assumptions'!$D$47-'Assumptions'!$B$47)*('Assumptions'!$C$47-'Assumptions'!$B$47)),'Assumptions'!$D$47-SQRT((1-B348)*('Assumptions'!$D$47-'Assumptions'!$B$47)*('Assumptions'!$D$47-'Assumptions'!$C$47)))</x:f>
        <x:v>-0.01422200834982329</x:v>
      </x:c>
      <x:c r="H348" s="132" t="n">
        <x:f>IF(C348&lt;(('Assumptions'!$C$48-'Assumptions'!$B$48)/('Assumptions'!$D$48-'Assumptions'!$B$48)),'Assumptions'!$B$48+SQRT(C348*('Assumptions'!$D$48-'Assumptions'!$B$48)*('Assumptions'!$C$48-'Assumptions'!$B$48)),'Assumptions'!$D$48-SQRT((1-C348)*('Assumptions'!$D$48-'Assumptions'!$B$48)*('Assumptions'!$D$48-'Assumptions'!$C$48)))</x:f>
        <x:v>0.04624062716211496</x:v>
      </x:c>
      <x:c r="I348" s="132" t="n">
        <x:f>IF(D348&lt;(('Assumptions'!$C$49-'Assumptions'!$B$49)/('Assumptions'!$D$49-'Assumptions'!$B$49)),'Assumptions'!$B$49+SQRT(D348*('Assumptions'!$D$49-'Assumptions'!$B$49)*('Assumptions'!$C$49-'Assumptions'!$B$49)),'Assumptions'!$D$49-SQRT((1-D348)*('Assumptions'!$D$49-'Assumptions'!$B$49)*('Assumptions'!$D$49-'Assumptions'!$C$49)))</x:f>
        <x:v>0.06926979886631335</x:v>
      </x:c>
      <x:c r="J348" s="132" t="n">
        <x:f>IF(E348&lt;(('Assumptions'!$C$50-'Assumptions'!$B$50)/('Assumptions'!$D$50-'Assumptions'!$B$50)),'Assumptions'!$B$50+SQRT(E348*('Assumptions'!$D$50-'Assumptions'!$B$50)*('Assumptions'!$C$50-'Assumptions'!$B$50)),'Assumptions'!$D$50-SQRT((1-E348)*('Assumptions'!$D$50-'Assumptions'!$B$50)*('Assumptions'!$D$50-'Assumptions'!$C$50)))</x:f>
        <x:v>0.07324384797993093</x:v>
      </x:c>
      <x:c r="K348" s="132" t="n">
        <x:f>IF(F348&lt;(('Assumptions'!$C$51-'Assumptions'!$B$51)/('Assumptions'!$D$51-'Assumptions'!$B$51)),'Assumptions'!$B$51+SQRT(F348*('Assumptions'!$D$51-'Assumptions'!$B$51)*('Assumptions'!$C$51-'Assumptions'!$B$51)),'Assumptions'!$D$51-SQRT((1-F348)*('Assumptions'!$D$51-'Assumptions'!$B$51)*('Assumptions'!$D$51-'Assumptions'!$C$51)))</x:f>
        <x:v>0.05996480127262093</x:v>
      </x:c>
      <x:c r="L348" s="133" t="n">
        <x:f>(('Assumptions'!$B$17*(1+G348)+'Assumptions'!$B$18)*(1-H348-'Assumptions'!$B$20)-SUM('Assumptions'!$B$21:$B$25)*(1+I348))-(('Assumptions'!$B$17*(1+G348)+'Assumptions'!$B$18)*(1-H348-'Assumptions'!$B$20)*'Assumptions'!$B$26)</x:f>
        <x:v>203104.7102461979</x:v>
      </x:c>
      <x:c r="M348" s="133" t="n">
        <x:f>'Assumptions'!$B$10*'Assumptions'!$B$33</x:f>
        <x:v>1950000</x:v>
      </x:c>
      <x:c r="N348" s="133" t="n">
        <x:f>-PMT(K348/12,'Assumptions'!$B$35*12,M348)*12</x:f>
        <x:v>140241.87322283164</x:v>
      </x:c>
      <x:c r="O348" s="133" t="n">
        <x:f>(L348*(1+'Assumptions'!$B$29)^('Assumptions'!$B$14/12)/J348)*(1-'Assumptions'!$B$42)-'Debt Schedule'!$F$9</x:f>
        <x:v>3021779.8431327264</x:v>
      </x:c>
      <x:c r="P348" s="132" t="n">
        <x:f>((O348+(L348-N348-'Assumptions'!$B$27-'Assumptions'!$B$28)*('Assumptions'!$B$14/12))/ABS('Monthly Cash Flow'!$S$5))^(1/('Assumptions'!$B$14/12))-1</x:f>
        <x:v>0.19359613584331337</x:v>
      </x:c>
      <x:c r="Q348" s="133" t="n">
        <x:f>-ABS('Monthly Cash Flow'!$S$5)+((L348-N348-'Assumptions'!$B$27-'Assumptions'!$B$28)*(1-(1+'Assumptions'!$B$43)^-('Assumptions'!$B$14/12))/'Assumptions'!$B$43)+(O348/(1+'Assumptions'!$B$43)^('Assumptions'!$B$14/12))</x:f>
        <x:v>668455.6782907767</x:v>
      </x:c>
    </x:row>
    <x:row r="349">
      <x:c r="A349" s="131" t="n">
        <x:f>342</x:f>
        <x:v>342</x:v>
      </x:c>
      <x:c r="B349" s="131" t="n">
        <x:f>MOD(ABS(SIN((A349+1)*12.9898+78.233)*43758.5453),1)</x:f>
        <x:v>0.07992665776328067</x:v>
      </x:c>
      <x:c r="C349" s="131" t="n">
        <x:f>MOD(ABS(SIN((A349+2)*12.9898+78.233)*43758.5453),1)</x:f>
        <x:v>0.6982701215238194</x:v>
      </x:c>
      <x:c r="D349" s="131" t="n">
        <x:f>MOD(ABS(SIN((A349+3)*12.9898+78.233)*43758.5453),1)</x:f>
        <x:v>0.8377045684683253</x:v>
      </x:c>
      <x:c r="E349" s="131" t="n">
        <x:f>MOD(ABS(SIN((A349+4)*12.9898+78.233)*43758.5453),1)</x:f>
        <x:v>0.022091801140049938</x:v>
      </x:c>
      <x:c r="F349" s="131" t="n">
        <x:f>MOD(ABS(SIN((A349+5)*12.9898+78.233)*43758.5453),1)</x:f>
        <x:v>0.8208997293841094</x:v>
      </x:c>
      <x:c r="G349" s="132" t="n">
        <x:f>IF(B349&lt;(('Assumptions'!$C$47-'Assumptions'!$B$47)/('Assumptions'!$D$47-'Assumptions'!$B$47)),'Assumptions'!$B$47+SQRT(B349*('Assumptions'!$D$47-'Assumptions'!$B$47)*('Assumptions'!$C$47-'Assumptions'!$B$47)),'Assumptions'!$D$47-SQRT((1-B349)*('Assumptions'!$D$47-'Assumptions'!$B$47)*('Assumptions'!$D$47-'Assumptions'!$C$47)))</x:f>
        <x:v>-0.05620228560394121</x:v>
      </x:c>
      <x:c r="H349" s="132" t="n">
        <x:f>IF(C349&lt;(('Assumptions'!$C$48-'Assumptions'!$B$48)/('Assumptions'!$D$48-'Assumptions'!$B$48)),'Assumptions'!$B$48+SQRT(C349*('Assumptions'!$D$48-'Assumptions'!$B$48)*('Assumptions'!$C$48-'Assumptions'!$B$48)),'Assumptions'!$D$48-SQRT((1-C349)*('Assumptions'!$D$48-'Assumptions'!$B$48)*('Assumptions'!$D$48-'Assumptions'!$C$48)))</x:f>
        <x:v>0.0884711446799913</x:v>
      </x:c>
      <x:c r="I349" s="132" t="n">
        <x:f>IF(D349&lt;(('Assumptions'!$C$49-'Assumptions'!$B$49)/('Assumptions'!$D$49-'Assumptions'!$B$49)),'Assumptions'!$B$49+SQRT(D349*('Assumptions'!$D$49-'Assumptions'!$B$49)*('Assumptions'!$C$49-'Assumptions'!$B$49)),'Assumptions'!$D$49-SQRT((1-D349)*('Assumptions'!$D$49-'Assumptions'!$B$49)*('Assumptions'!$D$49-'Assumptions'!$C$49)))</x:f>
        <x:v>0.0907920501867851</x:v>
      </x:c>
      <x:c r="J349" s="132" t="n">
        <x:f>IF(E349&lt;(('Assumptions'!$C$50-'Assumptions'!$B$50)/('Assumptions'!$D$50-'Assumptions'!$B$50)),'Assumptions'!$B$50+SQRT(E349*('Assumptions'!$D$50-'Assumptions'!$B$50)*('Assumptions'!$C$50-'Assumptions'!$B$50)),'Assumptions'!$D$50-SQRT((1-E349)*('Assumptions'!$D$50-'Assumptions'!$B$50)*('Assumptions'!$D$50-'Assumptions'!$C$50)))</x:f>
        <x:v>0.05972949663747476</x:v>
      </x:c>
      <x:c r="K349" s="132" t="n">
        <x:f>IF(F349&lt;(('Assumptions'!$C$51-'Assumptions'!$B$51)/('Assumptions'!$D$51-'Assumptions'!$B$51)),'Assumptions'!$B$51+SQRT(F349*('Assumptions'!$D$51-'Assumptions'!$B$51)*('Assumptions'!$C$51-'Assumptions'!$B$51)),'Assumptions'!$D$51-SQRT((1-F349)*('Assumptions'!$D$51-'Assumptions'!$B$51)*('Assumptions'!$D$51-'Assumptions'!$C$51)))</x:f>
        <x:v>0.07571603504778819</x:v>
      </x:c>
      <x:c r="L349" s="133" t="n">
        <x:f>(('Assumptions'!$B$17*(1+G349)+'Assumptions'!$B$18)*(1-H349-'Assumptions'!$B$20)-SUM('Assumptions'!$B$21:$B$25)*(1+I349))-(('Assumptions'!$B$17*(1+G349)+'Assumptions'!$B$18)*(1-H349-'Assumptions'!$B$20)*'Assumptions'!$B$26)</x:f>
        <x:v>172196.13804428888</x:v>
      </x:c>
      <x:c r="M349" s="133" t="n">
        <x:f>'Assumptions'!$B$10*'Assumptions'!$B$33</x:f>
        <x:v>1950000</x:v>
      </x:c>
      <x:c r="N349" s="133" t="n">
        <x:f>-PMT(K349/12,'Assumptions'!$B$35*12,M349)*12</x:f>
        <x:v>164765.03873659685</x:v>
      </x:c>
      <x:c r="O349" s="133" t="n">
        <x:f>(L349*(1+'Assumptions'!$B$29)^('Assumptions'!$B$14/12)/J349)*(1-'Assumptions'!$B$42)-'Debt Schedule'!$F$9</x:f>
        <x:v>3141582.9360905457</x:v>
      </x:c>
      <x:c r="P349" s="132" t="n">
        <x:f>((O349+(L349-N349-'Assumptions'!$B$27-'Assumptions'!$B$28)*('Assumptions'!$B$14/12))/ABS('Monthly Cash Flow'!$S$5))^(1/('Assumptions'!$B$14/12))-1</x:f>
        <x:v>0.18137033930793955</x:v>
      </x:c>
      <x:c r="Q349" s="133" t="n">
        <x:f>-ABS('Monthly Cash Flow'!$S$5)+((L349-N349-'Assumptions'!$B$27-'Assumptions'!$B$28)*(1-(1+'Assumptions'!$B$43)^-('Assumptions'!$B$14/12))/'Assumptions'!$B$43)+(O349/(1+'Assumptions'!$B$43)^('Assumptions'!$B$14/12))</x:f>
        <x:v>532714.0753388274</x:v>
      </x:c>
    </x:row>
    <x:row r="350">
      <x:c r="A350" s="131" t="n">
        <x:f>343</x:f>
        <x:v>343</x:v>
      </x:c>
      <x:c r="B350" s="131" t="n">
        <x:f>MOD(ABS(SIN((A350+1)*12.9898+78.233)*43758.5453),1)</x:f>
        <x:v>0.6982701215238194</x:v>
      </x:c>
      <x:c r="C350" s="131" t="n">
        <x:f>MOD(ABS(SIN((A350+2)*12.9898+78.233)*43758.5453),1)</x:f>
        <x:v>0.8377045684683253</x:v>
      </x:c>
      <x:c r="D350" s="131" t="n">
        <x:f>MOD(ABS(SIN((A350+3)*12.9898+78.233)*43758.5453),1)</x:f>
        <x:v>0.022091801140049938</x:v>
      </x:c>
      <x:c r="E350" s="131" t="n">
        <x:f>MOD(ABS(SIN((A350+4)*12.9898+78.233)*43758.5453),1)</x:f>
        <x:v>0.8208997293841094</x:v>
      </x:c>
      <x:c r="F350" s="131" t="n">
        <x:f>MOD(ABS(SIN((A350+5)*12.9898+78.233)*43758.5453),1)</x:f>
        <x:v>0.8570489592530066</x:v>
      </x:c>
      <x:c r="G350" s="132" t="n">
        <x:f>IF(B350&lt;(('Assumptions'!$C$47-'Assumptions'!$B$47)/('Assumptions'!$D$47-'Assumptions'!$B$47)),'Assumptions'!$B$47+SQRT(B350*('Assumptions'!$D$47-'Assumptions'!$B$47)*('Assumptions'!$C$47-'Assumptions'!$B$47)),'Assumptions'!$D$47-SQRT((1-B350)*('Assumptions'!$D$47-'Assumptions'!$B$47)*('Assumptions'!$D$47-'Assumptions'!$C$47)))</x:f>
        <x:v>0.03051850566072367</x:v>
      </x:c>
      <x:c r="H350" s="132" t="n">
        <x:f>IF(C350&lt;(('Assumptions'!$C$48-'Assumptions'!$B$48)/('Assumptions'!$D$48-'Assumptions'!$B$48)),'Assumptions'!$B$48+SQRT(C350*('Assumptions'!$D$48-'Assumptions'!$B$48)*('Assumptions'!$C$48-'Assumptions'!$B$48)),'Assumptions'!$D$48-SQRT((1-C350)*('Assumptions'!$D$48-'Assumptions'!$B$48)*('Assumptions'!$D$48-'Assumptions'!$C$48)))</x:f>
        <x:v>0.10220846923610083</x:v>
      </x:c>
      <x:c r="I350" s="132" t="n">
        <x:f>IF(D350&lt;(('Assumptions'!$C$49-'Assumptions'!$B$49)/('Assumptions'!$D$49-'Assumptions'!$B$49)),'Assumptions'!$B$49+SQRT(D350*('Assumptions'!$D$49-'Assumptions'!$B$49)*('Assumptions'!$C$49-'Assumptions'!$B$49)),'Assumptions'!$D$49-SQRT((1-D350)*('Assumptions'!$D$49-'Assumptions'!$B$49)*('Assumptions'!$D$49-'Assumptions'!$C$49)))</x:f>
        <x:v>-0.01455359419435902</x:v>
      </x:c>
      <x:c r="J350" s="132" t="n">
        <x:f>IF(E350&lt;(('Assumptions'!$C$50-'Assumptions'!$B$50)/('Assumptions'!$D$50-'Assumptions'!$B$50)),'Assumptions'!$B$50+SQRT(E350*('Assumptions'!$D$50-'Assumptions'!$B$50)*('Assumptions'!$C$50-'Assumptions'!$B$50)),'Assumptions'!$D$50-SQRT((1-E350)*('Assumptions'!$D$50-'Assumptions'!$B$50)*('Assumptions'!$D$50-'Assumptions'!$C$50)))</x:f>
        <x:v>0.07290268000504985</x:v>
      </x:c>
      <x:c r="K350" s="132" t="n">
        <x:f>IF(F350&lt;(('Assumptions'!$C$51-'Assumptions'!$B$51)/('Assumptions'!$D$51-'Assumptions'!$B$51)),'Assumptions'!$B$51+SQRT(F350*('Assumptions'!$D$51-'Assumptions'!$B$51)*('Assumptions'!$C$51-'Assumptions'!$B$51)),'Assumptions'!$D$51-SQRT((1-F350)*('Assumptions'!$D$51-'Assumptions'!$B$51)*('Assumptions'!$D$51-'Assumptions'!$C$51)))</x:f>
        <x:v>0.07670571351112765</x:v>
      </x:c>
      <x:c r="L350" s="133" t="n">
        <x:f>(('Assumptions'!$B$17*(1+G350)+'Assumptions'!$B$18)*(1-H350-'Assumptions'!$B$20)-SUM('Assumptions'!$B$21:$B$25)*(1+I350))-(('Assumptions'!$B$17*(1+G350)+'Assumptions'!$B$18)*(1-H350-'Assumptions'!$B$20)*'Assumptions'!$B$26)</x:f>
        <x:v>207359.2544403277</x:v>
      </x:c>
      <x:c r="M350" s="133" t="n">
        <x:f>'Assumptions'!$B$10*'Assumptions'!$B$33</x:f>
        <x:v>1950000</x:v>
      </x:c>
      <x:c r="N350" s="133" t="n">
        <x:f>-PMT(K350/12,'Assumptions'!$B$35*12,M350)*12</x:f>
        <x:v>166357.9205349433</x:v>
      </x:c>
      <x:c r="O350" s="133" t="n">
        <x:f>(L350*(1+'Assumptions'!$B$29)^('Assumptions'!$B$14/12)/J350)*(1-'Assumptions'!$B$42)-'Debt Schedule'!$F$9</x:f>
        <x:v>3099516.1667426494</x:v>
      </x:c>
      <x:c r="P350" s="132" t="n">
        <x:f>((O350+(L350-N350-'Assumptions'!$B$27-'Assumptions'!$B$28)*('Assumptions'!$B$14/12))/ABS('Monthly Cash Flow'!$S$5))^(1/('Assumptions'!$B$14/12))-1</x:f>
        <x:v>0.1911832031284182</x:v>
      </x:c>
      <x:c r="Q350" s="133" t="n">
        <x:f>-ABS('Monthly Cash Flow'!$S$5)+((L350-N350-'Assumptions'!$B$27-'Assumptions'!$B$28)*(1-(1+'Assumptions'!$B$43)^-('Assumptions'!$B$14/12))/'Assumptions'!$B$43)+(O350/(1+'Assumptions'!$B$43)^('Assumptions'!$B$14/12))</x:f>
        <x:v>633851.5224173774</x:v>
      </x:c>
    </x:row>
    <x:row r="351">
      <x:c r="A351" s="131" t="n">
        <x:f>344</x:f>
        <x:v>344</x:v>
      </x:c>
      <x:c r="B351" s="131" t="n">
        <x:f>MOD(ABS(SIN((A351+1)*12.9898+78.233)*43758.5453),1)</x:f>
        <x:v>0.8377045684683253</x:v>
      </x:c>
      <x:c r="C351" s="131" t="n">
        <x:f>MOD(ABS(SIN((A351+2)*12.9898+78.233)*43758.5453),1)</x:f>
        <x:v>0.022091801140049938</x:v>
      </x:c>
      <x:c r="D351" s="131" t="n">
        <x:f>MOD(ABS(SIN((A351+3)*12.9898+78.233)*43758.5453),1)</x:f>
        <x:v>0.8208997293841094</x:v>
      </x:c>
      <x:c r="E351" s="131" t="n">
        <x:f>MOD(ABS(SIN((A351+4)*12.9898+78.233)*43758.5453),1)</x:f>
        <x:v>0.8570489592530066</x:v>
      </x:c>
      <x:c r="F351" s="131" t="n">
        <x:f>MOD(ABS(SIN((A351+5)*12.9898+78.233)*43758.5453),1)</x:f>
        <x:v>0.2955966556601197</x:v>
      </x:c>
      <x:c r="G351" s="132" t="n">
        <x:f>IF(B351&lt;(('Assumptions'!$C$47-'Assumptions'!$B$47)/('Assumptions'!$D$47-'Assumptions'!$B$47)),'Assumptions'!$B$47+SQRT(B351*('Assumptions'!$D$47-'Assumptions'!$B$47)*('Assumptions'!$C$47-'Assumptions'!$B$47)),'Assumptions'!$D$47-SQRT((1-B351)*('Assumptions'!$D$47-'Assumptions'!$B$47)*('Assumptions'!$D$47-'Assumptions'!$C$47)))</x:f>
        <x:v>0.0490419103134076</x:v>
      </x:c>
      <x:c r="H351" s="132" t="n">
        <x:f>IF(C351&lt;(('Assumptions'!$C$48-'Assumptions'!$B$48)/('Assumptions'!$D$48-'Assumptions'!$B$48)),'Assumptions'!$B$48+SQRT(C351*('Assumptions'!$D$48-'Assumptions'!$B$48)*('Assumptions'!$C$48-'Assumptions'!$B$48)),'Assumptions'!$D$48-SQRT((1-C351)*('Assumptions'!$D$48-'Assumptions'!$B$48)*('Assumptions'!$D$48-'Assumptions'!$C$48)))</x:f>
        <x:v>0.03853832206947974</x:v>
      </x:c>
      <x:c r="I351" s="132" t="n">
        <x:f>IF(D351&lt;(('Assumptions'!$C$49-'Assumptions'!$B$49)/('Assumptions'!$D$49-'Assumptions'!$B$49)),'Assumptions'!$B$49+SQRT(D351*('Assumptions'!$D$49-'Assumptions'!$B$49)*('Assumptions'!$C$49-'Assumptions'!$B$49)),'Assumptions'!$D$49-SQRT((1-D351)*('Assumptions'!$D$49-'Assumptions'!$B$49)*('Assumptions'!$D$49-'Assumptions'!$C$49)))</x:f>
        <x:v>0.08780220385493359</x:v>
      </x:c>
      <x:c r="J351" s="132" t="n">
        <x:f>IF(E351&lt;(('Assumptions'!$C$50-'Assumptions'!$B$50)/('Assumptions'!$D$50-'Assumptions'!$B$50)),'Assumptions'!$B$50+SQRT(E351*('Assumptions'!$D$50-'Assumptions'!$B$50)*('Assumptions'!$C$50-'Assumptions'!$B$50)),'Assumptions'!$D$50-SQRT((1-E351)*('Assumptions'!$D$50-'Assumptions'!$B$50)*('Assumptions'!$D$50-'Assumptions'!$C$50)))</x:f>
        <x:v>0.07365926027895074</x:v>
      </x:c>
      <x:c r="K351" s="132" t="n">
        <x:f>IF(F351&lt;(('Assumptions'!$C$51-'Assumptions'!$B$51)/('Assumptions'!$D$51-'Assumptions'!$B$51)),'Assumptions'!$B$51+SQRT(F351*('Assumptions'!$D$51-'Assumptions'!$B$51)*('Assumptions'!$C$51-'Assumptions'!$B$51)),'Assumptions'!$D$51-SQRT((1-F351)*('Assumptions'!$D$51-'Assumptions'!$B$51)*('Assumptions'!$D$51-'Assumptions'!$C$51)))</x:f>
        <x:v>0.06651604571342298</x:v>
      </x:c>
      <x:c r="L351" s="133" t="n">
        <x:f>(('Assumptions'!$B$17*(1+G351)+'Assumptions'!$B$18)*(1-H351-'Assumptions'!$B$20)-SUM('Assumptions'!$B$21:$B$25)*(1+I351))-(('Assumptions'!$B$17*(1+G351)+'Assumptions'!$B$18)*(1-H351-'Assumptions'!$B$20)*'Assumptions'!$B$26)</x:f>
        <x:v>224329.54980579196</x:v>
      </x:c>
      <x:c r="M351" s="133" t="n">
        <x:f>'Assumptions'!$B$10*'Assumptions'!$B$33</x:f>
        <x:v>1950000</x:v>
      </x:c>
      <x:c r="N351" s="133" t="n">
        <x:f>-PMT(K351/12,'Assumptions'!$B$35*12,M351)*12</x:f>
        <x:v>150244.6338976685</x:v>
      </x:c>
      <x:c r="O351" s="133" t="n">
        <x:f>(L351*(1+'Assumptions'!$B$29)^('Assumptions'!$B$14/12)/J351)*(1-'Assumptions'!$B$42)-'Debt Schedule'!$F$9</x:f>
        <x:v>3318739.074925892</x:v>
      </x:c>
      <x:c r="P351" s="132" t="n">
        <x:f>((O351+(L351-N351-'Assumptions'!$B$27-'Assumptions'!$B$28)*('Assumptions'!$B$14/12))/ABS('Monthly Cash Flow'!$S$5))^(1/('Assumptions'!$B$14/12))-1</x:f>
        <x:v>0.21933729379043942</x:v>
      </x:c>
      <x:c r="Q351" s="133" t="n">
        <x:f>-ABS('Monthly Cash Flow'!$S$5)+((L351-N351-'Assumptions'!$B$27-'Assumptions'!$B$28)*(1-(1+'Assumptions'!$B$43)^-('Assumptions'!$B$14/12))/'Assumptions'!$B$43)+(O351/(1+'Assumptions'!$B$43)^('Assumptions'!$B$14/12))</x:f>
        <x:v>895384.505552015</x:v>
      </x:c>
    </x:row>
    <x:row r="352">
      <x:c r="A352" s="131" t="n">
        <x:f>345</x:f>
        <x:v>345</x:v>
      </x:c>
      <x:c r="B352" s="131" t="n">
        <x:f>MOD(ABS(SIN((A352+1)*12.9898+78.233)*43758.5453),1)</x:f>
        <x:v>0.022091801140049938</x:v>
      </x:c>
      <x:c r="C352" s="131" t="n">
        <x:f>MOD(ABS(SIN((A352+2)*12.9898+78.233)*43758.5453),1)</x:f>
        <x:v>0.8208997293841094</x:v>
      </x:c>
      <x:c r="D352" s="131" t="n">
        <x:f>MOD(ABS(SIN((A352+3)*12.9898+78.233)*43758.5453),1)</x:f>
        <x:v>0.8570489592530066</x:v>
      </x:c>
      <x:c r="E352" s="131" t="n">
        <x:f>MOD(ABS(SIN((A352+4)*12.9898+78.233)*43758.5453),1)</x:f>
        <x:v>0.2955966556601197</x:v>
      </x:c>
      <x:c r="F352" s="131" t="n">
        <x:f>MOD(ABS(SIN((A352+5)*12.9898+78.233)*43758.5453),1)</x:f>
        <x:v>0.5965848740161164</x:v>
      </x:c>
      <x:c r="G352" s="132" t="n">
        <x:f>IF(B352&lt;(('Assumptions'!$C$47-'Assumptions'!$B$47)/('Assumptions'!$D$47-'Assumptions'!$B$47)),'Assumptions'!$B$47+SQRT(B352*('Assumptions'!$D$47-'Assumptions'!$B$47)*('Assumptions'!$C$47-'Assumptions'!$B$47)),'Assumptions'!$D$47-SQRT((1-B352)*('Assumptions'!$D$47-'Assumptions'!$B$47)*('Assumptions'!$D$47-'Assumptions'!$C$47)))</x:f>
        <x:v>-0.07697385774035959</x:v>
      </x:c>
      <x:c r="H352" s="132" t="n">
        <x:f>IF(C352&lt;(('Assumptions'!$C$48-'Assumptions'!$B$48)/('Assumptions'!$D$48-'Assumptions'!$B$48)),'Assumptions'!$B$48+SQRT(C352*('Assumptions'!$D$48-'Assumptions'!$B$48)*('Assumptions'!$C$48-'Assumptions'!$B$48)),'Assumptions'!$D$48-SQRT((1-C352)*('Assumptions'!$D$48-'Assumptions'!$B$48)*('Assumptions'!$D$48-'Assumptions'!$C$48)))</x:f>
        <x:v>0.10030009595200717</x:v>
      </x:c>
      <x:c r="I352" s="132" t="n">
        <x:f>IF(D352&lt;(('Assumptions'!$C$49-'Assumptions'!$B$49)/('Assumptions'!$D$49-'Assumptions'!$B$49)),'Assumptions'!$B$49+SQRT(D352*('Assumptions'!$D$49-'Assumptions'!$B$49)*('Assumptions'!$C$49-'Assumptions'!$B$49)),'Assumptions'!$D$49-SQRT((1-D352)*('Assumptions'!$D$49-'Assumptions'!$B$49)*('Assumptions'!$D$49-'Assumptions'!$C$49)))</x:f>
        <x:v>0.09443254117619686</x:v>
      </x:c>
      <x:c r="J352" s="132" t="n">
        <x:f>IF(E352&lt;(('Assumptions'!$C$50-'Assumptions'!$B$50)/('Assumptions'!$D$50-'Assumptions'!$B$50)),'Assumptions'!$B$50+SQRT(E352*('Assumptions'!$D$50-'Assumptions'!$B$50)*('Assumptions'!$C$50-'Assumptions'!$B$50)),'Assumptions'!$D$50-SQRT((1-E352)*('Assumptions'!$D$50-'Assumptions'!$B$50)*('Assumptions'!$D$50-'Assumptions'!$C$50)))</x:f>
        <x:v>0.06565532019748624</x:v>
      </x:c>
      <x:c r="K352" s="132" t="n">
        <x:f>IF(F352&lt;(('Assumptions'!$C$51-'Assumptions'!$B$51)/('Assumptions'!$D$51-'Assumptions'!$B$51)),'Assumptions'!$B$51+SQRT(F352*('Assumptions'!$D$51-'Assumptions'!$B$51)*('Assumptions'!$C$51-'Assumptions'!$B$51)),'Assumptions'!$D$51-SQRT((1-F352)*('Assumptions'!$D$51-'Assumptions'!$B$51)*('Assumptions'!$D$51-'Assumptions'!$C$51)))</x:f>
        <x:v>0.0710664602709956</x:v>
      </x:c>
      <x:c r="L352" s="133" t="n">
        <x:f>(('Assumptions'!$B$17*(1+G352)+'Assumptions'!$B$18)*(1-H352-'Assumptions'!$B$20)-SUM('Assumptions'!$B$21:$B$25)*(1+I352))-(('Assumptions'!$B$17*(1+G352)+'Assumptions'!$B$18)*(1-H352-'Assumptions'!$B$20)*'Assumptions'!$B$26)</x:f>
        <x:v>161287.85713562576</x:v>
      </x:c>
      <x:c r="M352" s="133" t="n">
        <x:f>'Assumptions'!$B$10*'Assumptions'!$B$33</x:f>
        <x:v>1950000</x:v>
      </x:c>
      <x:c r="N352" s="133" t="n">
        <x:f>-PMT(K352/12,'Assumptions'!$B$35*12,M352)*12</x:f>
        <x:v>157360.35612213222</x:v>
      </x:c>
      <x:c r="O352" s="133" t="n">
        <x:f>(L352*(1+'Assumptions'!$B$29)^('Assumptions'!$B$14/12)/J352)*(1-'Assumptions'!$B$42)-'Debt Schedule'!$F$9</x:f>
        <x:v>2676983.6910620765</x:v>
      </x:c>
      <x:c r="P352" s="132" t="n">
        <x:f>((O352+(L352-N352-'Assumptions'!$B$27-'Assumptions'!$B$28)*('Assumptions'!$B$14/12))/ABS('Monthly Cash Flow'!$S$5))^(1/('Assumptions'!$B$14/12))-1</x:f>
        <x:v>0.14038138556366198</x:v>
      </x:c>
      <x:c r="Q352" s="133" t="n">
        <x:f>-ABS('Monthly Cash Flow'!$S$5)+((L352-N352-'Assumptions'!$B$27-'Assumptions'!$B$28)*(1-(1+'Assumptions'!$B$43)^-('Assumptions'!$B$14/12))/'Assumptions'!$B$43)+(O352/(1+'Assumptions'!$B$43)^('Assumptions'!$B$14/12))</x:f>
        <x:v>230953.10336449626</x:v>
      </x:c>
    </x:row>
    <x:row r="353">
      <x:c r="A353" s="131" t="n">
        <x:f>346</x:f>
        <x:v>346</x:v>
      </x:c>
      <x:c r="B353" s="131" t="n">
        <x:f>MOD(ABS(SIN((A353+1)*12.9898+78.233)*43758.5453),1)</x:f>
        <x:v>0.8208997293841094</x:v>
      </x:c>
      <x:c r="C353" s="131" t="n">
        <x:f>MOD(ABS(SIN((A353+2)*12.9898+78.233)*43758.5453),1)</x:f>
        <x:v>0.8570489592530066</x:v>
      </x:c>
      <x:c r="D353" s="131" t="n">
        <x:f>MOD(ABS(SIN((A353+3)*12.9898+78.233)*43758.5453),1)</x:f>
        <x:v>0.2955966556601197</x:v>
      </x:c>
      <x:c r="E353" s="131" t="n">
        <x:f>MOD(ABS(SIN((A353+4)*12.9898+78.233)*43758.5453),1)</x:f>
        <x:v>0.5965848740161164</x:v>
      </x:c>
      <x:c r="F353" s="131" t="n">
        <x:f>MOD(ABS(SIN((A353+5)*12.9898+78.233)*43758.5453),1)</x:f>
        <x:v>0.6801915196920163</x:v>
      </x:c>
      <x:c r="G353" s="132" t="n">
        <x:f>IF(B353&lt;(('Assumptions'!$C$47-'Assumptions'!$B$47)/('Assumptions'!$D$47-'Assumptions'!$B$47)),'Assumptions'!$B$47+SQRT(B353*('Assumptions'!$D$47-'Assumptions'!$B$47)*('Assumptions'!$C$47-'Assumptions'!$B$47)),'Assumptions'!$D$47-SQRT((1-B353)*('Assumptions'!$D$47-'Assumptions'!$B$47)*('Assumptions'!$D$47-'Assumptions'!$C$47)))</x:f>
        <x:v>0.046468660302078656</x:v>
      </x:c>
      <x:c r="H353" s="132" t="n">
        <x:f>IF(C353&lt;(('Assumptions'!$C$48-'Assumptions'!$B$48)/('Assumptions'!$D$48-'Assumptions'!$B$48)),'Assumptions'!$B$48+SQRT(C353*('Assumptions'!$D$48-'Assumptions'!$B$48)*('Assumptions'!$C$48-'Assumptions'!$B$48)),'Assumptions'!$D$48-SQRT((1-C353)*('Assumptions'!$D$48-'Assumptions'!$B$48)*('Assumptions'!$D$48-'Assumptions'!$C$48)))</x:f>
        <x:v>0.10453213907530451</x:v>
      </x:c>
      <x:c r="I353" s="132" t="n">
        <x:f>IF(D353&lt;(('Assumptions'!$C$49-'Assumptions'!$B$49)/('Assumptions'!$D$49-'Assumptions'!$B$49)),'Assumptions'!$B$49+SQRT(D353*('Assumptions'!$D$49-'Assumptions'!$B$49)*('Assumptions'!$C$49-'Assumptions'!$B$49)),'Assumptions'!$D$49-SQRT((1-D353)*('Assumptions'!$D$49-'Assumptions'!$B$49)*('Assumptions'!$D$49-'Assumptions'!$C$49)))</x:f>
        <x:v>0.026501715736155243</x:v>
      </x:c>
      <x:c r="J353" s="132" t="n">
        <x:f>IF(E353&lt;(('Assumptions'!$C$50-'Assumptions'!$B$50)/('Assumptions'!$D$50-'Assumptions'!$B$50)),'Assumptions'!$B$50+SQRT(E353*('Assumptions'!$D$50-'Assumptions'!$B$50)*('Assumptions'!$C$50-'Assumptions'!$B$50)),'Assumptions'!$D$50-SQRT((1-E353)*('Assumptions'!$D$50-'Assumptions'!$B$50)*('Assumptions'!$D$50-'Assumptions'!$C$50)))</x:f>
        <x:v>0.0693482159154925</x:v>
      </x:c>
      <x:c r="K353" s="132" t="n">
        <x:f>IF(F353&lt;(('Assumptions'!$C$51-'Assumptions'!$B$51)/('Assumptions'!$D$51-'Assumptions'!$B$51)),'Assumptions'!$B$51+SQRT(F353*('Assumptions'!$D$51-'Assumptions'!$B$51)*('Assumptions'!$C$51-'Assumptions'!$B$51)),'Assumptions'!$D$51-SQRT((1-F353)*('Assumptions'!$D$51-'Assumptions'!$B$51)*('Assumptions'!$D$51-'Assumptions'!$C$51)))</x:f>
        <x:v>0.07259404049868705</x:v>
      </x:c>
      <x:c r="L353" s="133" t="n">
        <x:f>(('Assumptions'!$B$17*(1+G353)+'Assumptions'!$B$18)*(1-H353-'Assumptions'!$B$20)-SUM('Assumptions'!$B$21:$B$25)*(1+I353))-(('Assumptions'!$B$17*(1+G353)+'Assumptions'!$B$18)*(1-H353-'Assumptions'!$B$20)*'Assumptions'!$B$26)</x:f>
        <x:v>206199.5933997533</x:v>
      </x:c>
      <x:c r="M353" s="133" t="n">
        <x:f>'Assumptions'!$B$10*'Assumptions'!$B$33</x:f>
        <x:v>1950000</x:v>
      </x:c>
      <x:c r="N353" s="133" t="n">
        <x:f>-PMT(K353/12,'Assumptions'!$B$35*12,M353)*12</x:f>
        <x:v>159778.5339994313</x:v>
      </x:c>
      <x:c r="O353" s="133" t="n">
        <x:f>(L353*(1+'Assumptions'!$B$29)^('Assumptions'!$B$14/12)/J353)*(1-'Assumptions'!$B$42)-'Debt Schedule'!$F$9</x:f>
        <x:v>3240160.2438883376</x:v>
      </x:c>
      <x:c r="P353" s="132" t="n">
        <x:f>((O353+(L353-N353-'Assumptions'!$B$27-'Assumptions'!$B$28)*('Assumptions'!$B$14/12))/ABS('Monthly Cash Flow'!$S$5))^(1/('Assumptions'!$B$14/12))-1</x:f>
        <x:v>0.20378602398941204</x:v>
      </x:c>
      <x:c r="Q353" s="133" t="n">
        <x:f>-ABS('Monthly Cash Flow'!$S$5)+((L353-N353-'Assumptions'!$B$27-'Assumptions'!$B$28)*(1-(1+'Assumptions'!$B$43)^-('Assumptions'!$B$14/12))/'Assumptions'!$B$43)+(O353/(1+'Assumptions'!$B$43)^('Assumptions'!$B$14/12))</x:f>
        <x:v>741725.4525791472</x:v>
      </x:c>
    </x:row>
    <x:row r="354">
      <x:c r="A354" s="131" t="n">
        <x:f>347</x:f>
        <x:v>347</x:v>
      </x:c>
      <x:c r="B354" s="131" t="n">
        <x:f>MOD(ABS(SIN((A354+1)*12.9898+78.233)*43758.5453),1)</x:f>
        <x:v>0.8570489592530066</x:v>
      </x:c>
      <x:c r="C354" s="131" t="n">
        <x:f>MOD(ABS(SIN((A354+2)*12.9898+78.233)*43758.5453),1)</x:f>
        <x:v>0.2955966556601197</x:v>
      </x:c>
      <x:c r="D354" s="131" t="n">
        <x:f>MOD(ABS(SIN((A354+3)*12.9898+78.233)*43758.5453),1)</x:f>
        <x:v>0.5965848740161164</x:v>
      </x:c>
      <x:c r="E354" s="131" t="n">
        <x:f>MOD(ABS(SIN((A354+4)*12.9898+78.233)*43758.5453),1)</x:f>
        <x:v>0.6801915196920163</x:v>
      </x:c>
      <x:c r="F354" s="131" t="n">
        <x:f>MOD(ABS(SIN((A354+5)*12.9898+78.233)*43758.5453),1)</x:f>
        <x:v>0.4843653423595242</x:v>
      </x:c>
      <x:c r="G354" s="132" t="n">
        <x:f>IF(B354&lt;(('Assumptions'!$C$47-'Assumptions'!$B$47)/('Assumptions'!$D$47-'Assumptions'!$B$47)),'Assumptions'!$B$47+SQRT(B354*('Assumptions'!$D$47-'Assumptions'!$B$47)*('Assumptions'!$C$47-'Assumptions'!$B$47)),'Assumptions'!$D$47-SQRT((1-B354)*('Assumptions'!$D$47-'Assumptions'!$B$47)*('Assumptions'!$D$47-'Assumptions'!$C$47)))</x:f>
        <x:v>0.052175146085409796</x:v>
      </x:c>
      <x:c r="H354" s="132" t="n">
        <x:f>IF(C354&lt;(('Assumptions'!$C$48-'Assumptions'!$B$48)/('Assumptions'!$D$48-'Assumptions'!$B$48)),'Assumptions'!$B$48+SQRT(C354*('Assumptions'!$D$48-'Assumptions'!$B$48)*('Assumptions'!$C$48-'Assumptions'!$B$48)),'Assumptions'!$D$48-SQRT((1-C354)*('Assumptions'!$D$48-'Assumptions'!$B$48)*('Assumptions'!$D$48-'Assumptions'!$C$48)))</x:f>
        <x:v>0.06126786278659173</x:v>
      </x:c>
      <x:c r="I354" s="132" t="n">
        <x:f>IF(D354&lt;(('Assumptions'!$C$49-'Assumptions'!$B$49)/('Assumptions'!$D$49-'Assumptions'!$B$49)),'Assumptions'!$B$49+SQRT(D354*('Assumptions'!$D$49-'Assumptions'!$B$49)*('Assumptions'!$C$49-'Assumptions'!$B$49)),'Assumptions'!$D$49-SQRT((1-D354)*('Assumptions'!$D$49-'Assumptions'!$B$49)*('Assumptions'!$D$49-'Assumptions'!$C$49)))</x:f>
        <x:v>0.05665244126785164</x:v>
      </x:c>
      <x:c r="J354" s="132" t="n">
        <x:f>IF(E354&lt;(('Assumptions'!$C$50-'Assumptions'!$B$50)/('Assumptions'!$D$50-'Assumptions'!$B$50)),'Assumptions'!$B$50+SQRT(E354*('Assumptions'!$D$50-'Assumptions'!$B$50)*('Assumptions'!$C$50-'Assumptions'!$B$50)),'Assumptions'!$D$50-SQRT((1-E354)*('Assumptions'!$D$50-'Assumptions'!$B$50)*('Assumptions'!$D$50-'Assumptions'!$C$50)))</x:f>
        <x:v>0.0705160063746004</x:v>
      </x:c>
      <x:c r="K354" s="132" t="n">
        <x:f>IF(F354&lt;(('Assumptions'!$C$51-'Assumptions'!$B$51)/('Assumptions'!$D$51-'Assumptions'!$B$51)),'Assumptions'!$B$51+SQRT(F354*('Assumptions'!$D$51-'Assumptions'!$B$51)*('Assumptions'!$C$51-'Assumptions'!$B$51)),'Assumptions'!$D$51-SQRT((1-F354)*('Assumptions'!$D$51-'Assumptions'!$B$51)*('Assumptions'!$D$51-'Assumptions'!$C$51)))</x:f>
        <x:v>0.06924724852638503</x:v>
      </x:c>
      <x:c r="L354" s="133" t="n">
        <x:f>(('Assumptions'!$B$17*(1+G354)+'Assumptions'!$B$18)*(1-H354-'Assumptions'!$B$20)-SUM('Assumptions'!$B$21:$B$25)*(1+I354))-(('Assumptions'!$B$17*(1+G354)+'Assumptions'!$B$18)*(1-H354-'Assumptions'!$B$20)*'Assumptions'!$B$26)</x:f>
        <x:v>220626.75794520922</x:v>
      </x:c>
      <x:c r="M354" s="133" t="n">
        <x:f>'Assumptions'!$B$10*'Assumptions'!$B$33</x:f>
        <x:v>1950000</x:v>
      </x:c>
      <x:c r="N354" s="133" t="n">
        <x:f>-PMT(K354/12,'Assumptions'!$B$35*12,M354)*12</x:f>
        <x:v>154499.60977031448</x:v>
      </x:c>
      <x:c r="O354" s="133" t="n">
        <x:f>(L354*(1+'Assumptions'!$B$29)^('Assumptions'!$B$14/12)/J354)*(1-'Assumptions'!$B$42)-'Debt Schedule'!$F$9</x:f>
        <x:v>3409450.990043258</x:v>
      </x:c>
      <x:c r="P354" s="132" t="n">
        <x:f>((O354+(L354-N354-'Assumptions'!$B$27-'Assumptions'!$B$28)*('Assumptions'!$B$14/12))/ABS('Monthly Cash Flow'!$S$5))^(1/('Assumptions'!$B$14/12))-1</x:f>
        <x:v>0.22287585305785917</x:v>
      </x:c>
      <x:c r="Q354" s="133" t="n">
        <x:f>-ABS('Monthly Cash Flow'!$S$5)+((L354-N354-'Assumptions'!$B$27-'Assumptions'!$B$28)*(1-(1+'Assumptions'!$B$43)^-('Assumptions'!$B$14/12))/'Assumptions'!$B$43)+(O354/(1+'Assumptions'!$B$43)^('Assumptions'!$B$14/12))</x:f>
        <x:v>921543.2672667704</x:v>
      </x:c>
    </x:row>
    <x:row r="355">
      <x:c r="A355" s="131" t="n">
        <x:f>348</x:f>
        <x:v>348</x:v>
      </x:c>
      <x:c r="B355" s="131" t="n">
        <x:f>MOD(ABS(SIN((A355+1)*12.9898+78.233)*43758.5453),1)</x:f>
        <x:v>0.2955966556601197</x:v>
      </x:c>
      <x:c r="C355" s="131" t="n">
        <x:f>MOD(ABS(SIN((A355+2)*12.9898+78.233)*43758.5453),1)</x:f>
        <x:v>0.5965848740161164</x:v>
      </x:c>
      <x:c r="D355" s="131" t="n">
        <x:f>MOD(ABS(SIN((A355+3)*12.9898+78.233)*43758.5453),1)</x:f>
        <x:v>0.6801915196920163</x:v>
      </x:c>
      <x:c r="E355" s="131" t="n">
        <x:f>MOD(ABS(SIN((A355+4)*12.9898+78.233)*43758.5453),1)</x:f>
        <x:v>0.4843653423595242</x:v>
      </x:c>
      <x:c r="F355" s="131" t="n">
        <x:f>MOD(ABS(SIN((A355+5)*12.9898+78.233)*43758.5453),1)</x:f>
        <x:v>0.7547777370127733</x:v>
      </x:c>
      <x:c r="G355" s="132" t="n">
        <x:f>IF(B355&lt;(('Assumptions'!$C$47-'Assumptions'!$B$47)/('Assumptions'!$D$47-'Assumptions'!$B$47)),'Assumptions'!$B$47+SQRT(B355*('Assumptions'!$D$47-'Assumptions'!$B$47)*('Assumptions'!$C$47-'Assumptions'!$B$47)),'Assumptions'!$D$47-SQRT((1-B355)*('Assumptions'!$D$47-'Assumptions'!$B$47)*('Assumptions'!$D$47-'Assumptions'!$C$47)))</x:f>
        <x:v>-0.015772215179058205</x:v>
      </x:c>
      <x:c r="H355" s="132" t="n">
        <x:f>IF(C355&lt;(('Assumptions'!$C$48-'Assumptions'!$B$48)/('Assumptions'!$D$48-'Assumptions'!$B$48)),'Assumptions'!$B$48+SQRT(C355*('Assumptions'!$D$48-'Assumptions'!$B$48)*('Assumptions'!$C$48-'Assumptions'!$B$48)),'Assumptions'!$D$48-SQRT((1-C355)*('Assumptions'!$D$48-'Assumptions'!$B$48)*('Assumptions'!$D$48-'Assumptions'!$C$48)))</x:f>
        <x:v>0.08041767788464287</x:v>
      </x:c>
      <x:c r="I355" s="132" t="n">
        <x:f>IF(D355&lt;(('Assumptions'!$C$49-'Assumptions'!$B$49)/('Assumptions'!$D$49-'Assumptions'!$B$49)),'Assumptions'!$B$49+SQRT(D355*('Assumptions'!$D$49-'Assumptions'!$B$49)*('Assumptions'!$C$49-'Assumptions'!$B$49)),'Assumptions'!$D$49-SQRT((1-D355)*('Assumptions'!$D$49-'Assumptions'!$B$49)*('Assumptions'!$D$49-'Assumptions'!$C$49)))</x:f>
        <x:v>0.06688644409813495</x:v>
      </x:c>
      <x:c r="J355" s="132" t="n">
        <x:f>IF(E355&lt;(('Assumptions'!$C$50-'Assumptions'!$B$50)/('Assumptions'!$D$50-'Assumptions'!$B$50)),'Assumptions'!$B$50+SQRT(E355*('Assumptions'!$D$50-'Assumptions'!$B$50)*('Assumptions'!$C$50-'Assumptions'!$B$50)),'Assumptions'!$D$50-SQRT((1-E355)*('Assumptions'!$D$50-'Assumptions'!$B$50)*('Assumptions'!$D$50-'Assumptions'!$C$50)))</x:f>
        <x:v>0.06795748168108581</x:v>
      </x:c>
      <x:c r="K355" s="132" t="n">
        <x:f>IF(F355&lt;(('Assumptions'!$C$51-'Assumptions'!$B$51)/('Assumptions'!$D$51-'Assumptions'!$B$51)),'Assumptions'!$B$51+SQRT(F355*('Assumptions'!$D$51-'Assumptions'!$B$51)*('Assumptions'!$C$51-'Assumptions'!$B$51)),'Assumptions'!$D$51-SQRT((1-F355)*('Assumptions'!$D$51-'Assumptions'!$B$51)*('Assumptions'!$D$51-'Assumptions'!$C$51)))</x:f>
        <x:v>0.07413661129929511</x:v>
      </x:c>
      <x:c r="L355" s="133" t="n">
        <x:f>(('Assumptions'!$B$17*(1+G355)+'Assumptions'!$B$18)*(1-H355-'Assumptions'!$B$20)-SUM('Assumptions'!$B$21:$B$25)*(1+I355))-(('Assumptions'!$B$17*(1+G355)+'Assumptions'!$B$18)*(1-H355-'Assumptions'!$B$20)*'Assumptions'!$B$26)</x:f>
        <x:v>190683.51921891383</x:v>
      </x:c>
      <x:c r="M355" s="133" t="n">
        <x:f>'Assumptions'!$B$10*'Assumptions'!$B$33</x:f>
        <x:v>1950000</x:v>
      </x:c>
      <x:c r="N355" s="133" t="n">
        <x:f>-PMT(K355/12,'Assumptions'!$B$35*12,M355)*12</x:f>
        <x:v>162235.0037448412</x:v>
      </x:c>
      <x:c r="O355" s="133" t="n">
        <x:f>(L355*(1+'Assumptions'!$B$29)^('Assumptions'!$B$14/12)/J355)*(1-'Assumptions'!$B$42)-'Debt Schedule'!$F$9</x:f>
        <x:v>3057664.69670402</x:v>
      </x:c>
      <x:c r="P355" s="132" t="n">
        <x:f>((O355+(L355-N355-'Assumptions'!$B$27-'Assumptions'!$B$28)*('Assumptions'!$B$14/12))/ABS('Monthly Cash Flow'!$S$5))^(1/('Assumptions'!$B$14/12))-1</x:f>
        <x:v>0.18304470271365014</x:v>
      </x:c>
      <x:c r="Q355" s="133" t="n">
        <x:f>-ABS('Monthly Cash Flow'!$S$5)+((L355-N355-'Assumptions'!$B$27-'Assumptions'!$B$28)*(1-(1+'Assumptions'!$B$43)^-('Assumptions'!$B$14/12))/'Assumptions'!$B$43)+(O355/(1+'Assumptions'!$B$43)^('Assumptions'!$B$14/12))</x:f>
        <x:v>560279.9942408178</x:v>
      </x:c>
    </x:row>
    <x:row r="356">
      <x:c r="A356" s="131" t="n">
        <x:f>349</x:f>
        <x:v>349</x:v>
      </x:c>
      <x:c r="B356" s="131" t="n">
        <x:f>MOD(ABS(SIN((A356+1)*12.9898+78.233)*43758.5453),1)</x:f>
        <x:v>0.5965848740161164</x:v>
      </x:c>
      <x:c r="C356" s="131" t="n">
        <x:f>MOD(ABS(SIN((A356+2)*12.9898+78.233)*43758.5453),1)</x:f>
        <x:v>0.6801915196920163</x:v>
      </x:c>
      <x:c r="D356" s="131" t="n">
        <x:f>MOD(ABS(SIN((A356+3)*12.9898+78.233)*43758.5453),1)</x:f>
        <x:v>0.4843653423595242</x:v>
      </x:c>
      <x:c r="E356" s="131" t="n">
        <x:f>MOD(ABS(SIN((A356+4)*12.9898+78.233)*43758.5453),1)</x:f>
        <x:v>0.7547777370127733</x:v>
      </x:c>
      <x:c r="F356" s="131" t="n">
        <x:f>MOD(ABS(SIN((A356+5)*12.9898+78.233)*43758.5453),1)</x:f>
        <x:v>0.7712424710261985</x:v>
      </x:c>
      <x:c r="G356" s="132" t="n">
        <x:f>IF(B356&lt;(('Assumptions'!$C$47-'Assumptions'!$B$47)/('Assumptions'!$D$47-'Assumptions'!$B$47)),'Assumptions'!$B$47+SQRT(B356*('Assumptions'!$D$47-'Assumptions'!$B$47)*('Assumptions'!$C$47-'Assumptions'!$B$47)),'Assumptions'!$D$47-SQRT((1-B356)*('Assumptions'!$D$47-'Assumptions'!$B$47)*('Assumptions'!$D$47-'Assumptions'!$C$47)))</x:f>
        <x:v>0.01965800005175916</x:v>
      </x:c>
      <x:c r="H356" s="132" t="n">
        <x:f>IF(C356&lt;(('Assumptions'!$C$48-'Assumptions'!$B$48)/('Assumptions'!$D$48-'Assumptions'!$B$48)),'Assumptions'!$B$48+SQRT(C356*('Assumptions'!$D$48-'Assumptions'!$B$48)*('Assumptions'!$C$48-'Assumptions'!$B$48)),'Assumptions'!$D$48-SQRT((1-C356)*('Assumptions'!$D$48-'Assumptions'!$B$48)*('Assumptions'!$D$48-'Assumptions'!$C$48)))</x:f>
        <x:v>0.08694988570502174</x:v>
      </x:c>
      <x:c r="I356" s="132" t="n">
        <x:f>IF(D356&lt;(('Assumptions'!$C$49-'Assumptions'!$B$49)/('Assumptions'!$D$49-'Assumptions'!$B$49)),'Assumptions'!$B$49+SQRT(D356*('Assumptions'!$D$49-'Assumptions'!$B$49)*('Assumptions'!$C$49-'Assumptions'!$B$49)),'Assumptions'!$D$49-SQRT((1-D356)*('Assumptions'!$D$49-'Assumptions'!$B$49)*('Assumptions'!$D$49-'Assumptions'!$C$49)))</x:f>
        <x:v>0.0444646570809841</x:v>
      </x:c>
      <x:c r="J356" s="132" t="n">
        <x:f>IF(E356&lt;(('Assumptions'!$C$50-'Assumptions'!$B$50)/('Assumptions'!$D$50-'Assumptions'!$B$50)),'Assumptions'!$B$50+SQRT(E356*('Assumptions'!$D$50-'Assumptions'!$B$50)*('Assumptions'!$C$50-'Assumptions'!$B$50)),'Assumptions'!$D$50-SQRT((1-E356)*('Assumptions'!$D$50-'Assumptions'!$B$50)*('Assumptions'!$D$50-'Assumptions'!$C$50)))</x:f>
        <x:v>0.07169525668878578</x:v>
      </x:c>
      <x:c r="K356" s="132" t="n">
        <x:f>IF(F356&lt;(('Assumptions'!$C$51-'Assumptions'!$B$51)/('Assumptions'!$D$51-'Assumptions'!$B$51)),'Assumptions'!$B$51+SQRT(F356*('Assumptions'!$D$51-'Assumptions'!$B$51)*('Assumptions'!$C$51-'Assumptions'!$B$51)),'Assumptions'!$D$51-SQRT((1-F356)*('Assumptions'!$D$51-'Assumptions'!$B$51)*('Assumptions'!$D$51-'Assumptions'!$C$51)))</x:f>
        <x:v>0.07450764274251769</x:v>
      </x:c>
      <x:c r="L356" s="133" t="n">
        <x:f>(('Assumptions'!$B$17*(1+G356)+'Assumptions'!$B$18)*(1-H356-'Assumptions'!$B$20)-SUM('Assumptions'!$B$21:$B$25)*(1+I356))-(('Assumptions'!$B$17*(1+G356)+'Assumptions'!$B$18)*(1-H356-'Assumptions'!$B$20)*'Assumptions'!$B$26)</x:f>
        <x:v>202231.42490044926</x:v>
      </x:c>
      <x:c r="M356" s="133" t="n">
        <x:f>'Assumptions'!$B$10*'Assumptions'!$B$33</x:f>
        <x:v>1950000</x:v>
      </x:c>
      <x:c r="N356" s="133" t="n">
        <x:f>-PMT(K356/12,'Assumptions'!$B$35*12,M356)*12</x:f>
        <x:v>162828.0064032981</x:v>
      </x:c>
      <x:c r="O356" s="133" t="n">
        <x:f>(L356*(1+'Assumptions'!$B$29)^('Assumptions'!$B$14/12)/J356)*(1-'Assumptions'!$B$42)-'Debt Schedule'!$F$9</x:f>
        <x:v>3073775.8563120957</x:v>
      </x:c>
      <x:c r="P356" s="132" t="n">
        <x:f>((O356+(L356-N356-'Assumptions'!$B$27-'Assumptions'!$B$28)*('Assumptions'!$B$14/12))/ABS('Monthly Cash Flow'!$S$5))^(1/('Assumptions'!$B$14/12))-1</x:f>
        <x:v>0.18858349706852762</x:v>
      </x:c>
      <x:c r="Q356" s="133" t="n">
        <x:f>-ABS('Monthly Cash Flow'!$S$5)+((L356-N356-'Assumptions'!$B$27-'Assumptions'!$B$28)*(1-(1+'Assumptions'!$B$43)^-('Assumptions'!$B$14/12))/'Assumptions'!$B$43)+(O356/(1+'Assumptions'!$B$43)^('Assumptions'!$B$14/12))</x:f>
        <x:v>611811.4582207203</x:v>
      </x:c>
    </x:row>
    <x:row r="357">
      <x:c r="A357" s="131" t="n">
        <x:f>350</x:f>
        <x:v>350</x:v>
      </x:c>
      <x:c r="B357" s="131" t="n">
        <x:f>MOD(ABS(SIN((A357+1)*12.9898+78.233)*43758.5453),1)</x:f>
        <x:v>0.6801915196920163</x:v>
      </x:c>
      <x:c r="C357" s="131" t="n">
        <x:f>MOD(ABS(SIN((A357+2)*12.9898+78.233)*43758.5453),1)</x:f>
        <x:v>0.4843653423595242</x:v>
      </x:c>
      <x:c r="D357" s="131" t="n">
        <x:f>MOD(ABS(SIN((A357+3)*12.9898+78.233)*43758.5453),1)</x:f>
        <x:v>0.7547777370127733</x:v>
      </x:c>
      <x:c r="E357" s="131" t="n">
        <x:f>MOD(ABS(SIN((A357+4)*12.9898+78.233)*43758.5453),1)</x:f>
        <x:v>0.7712424710261985</x:v>
      </x:c>
      <x:c r="F357" s="131" t="n">
        <x:f>MOD(ABS(SIN((A357+5)*12.9898+78.233)*43758.5453),1)</x:f>
        <x:v>0.37907080443619634</x:v>
      </x:c>
      <x:c r="G357" s="132" t="n">
        <x:f>IF(B357&lt;(('Assumptions'!$C$47-'Assumptions'!$B$47)/('Assumptions'!$D$47-'Assumptions'!$B$47)),'Assumptions'!$B$47+SQRT(B357*('Assumptions'!$D$47-'Assumptions'!$B$47)*('Assumptions'!$C$47-'Assumptions'!$B$47)),'Assumptions'!$D$47-SQRT((1-B357)*('Assumptions'!$D$47-'Assumptions'!$B$47)*('Assumptions'!$D$47-'Assumptions'!$C$47)))</x:f>
        <x:v>0.028467240477332775</x:v>
      </x:c>
      <x:c r="H357" s="132" t="n">
        <x:f>IF(C357&lt;(('Assumptions'!$C$48-'Assumptions'!$B$48)/('Assumptions'!$D$48-'Assumptions'!$B$48)),'Assumptions'!$B$48+SQRT(C357*('Assumptions'!$D$48-'Assumptions'!$B$48)*('Assumptions'!$C$48-'Assumptions'!$B$48)),'Assumptions'!$D$48-SQRT((1-C357)*('Assumptions'!$D$48-'Assumptions'!$B$48)*('Assumptions'!$D$48-'Assumptions'!$C$48)))</x:f>
        <x:v>0.07263840124198219</x:v>
      </x:c>
      <x:c r="I357" s="132" t="n">
        <x:f>IF(D357&lt;(('Assumptions'!$C$49-'Assumptions'!$B$49)/('Assumptions'!$D$49-'Assumptions'!$B$49)),'Assumptions'!$B$49+SQRT(D357*('Assumptions'!$D$49-'Assumptions'!$B$49)*('Assumptions'!$C$49-'Assumptions'!$B$49)),'Assumptions'!$D$49-SQRT((1-D357)*('Assumptions'!$D$49-'Assumptions'!$B$49)*('Assumptions'!$D$49-'Assumptions'!$C$49)))</x:f>
        <x:v>0.07722087606652511</x:v>
      </x:c>
      <x:c r="J357" s="132" t="n">
        <x:f>IF(E357&lt;(('Assumptions'!$C$50-'Assumptions'!$B$50)/('Assumptions'!$D$50-'Assumptions'!$B$50)),'Assumptions'!$B$50+SQRT(E357*('Assumptions'!$D$50-'Assumptions'!$B$50)*('Assumptions'!$C$50-'Assumptions'!$B$50)),'Assumptions'!$D$50-SQRT((1-E357)*('Assumptions'!$D$50-'Assumptions'!$B$50)*('Assumptions'!$D$50-'Assumptions'!$C$50)))</x:f>
        <x:v>0.07197889938824592</x:v>
      </x:c>
      <x:c r="K357" s="132" t="n">
        <x:f>IF(F357&lt;(('Assumptions'!$C$51-'Assumptions'!$B$51)/('Assumptions'!$D$51-'Assumptions'!$B$51)),'Assumptions'!$B$51+SQRT(F357*('Assumptions'!$D$51-'Assumptions'!$B$51)*('Assumptions'!$C$51-'Assumptions'!$B$51)),'Assumptions'!$D$51-SQRT((1-F357)*('Assumptions'!$D$51-'Assumptions'!$B$51)*('Assumptions'!$D$51-'Assumptions'!$C$51)))</x:f>
        <x:v>0.067713526231036</x:v>
      </x:c>
      <x:c r="L357" s="133" t="n">
        <x:f>(('Assumptions'!$B$17*(1+G357)+'Assumptions'!$B$18)*(1-H357-'Assumptions'!$B$20)-SUM('Assumptions'!$B$21:$B$25)*(1+I357))-(('Assumptions'!$B$17*(1+G357)+'Assumptions'!$B$18)*(1-H357-'Assumptions'!$B$20)*'Assumptions'!$B$26)</x:f>
        <x:v>206187.60529146693</x:v>
      </x:c>
      <x:c r="M357" s="133" t="n">
        <x:f>'Assumptions'!$B$10*'Assumptions'!$B$33</x:f>
        <x:v>1950000</x:v>
      </x:c>
      <x:c r="N357" s="133" t="n">
        <x:f>-PMT(K357/12,'Assumptions'!$B$35*12,M357)*12</x:f>
        <x:v>152104.23269570066</x:v>
      </x:c>
      <x:c r="O357" s="133" t="n">
        <x:f>(L357*(1+'Assumptions'!$B$29)^('Assumptions'!$B$14/12)/J357)*(1-'Assumptions'!$B$42)-'Debt Schedule'!$F$9</x:f>
        <x:v>3121557.4348960686</x:v>
      </x:c>
      <x:c r="P357" s="132" t="n">
        <x:f>((O357+(L357-N357-'Assumptions'!$B$27-'Assumptions'!$B$28)*('Assumptions'!$B$14/12))/ABS('Monthly Cash Flow'!$S$5))^(1/('Assumptions'!$B$14/12))-1</x:f>
        <x:v>0.19781974063980834</x:v>
      </x:c>
      <x:c r="Q357" s="133" t="n">
        <x:f>-ABS('Monthly Cash Flow'!$S$5)+((L357-N357-'Assumptions'!$B$27-'Assumptions'!$B$28)*(1-(1+'Assumptions'!$B$43)^-('Assumptions'!$B$14/12))/'Assumptions'!$B$43)+(O357/(1+'Assumptions'!$B$43)^('Assumptions'!$B$14/12))</x:f>
        <x:v>697128.6349854893</x:v>
      </x:c>
    </x:row>
    <x:row r="358">
      <x:c r="A358" s="131" t="n">
        <x:f>351</x:f>
        <x:v>351</x:v>
      </x:c>
      <x:c r="B358" s="131" t="n">
        <x:f>MOD(ABS(SIN((A358+1)*12.9898+78.233)*43758.5453),1)</x:f>
        <x:v>0.4843653423595242</x:v>
      </x:c>
      <x:c r="C358" s="131" t="n">
        <x:f>MOD(ABS(SIN((A358+2)*12.9898+78.233)*43758.5453),1)</x:f>
        <x:v>0.7547777370127733</x:v>
      </x:c>
      <x:c r="D358" s="131" t="n">
        <x:f>MOD(ABS(SIN((A358+3)*12.9898+78.233)*43758.5453),1)</x:f>
        <x:v>0.7712424710261985</x:v>
      </x:c>
      <x:c r="E358" s="131" t="n">
        <x:f>MOD(ABS(SIN((A358+4)*12.9898+78.233)*43758.5453),1)</x:f>
        <x:v>0.37907080443619634</x:v>
      </x:c>
      <x:c r="F358" s="131" t="n">
        <x:f>MOD(ABS(SIN((A358+5)*12.9898+78.233)*43758.5453),1)</x:f>
        <x:v>0.351043730008314</x:v>
      </x:c>
      <x:c r="G358" s="132" t="n">
        <x:f>IF(B358&lt;(('Assumptions'!$C$47-'Assumptions'!$B$47)/('Assumptions'!$D$47-'Assumptions'!$B$47)),'Assumptions'!$B$47+SQRT(B358*('Assumptions'!$D$47-'Assumptions'!$B$47)*('Assumptions'!$C$47-'Assumptions'!$B$47)),'Assumptions'!$D$47-SQRT((1-B358)*('Assumptions'!$D$47-'Assumptions'!$B$47)*('Assumptions'!$D$47-'Assumptions'!$C$47)))</x:f>
        <x:v>0.007818218389234119</x:v>
      </x:c>
      <x:c r="H358" s="132" t="n">
        <x:f>IF(C358&lt;(('Assumptions'!$C$48-'Assumptions'!$B$48)/('Assumptions'!$D$48-'Assumptions'!$B$48)),'Assumptions'!$B$48+SQRT(C358*('Assumptions'!$D$48-'Assumptions'!$B$48)*('Assumptions'!$C$48-'Assumptions'!$B$48)),'Assumptions'!$D$48-SQRT((1-C358)*('Assumptions'!$D$48-'Assumptions'!$B$48)*('Assumptions'!$D$48-'Assumptions'!$C$48)))</x:f>
        <x:v>0.09354619591155539</x:v>
      </x:c>
      <x:c r="I358" s="132" t="n">
        <x:f>IF(D358&lt;(('Assumptions'!$C$49-'Assumptions'!$B$49)/('Assumptions'!$D$49-'Assumptions'!$B$49)),'Assumptions'!$B$49+SQRT(D358*('Assumptions'!$D$49-'Assumptions'!$B$49)*('Assumptions'!$C$49-'Assumptions'!$B$49)),'Assumptions'!$D$49-SQRT((1-D358)*('Assumptions'!$D$49-'Assumptions'!$B$49)*('Assumptions'!$D$49-'Assumptions'!$C$49)))</x:f>
        <x:v>0.07970659614278085</x:v>
      </x:c>
      <x:c r="J358" s="132" t="n">
        <x:f>IF(E358&lt;(('Assumptions'!$C$50-'Assumptions'!$B$50)/('Assumptions'!$D$50-'Assumptions'!$B$50)),'Assumptions'!$B$50+SQRT(E358*('Assumptions'!$D$50-'Assumptions'!$B$50)*('Assumptions'!$C$50-'Assumptions'!$B$50)),'Assumptions'!$D$50-SQRT((1-E358)*('Assumptions'!$D$50-'Assumptions'!$B$50)*('Assumptions'!$D$50-'Assumptions'!$C$50)))</x:f>
        <x:v>0.06673530892813793</x:v>
      </x:c>
      <x:c r="K358" s="132" t="n">
        <x:f>IF(F358&lt;(('Assumptions'!$C$51-'Assumptions'!$B$51)/('Assumptions'!$D$51-'Assumptions'!$B$51)),'Assumptions'!$B$51+SQRT(F358*('Assumptions'!$D$51-'Assumptions'!$B$51)*('Assumptions'!$C$51-'Assumptions'!$B$51)),'Assumptions'!$D$51-SQRT((1-F358)*('Assumptions'!$D$51-'Assumptions'!$B$51)*('Assumptions'!$D$51-'Assumptions'!$C$51)))</x:f>
        <x:v>0.06732532573263027</x:v>
      </x:c>
      <x:c r="L358" s="133" t="n">
        <x:f>(('Assumptions'!$B$17*(1+G358)+'Assumptions'!$B$18)*(1-H358-'Assumptions'!$B$20)-SUM('Assumptions'!$B$21:$B$25)*(1+I358))-(('Assumptions'!$B$17*(1+G358)+'Assumptions'!$B$18)*(1-H358-'Assumptions'!$B$20)*'Assumptions'!$B$26)</x:f>
        <x:v>191684.3222241912</x:v>
      </x:c>
      <x:c r="M358" s="133" t="n">
        <x:f>'Assumptions'!$B$10*'Assumptions'!$B$33</x:f>
        <x:v>1950000</x:v>
      </x:c>
      <x:c r="N358" s="133" t="n">
        <x:f>-PMT(K358/12,'Assumptions'!$B$35*12,M358)*12</x:f>
        <x:v>151500.35709984854</x:v>
      </x:c>
      <x:c r="O358" s="133" t="n">
        <x:f>(L358*(1+'Assumptions'!$B$29)^('Assumptions'!$B$14/12)/J358)*(1-'Assumptions'!$B$42)-'Debt Schedule'!$F$9</x:f>
        <x:v>3130004.0210639373</x:v>
      </x:c>
      <x:c r="P358" s="132" t="n">
        <x:f>((O358+(L358-N358-'Assumptions'!$B$27-'Assumptions'!$B$28)*('Assumptions'!$B$14/12))/ABS('Monthly Cash Flow'!$S$5))^(1/('Assumptions'!$B$14/12))-1</x:f>
        <x:v>0.1932023222522674</x:v>
      </x:c>
      <x:c r="Q358" s="133" t="n">
        <x:f>-ABS('Monthly Cash Flow'!$S$5)+((L358-N358-'Assumptions'!$B$27-'Assumptions'!$B$28)*(1-(1+'Assumptions'!$B$43)^-('Assumptions'!$B$14/12))/'Assumptions'!$B$43)+(O358/(1+'Assumptions'!$B$43)^('Assumptions'!$B$14/12))</x:f>
        <x:v>649683.6104988859</x:v>
      </x:c>
    </x:row>
    <x:row r="359">
      <x:c r="A359" s="131" t="n">
        <x:f>352</x:f>
        <x:v>352</x:v>
      </x:c>
      <x:c r="B359" s="131" t="n">
        <x:f>MOD(ABS(SIN((A359+1)*12.9898+78.233)*43758.5453),1)</x:f>
        <x:v>0.7547777370127733</x:v>
      </x:c>
      <x:c r="C359" s="131" t="n">
        <x:f>MOD(ABS(SIN((A359+2)*12.9898+78.233)*43758.5453),1)</x:f>
        <x:v>0.7712424710261985</x:v>
      </x:c>
      <x:c r="D359" s="131" t="n">
        <x:f>MOD(ABS(SIN((A359+3)*12.9898+78.233)*43758.5453),1)</x:f>
        <x:v>0.37907080443619634</x:v>
      </x:c>
      <x:c r="E359" s="131" t="n">
        <x:f>MOD(ABS(SIN((A359+4)*12.9898+78.233)*43758.5453),1)</x:f>
        <x:v>0.351043730008314</x:v>
      </x:c>
      <x:c r="F359" s="131" t="n">
        <x:f>MOD(ABS(SIN((A359+5)*12.9898+78.233)*43758.5453),1)</x:f>
        <x:v>0.7937885689939321</x:v>
      </x:c>
      <x:c r="G359" s="132" t="n">
        <x:f>IF(B359&lt;(('Assumptions'!$C$47-'Assumptions'!$B$47)/('Assumptions'!$D$47-'Assumptions'!$B$47)),'Assumptions'!$B$47+SQRT(B359*('Assumptions'!$D$47-'Assumptions'!$B$47)*('Assumptions'!$C$47-'Assumptions'!$B$47)),'Assumptions'!$D$47-SQRT((1-B359)*('Assumptions'!$D$47-'Assumptions'!$B$47)*('Assumptions'!$D$47-'Assumptions'!$C$47)))</x:f>
        <x:v>0.03736170334535248</x:v>
      </x:c>
      <x:c r="H359" s="132" t="n">
        <x:f>IF(C359&lt;(('Assumptions'!$C$48-'Assumptions'!$B$48)/('Assumptions'!$D$48-'Assumptions'!$B$48)),'Assumptions'!$B$48+SQRT(C359*('Assumptions'!$D$48-'Assumptions'!$B$48)*('Assumptions'!$C$48-'Assumptions'!$B$48)),'Assumptions'!$D$48-SQRT((1-C359)*('Assumptions'!$D$48-'Assumptions'!$B$48)*('Assumptions'!$D$48-'Assumptions'!$C$48)))</x:f>
        <x:v>0.09513279310042297</x:v>
      </x:c>
      <x:c r="I359" s="132" t="n">
        <x:f>IF(D359&lt;(('Assumptions'!$C$49-'Assumptions'!$B$49)/('Assumptions'!$D$49-'Assumptions'!$B$49)),'Assumptions'!$B$49+SQRT(D359*('Assumptions'!$D$49-'Assumptions'!$B$49)*('Assumptions'!$C$49-'Assumptions'!$B$49)),'Assumptions'!$D$49-SQRT((1-D359)*('Assumptions'!$D$49-'Assumptions'!$B$49)*('Assumptions'!$D$49-'Assumptions'!$C$49)))</x:f>
        <x:v>0.03418950555248389</x:v>
      </x:c>
      <x:c r="J359" s="132" t="n">
        <x:f>IF(E359&lt;(('Assumptions'!$C$50-'Assumptions'!$B$50)/('Assumptions'!$D$50-'Assumptions'!$B$50)),'Assumptions'!$B$50+SQRT(E359*('Assumptions'!$D$50-'Assumptions'!$B$50)*('Assumptions'!$C$50-'Assumptions'!$B$50)),'Assumptions'!$D$50-SQRT((1-E359)*('Assumptions'!$D$50-'Assumptions'!$B$50)*('Assumptions'!$D$50-'Assumptions'!$C$50)))</x:f>
        <x:v>0.06638734151767955</x:v>
      </x:c>
      <x:c r="K359" s="132" t="n">
        <x:f>IF(F359&lt;(('Assumptions'!$C$51-'Assumptions'!$B$51)/('Assumptions'!$D$51-'Assumptions'!$B$51)),'Assumptions'!$B$51+SQRT(F359*('Assumptions'!$D$51-'Assumptions'!$B$51)*('Assumptions'!$C$51-'Assumptions'!$B$51)),'Assumptions'!$D$51-SQRT((1-F359)*('Assumptions'!$D$51-'Assumptions'!$B$51)*('Assumptions'!$D$51-'Assumptions'!$C$51)))</x:f>
        <x:v>0.07503811006025111</x:v>
      </x:c>
      <x:c r="L359" s="133" t="n">
        <x:f>(('Assumptions'!$B$17*(1+G359)+'Assumptions'!$B$18)*(1-H359-'Assumptions'!$B$20)-SUM('Assumptions'!$B$21:$B$25)*(1+I359))-(('Assumptions'!$B$17*(1+G359)+'Assumptions'!$B$18)*(1-H359-'Assumptions'!$B$20)*'Assumptions'!$B$26)</x:f>
        <x:v>205976.2428735709</x:v>
      </x:c>
      <x:c r="M359" s="133" t="n">
        <x:f>'Assumptions'!$B$10*'Assumptions'!$B$33</x:f>
        <x:v>1950000</x:v>
      </x:c>
      <x:c r="N359" s="133" t="n">
        <x:f>-PMT(K359/12,'Assumptions'!$B$35*12,M359)*12</x:f>
        <x:v>163677.2638516446</x:v>
      </x:c>
      <x:c r="O359" s="133" t="n">
        <x:f>(L359*(1+'Assumptions'!$B$29)^('Assumptions'!$B$14/12)/J359)*(1-'Assumptions'!$B$42)-'Debt Schedule'!$F$9</x:f>
        <x:v>3381005.1443041014</x:v>
      </x:c>
      <x:c r="P359" s="132" t="n">
        <x:f>((O359+(L359-N359-'Assumptions'!$B$27-'Assumptions'!$B$28)*('Assumptions'!$B$14/12))/ABS('Monthly Cash Flow'!$S$5))^(1/('Assumptions'!$B$14/12))-1</x:f>
        <x:v>0.21250506462012564</x:v>
      </x:c>
      <x:c r="Q359" s="133" t="n">
        <x:f>-ABS('Monthly Cash Flow'!$S$5)+((L359-N359-'Assumptions'!$B$27-'Assumptions'!$B$28)*(1-(1+'Assumptions'!$B$43)^-('Assumptions'!$B$14/12))/'Assumptions'!$B$43)+(O359/(1+'Assumptions'!$B$43)^('Assumptions'!$B$14/12))</x:f>
        <x:v>813553.1267305776</x:v>
      </x:c>
    </x:row>
    <x:row r="360">
      <x:c r="A360" s="131" t="n">
        <x:f>353</x:f>
        <x:v>353</x:v>
      </x:c>
      <x:c r="B360" s="131" t="n">
        <x:f>MOD(ABS(SIN((A360+1)*12.9898+78.233)*43758.5453),1)</x:f>
        <x:v>0.7712424710261985</x:v>
      </x:c>
      <x:c r="C360" s="131" t="n">
        <x:f>MOD(ABS(SIN((A360+2)*12.9898+78.233)*43758.5453),1)</x:f>
        <x:v>0.37907080443619634</x:v>
      </x:c>
      <x:c r="D360" s="131" t="n">
        <x:f>MOD(ABS(SIN((A360+3)*12.9898+78.233)*43758.5453),1)</x:f>
        <x:v>0.351043730008314</x:v>
      </x:c>
      <x:c r="E360" s="131" t="n">
        <x:f>MOD(ABS(SIN((A360+4)*12.9898+78.233)*43758.5453),1)</x:f>
        <x:v>0.7937885689939321</x:v>
      </x:c>
      <x:c r="F360" s="131" t="n">
        <x:f>MOD(ABS(SIN((A360+5)*12.9898+78.233)*43758.5453),1)</x:f>
        <x:v>0.5506731789755577</x:v>
      </x:c>
      <x:c r="G360" s="132" t="n">
        <x:f>IF(B360&lt;(('Assumptions'!$C$47-'Assumptions'!$B$47)/('Assumptions'!$D$47-'Assumptions'!$B$47)),'Assumptions'!$B$47+SQRT(B360*('Assumptions'!$D$47-'Assumptions'!$B$47)*('Assumptions'!$C$47-'Assumptions'!$B$47)),'Assumptions'!$D$47-SQRT((1-B360)*('Assumptions'!$D$47-'Assumptions'!$B$47)*('Assumptions'!$D$47-'Assumptions'!$C$47)))</x:f>
        <x:v>0.039501070558390666</x:v>
      </x:c>
      <x:c r="H360" s="132" t="n">
        <x:f>IF(C360&lt;(('Assumptions'!$C$48-'Assumptions'!$B$48)/('Assumptions'!$D$48-'Assumptions'!$B$48)),'Assumptions'!$B$48+SQRT(C360*('Assumptions'!$D$48-'Assumptions'!$B$48)*('Assumptions'!$C$48-'Assumptions'!$B$48)),'Assumptions'!$D$48-SQRT((1-C360)*('Assumptions'!$D$48-'Assumptions'!$B$48)*('Assumptions'!$D$48-'Assumptions'!$C$48)))</x:f>
        <x:v>0.06607992883552213</x:v>
      </x:c>
      <x:c r="I360" s="132" t="n">
        <x:f>IF(D360&lt;(('Assumptions'!$C$49-'Assumptions'!$B$49)/('Assumptions'!$D$49-'Assumptions'!$B$49)),'Assumptions'!$B$49+SQRT(D360*('Assumptions'!$D$49-'Assumptions'!$B$49)*('Assumptions'!$C$49-'Assumptions'!$B$49)),'Assumptions'!$D$49-SQRT((1-D360)*('Assumptions'!$D$49-'Assumptions'!$B$49)*('Assumptions'!$D$49-'Assumptions'!$C$49)))</x:f>
        <x:v>0.03160466465345682</x:v>
      </x:c>
      <x:c r="J360" s="132" t="n">
        <x:f>IF(E360&lt;(('Assumptions'!$C$50-'Assumptions'!$B$50)/('Assumptions'!$D$50-'Assumptions'!$B$50)),'Assumptions'!$B$50+SQRT(E360*('Assumptions'!$D$50-'Assumptions'!$B$50)*('Assumptions'!$C$50-'Assumptions'!$B$50)),'Assumptions'!$D$50-SQRT((1-E360)*('Assumptions'!$D$50-'Assumptions'!$B$50)*('Assumptions'!$D$50-'Assumptions'!$C$50)))</x:f>
        <x:v>0.07238442615619436</x:v>
      </x:c>
      <x:c r="K360" s="132" t="n">
        <x:f>IF(F360&lt;(('Assumptions'!$C$51-'Assumptions'!$B$51)/('Assumptions'!$D$51-'Assumptions'!$B$51)),'Assumptions'!$B$51+SQRT(F360*('Assumptions'!$D$51-'Assumptions'!$B$51)*('Assumptions'!$C$51-'Assumptions'!$B$51)),'Assumptions'!$D$51-SQRT((1-F360)*('Assumptions'!$D$51-'Assumptions'!$B$51)*('Assumptions'!$D$51-'Assumptions'!$C$51)))</x:f>
        <x:v>0.07029494873800118</x:v>
      </x:c>
      <x:c r="L360" s="133" t="n">
        <x:f>(('Assumptions'!$B$17*(1+G360)+'Assumptions'!$B$18)*(1-H360-'Assumptions'!$B$20)-SUM('Assumptions'!$B$21:$B$25)*(1+I360))-(('Assumptions'!$B$17*(1+G360)+'Assumptions'!$B$18)*(1-H360-'Assumptions'!$B$20)*'Assumptions'!$B$26)</x:f>
        <x:v>217902.88718985952</x:v>
      </x:c>
      <x:c r="M360" s="133" t="n">
        <x:f>'Assumptions'!$B$10*'Assumptions'!$B$33</x:f>
        <x:v>1950000</x:v>
      </x:c>
      <x:c r="N360" s="133" t="n">
        <x:f>-PMT(K360/12,'Assumptions'!$B$35*12,M360)*12</x:f>
        <x:v>156144.58199810327</x:v>
      </x:c>
      <x:c r="O360" s="133" t="n">
        <x:f>(L360*(1+'Assumptions'!$B$29)^('Assumptions'!$B$14/12)/J360)*(1-'Assumptions'!$B$42)-'Debt Schedule'!$F$9</x:f>
        <x:v>3280437.9391207234</x:v>
      </x:c>
      <x:c r="P360" s="132" t="n">
        <x:f>((O360+(L360-N360-'Assumptions'!$B$27-'Assumptions'!$B$28)*('Assumptions'!$B$14/12))/ABS('Monthly Cash Flow'!$S$5))^(1/('Assumptions'!$B$14/12))-1</x:f>
        <x:v>0.21227118883473017</x:v>
      </x:c>
      <x:c r="Q360" s="133" t="n">
        <x:f>-ABS('Monthly Cash Flow'!$S$5)+((L360-N360-'Assumptions'!$B$27-'Assumptions'!$B$28)*(1-(1+'Assumptions'!$B$43)^-('Assumptions'!$B$14/12))/'Assumptions'!$B$43)+(O360/(1+'Assumptions'!$B$43)^('Assumptions'!$B$14/12))</x:f>
        <x:v>824874.960817948</x:v>
      </x:c>
    </x:row>
    <x:row r="361">
      <x:c r="A361" s="131" t="n">
        <x:f>354</x:f>
        <x:v>354</x:v>
      </x:c>
      <x:c r="B361" s="131" t="n">
        <x:f>MOD(ABS(SIN((A361+1)*12.9898+78.233)*43758.5453),1)</x:f>
        <x:v>0.37907080443619634</x:v>
      </x:c>
      <x:c r="C361" s="131" t="n">
        <x:f>MOD(ABS(SIN((A361+2)*12.9898+78.233)*43758.5453),1)</x:f>
        <x:v>0.351043730008314</x:v>
      </x:c>
      <x:c r="D361" s="131" t="n">
        <x:f>MOD(ABS(SIN((A361+3)*12.9898+78.233)*43758.5453),1)</x:f>
        <x:v>0.7937885689939321</x:v>
      </x:c>
      <x:c r="E361" s="131" t="n">
        <x:f>MOD(ABS(SIN((A361+4)*12.9898+78.233)*43758.5453),1)</x:f>
        <x:v>0.5506731789755577</x:v>
      </x:c>
      <x:c r="F361" s="131" t="n">
        <x:f>MOD(ABS(SIN((A361+5)*12.9898+78.233)*43758.5453),1)</x:f>
        <x:v>0.6759163418319076</x:v>
      </x:c>
      <x:c r="G361" s="132" t="n">
        <x:f>IF(B361&lt;(('Assumptions'!$C$47-'Assumptions'!$B$47)/('Assumptions'!$D$47-'Assumptions'!$B$47)),'Assumptions'!$B$47+SQRT(B361*('Assumptions'!$D$47-'Assumptions'!$B$47)*('Assumptions'!$C$47-'Assumptions'!$B$47)),'Assumptions'!$D$47-SQRT((1-B361)*('Assumptions'!$D$47-'Assumptions'!$B$47)*('Assumptions'!$D$47-'Assumptions'!$C$47)))</x:f>
        <x:v>-0.004618139531309656</x:v>
      </x:c>
      <x:c r="H361" s="132" t="n">
        <x:f>IF(C361&lt;(('Assumptions'!$C$48-'Assumptions'!$B$48)/('Assumptions'!$D$48-'Assumptions'!$B$48)),'Assumptions'!$B$48+SQRT(C361*('Assumptions'!$D$48-'Assumptions'!$B$48)*('Assumptions'!$C$48-'Assumptions'!$B$48)),'Assumptions'!$D$48-SQRT((1-C361)*('Assumptions'!$D$48-'Assumptions'!$B$48)*('Assumptions'!$D$48-'Assumptions'!$C$48)))</x:f>
        <x:v>0.0644300643382116</x:v>
      </x:c>
      <x:c r="I361" s="132" t="n">
        <x:f>IF(D361&lt;(('Assumptions'!$C$49-'Assumptions'!$B$49)/('Assumptions'!$D$49-'Assumptions'!$B$49)),'Assumptions'!$B$49+SQRT(D361*('Assumptions'!$D$49-'Assumptions'!$B$49)*('Assumptions'!$C$49-'Assumptions'!$B$49)),'Assumptions'!$D$49-SQRT((1-D361)*('Assumptions'!$D$49-'Assumptions'!$B$49)*('Assumptions'!$D$49-'Assumptions'!$C$49)))</x:f>
        <x:v>0.08326045467842123</x:v>
      </x:c>
      <x:c r="J361" s="132" t="n">
        <x:f>IF(E361&lt;(('Assumptions'!$C$50-'Assumptions'!$B$50)/('Assumptions'!$D$50-'Assumptions'!$B$50)),'Assumptions'!$B$50+SQRT(E361*('Assumptions'!$D$50-'Assumptions'!$B$50)*('Assumptions'!$C$50-'Assumptions'!$B$50)),'Assumptions'!$D$50-SQRT((1-E361)*('Assumptions'!$D$50-'Assumptions'!$B$50)*('Assumptions'!$D$50-'Assumptions'!$C$50)))</x:f>
        <x:v>0.06875841788656399</x:v>
      </x:c>
      <x:c r="K361" s="132" t="n">
        <x:f>IF(F361&lt;(('Assumptions'!$C$51-'Assumptions'!$B$51)/('Assumptions'!$D$51-'Assumptions'!$B$51)),'Assumptions'!$B$51+SQRT(F361*('Assumptions'!$D$51-'Assumptions'!$B$51)*('Assumptions'!$C$51-'Assumptions'!$B$51)),'Assumptions'!$D$51-SQRT((1-F361)*('Assumptions'!$D$51-'Assumptions'!$B$51)*('Assumptions'!$D$51-'Assumptions'!$C$51)))</x:f>
        <x:v>0.07251139477389912</x:v>
      </x:c>
      <x:c r="L361" s="133" t="n">
        <x:f>(('Assumptions'!$B$17*(1+G361)+'Assumptions'!$B$18)*(1-H361-'Assumptions'!$B$20)-SUM('Assumptions'!$B$21:$B$25)*(1+I361))-(('Assumptions'!$B$17*(1+G361)+'Assumptions'!$B$18)*(1-H361-'Assumptions'!$B$20)*'Assumptions'!$B$26)</x:f>
        <x:v>197902.7644842427</x:v>
      </x:c>
      <x:c r="M361" s="133" t="n">
        <x:f>'Assumptions'!$B$10*'Assumptions'!$B$33</x:f>
        <x:v>1950000</x:v>
      </x:c>
      <x:c r="N361" s="133" t="n">
        <x:f>-PMT(K361/12,'Assumptions'!$B$35*12,M361)*12</x:f>
        <x:v>159647.33525425862</x:v>
      </x:c>
      <x:c r="O361" s="133" t="n">
        <x:f>(L361*(1+'Assumptions'!$B$29)^('Assumptions'!$B$14/12)/J361)*(1-'Assumptions'!$B$42)-'Debt Schedule'!$F$9</x:f>
        <x:v>3136461.513828549</x:v>
      </x:c>
      <x:c r="P361" s="132" t="n">
        <x:f>((O361+(L361-N361-'Assumptions'!$B$27-'Assumptions'!$B$28)*('Assumptions'!$B$14/12))/ABS('Monthly Cash Flow'!$S$5))^(1/('Assumptions'!$B$14/12))-1</x:f>
        <x:v>0.19295944699352252</x:v>
      </x:c>
      <x:c r="Q361" s="133" t="n">
        <x:f>-ABS('Monthly Cash Flow'!$S$5)+((L361-N361-'Assumptions'!$B$27-'Assumptions'!$B$28)*(1-(1+'Assumptions'!$B$43)^-('Assumptions'!$B$14/12))/'Assumptions'!$B$43)+(O361/(1+'Assumptions'!$B$43)^('Assumptions'!$B$14/12))</x:f>
        <x:v>646382.5370972697</x:v>
      </x:c>
    </x:row>
    <x:row r="362">
      <x:c r="A362" s="131" t="n">
        <x:f>355</x:f>
        <x:v>355</x:v>
      </x:c>
      <x:c r="B362" s="131" t="n">
        <x:f>MOD(ABS(SIN((A362+1)*12.9898+78.233)*43758.5453),1)</x:f>
        <x:v>0.351043730008314</x:v>
      </x:c>
      <x:c r="C362" s="131" t="n">
        <x:f>MOD(ABS(SIN((A362+2)*12.9898+78.233)*43758.5453),1)</x:f>
        <x:v>0.7937885689939321</x:v>
      </x:c>
      <x:c r="D362" s="131" t="n">
        <x:f>MOD(ABS(SIN((A362+3)*12.9898+78.233)*43758.5453),1)</x:f>
        <x:v>0.5506731789755577</x:v>
      </x:c>
      <x:c r="E362" s="131" t="n">
        <x:f>MOD(ABS(SIN((A362+4)*12.9898+78.233)*43758.5453),1)</x:f>
        <x:v>0.6759163418319076</x:v>
      </x:c>
      <x:c r="F362" s="131" t="n">
        <x:f>MOD(ABS(SIN((A362+5)*12.9898+78.233)*43758.5453),1)</x:f>
        <x:v>0.7272783995504142</x:v>
      </x:c>
      <x:c r="G362" s="132" t="n">
        <x:f>IF(B362&lt;(('Assumptions'!$C$47-'Assumptions'!$B$47)/('Assumptions'!$D$47-'Assumptions'!$B$47)),'Assumptions'!$B$47+SQRT(B362*('Assumptions'!$D$47-'Assumptions'!$B$47)*('Assumptions'!$C$47-'Assumptions'!$B$47)),'Assumptions'!$D$47-SQRT((1-B362)*('Assumptions'!$D$47-'Assumptions'!$B$47)*('Assumptions'!$D$47-'Assumptions'!$C$47)))</x:f>
        <x:v>-0.008211931493251598</x:v>
      </x:c>
      <x:c r="H362" s="132" t="n">
        <x:f>IF(C362&lt;(('Assumptions'!$C$48-'Assumptions'!$B$48)/('Assumptions'!$D$48-'Assumptions'!$B$48)),'Assumptions'!$B$48+SQRT(C362*('Assumptions'!$D$48-'Assumptions'!$B$48)*('Assumptions'!$C$48-'Assumptions'!$B$48)),'Assumptions'!$D$48-SQRT((1-C362)*('Assumptions'!$D$48-'Assumptions'!$B$48)*('Assumptions'!$D$48-'Assumptions'!$C$48)))</x:f>
        <x:v>0.09740116676652522</x:v>
      </x:c>
      <x:c r="I362" s="132" t="n">
        <x:f>IF(D362&lt;(('Assumptions'!$C$49-'Assumptions'!$B$49)/('Assumptions'!$D$49-'Assumptions'!$B$49)),'Assumptions'!$B$49+SQRT(D362*('Assumptions'!$D$49-'Assumptions'!$B$49)*('Assumptions'!$C$49-'Assumptions'!$B$49)),'Assumptions'!$D$49-SQRT((1-D362)*('Assumptions'!$D$49-'Assumptions'!$B$49)*('Assumptions'!$D$49-'Assumptions'!$C$49)))</x:f>
        <x:v>0.05148371031079198</x:v>
      </x:c>
      <x:c r="J362" s="132" t="n">
        <x:f>IF(E362&lt;(('Assumptions'!$C$50-'Assumptions'!$B$50)/('Assumptions'!$D$50-'Assumptions'!$B$50)),'Assumptions'!$B$50+SQRT(E362*('Assumptions'!$D$50-'Assumptions'!$B$50)*('Assumptions'!$C$50-'Assumptions'!$B$50)),'Assumptions'!$D$50-SQRT((1-E362)*('Assumptions'!$D$50-'Assumptions'!$B$50)*('Assumptions'!$D$50-'Assumptions'!$C$50)))</x:f>
        <x:v>0.07045282613231665</x:v>
      </x:c>
      <x:c r="K362" s="132" t="n">
        <x:f>IF(F362&lt;(('Assumptions'!$C$51-'Assumptions'!$B$51)/('Assumptions'!$D$51-'Assumptions'!$B$51)),'Assumptions'!$B$51+SQRT(F362*('Assumptions'!$D$51-'Assumptions'!$B$51)*('Assumptions'!$C$51-'Assumptions'!$B$51)),'Assumptions'!$D$51-SQRT((1-F362)*('Assumptions'!$D$51-'Assumptions'!$B$51)*('Assumptions'!$D$51-'Assumptions'!$C$51)))</x:f>
        <x:v>0.07354367990075508</x:v>
      </x:c>
      <x:c r="L362" s="133" t="n">
        <x:f>(('Assumptions'!$B$17*(1+G362)+'Assumptions'!$B$18)*(1-H362-'Assumptions'!$B$20)-SUM('Assumptions'!$B$21:$B$25)*(1+I362))-(('Assumptions'!$B$17*(1+G362)+'Assumptions'!$B$18)*(1-H362-'Assumptions'!$B$20)*'Assumptions'!$B$26)</x:f>
        <x:v>188886.08276635484</x:v>
      </x:c>
      <x:c r="M362" s="133" t="n">
        <x:f>'Assumptions'!$B$10*'Assumptions'!$B$33</x:f>
        <x:v>1950000</x:v>
      </x:c>
      <x:c r="N362" s="133" t="n">
        <x:f>-PMT(K362/12,'Assumptions'!$B$35*12,M362)*12</x:f>
        <x:v>161289.07495231804</x:v>
      </x:c>
      <x:c r="O362" s="133" t="n">
        <x:f>(L362*(1+'Assumptions'!$B$29)^('Assumptions'!$B$14/12)/J362)*(1-'Assumptions'!$B$42)-'Debt Schedule'!$F$9</x:f>
        <x:v>2921564.764992115</x:v>
      </x:c>
      <x:c r="P362" s="132" t="n">
        <x:f>((O362+(L362-N362-'Assumptions'!$B$27-'Assumptions'!$B$28)*('Assumptions'!$B$14/12))/ABS('Monthly Cash Flow'!$S$5))^(1/('Assumptions'!$B$14/12))-1</x:f>
        <x:v>0.17176122353491685</x:v>
      </x:c>
      <x:c r="Q362" s="133" t="n">
        <x:f>-ABS('Monthly Cash Flow'!$S$5)+((L362-N362-'Assumptions'!$B$27-'Assumptions'!$B$28)*(1-(1+'Assumptions'!$B$43)^-('Assumptions'!$B$14/12))/'Assumptions'!$B$43)+(O362/(1+'Assumptions'!$B$43)^('Assumptions'!$B$14/12))</x:f>
        <x:v>472544.7606022875</x:v>
      </x:c>
    </x:row>
    <x:row r="363">
      <x:c r="A363" s="131" t="n">
        <x:f>356</x:f>
        <x:v>356</x:v>
      </x:c>
      <x:c r="B363" s="131" t="n">
        <x:f>MOD(ABS(SIN((A363+1)*12.9898+78.233)*43758.5453),1)</x:f>
        <x:v>0.7937885689939321</x:v>
      </x:c>
      <x:c r="C363" s="131" t="n">
        <x:f>MOD(ABS(SIN((A363+2)*12.9898+78.233)*43758.5453),1)</x:f>
        <x:v>0.5506731789755577</x:v>
      </x:c>
      <x:c r="D363" s="131" t="n">
        <x:f>MOD(ABS(SIN((A363+3)*12.9898+78.233)*43758.5453),1)</x:f>
        <x:v>0.6759163418319076</x:v>
      </x:c>
      <x:c r="E363" s="131" t="n">
        <x:f>MOD(ABS(SIN((A363+4)*12.9898+78.233)*43758.5453),1)</x:f>
        <x:v>0.7272783995504142</x:v>
      </x:c>
      <x:c r="F363" s="131" t="n">
        <x:f>MOD(ABS(SIN((A363+5)*12.9898+78.233)*43758.5453),1)</x:f>
        <x:v>0.30302016106725205</x:v>
      </x:c>
      <x:c r="G363" s="132" t="n">
        <x:f>IF(B363&lt;(('Assumptions'!$C$47-'Assumptions'!$B$47)/('Assumptions'!$D$47-'Assumptions'!$B$47)),'Assumptions'!$B$47+SQRT(B363*('Assumptions'!$D$47-'Assumptions'!$B$47)*('Assumptions'!$C$47-'Assumptions'!$B$47)),'Assumptions'!$D$47-SQRT((1-B363)*('Assumptions'!$D$47-'Assumptions'!$B$47)*('Assumptions'!$D$47-'Assumptions'!$C$47)))</x:f>
        <x:v>0.04255974498579341</x:v>
      </x:c>
      <x:c r="H363" s="132" t="n">
        <x:f>IF(C363&lt;(('Assumptions'!$C$48-'Assumptions'!$B$48)/('Assumptions'!$D$48-'Assumptions'!$B$48)),'Assumptions'!$B$48+SQRT(C363*('Assumptions'!$D$48-'Assumptions'!$B$48)*('Assumptions'!$C$48-'Assumptions'!$B$48)),'Assumptions'!$D$48-SQRT((1-C363)*('Assumptions'!$D$48-'Assumptions'!$B$48)*('Assumptions'!$D$48-'Assumptions'!$C$48)))</x:f>
        <x:v>0.07711855579731734</x:v>
      </x:c>
      <x:c r="I363" s="132" t="n">
        <x:f>IF(D363&lt;(('Assumptions'!$C$49-'Assumptions'!$B$49)/('Assumptions'!$D$49-'Assumptions'!$B$49)),'Assumptions'!$B$49+SQRT(D363*('Assumptions'!$D$49-'Assumptions'!$B$49)*('Assumptions'!$C$49-'Assumptions'!$B$49)),'Assumptions'!$D$49-SQRT((1-D363)*('Assumptions'!$D$49-'Assumptions'!$B$49)*('Assumptions'!$D$49-'Assumptions'!$C$49)))</x:f>
        <x:v>0.06633276019593573</x:v>
      </x:c>
      <x:c r="J363" s="132" t="n">
        <x:f>IF(E363&lt;(('Assumptions'!$C$50-'Assumptions'!$B$50)/('Assumptions'!$D$50-'Assumptions'!$B$50)),'Assumptions'!$B$50+SQRT(E363*('Assumptions'!$D$50-'Assumptions'!$B$50)*('Assumptions'!$C$50-'Assumptions'!$B$50)),'Assumptions'!$D$50-SQRT((1-E363)*('Assumptions'!$D$50-'Assumptions'!$B$50)*('Assumptions'!$D$50-'Assumptions'!$C$50)))</x:f>
        <x:v>0.0712419779558141</x:v>
      </x:c>
      <x:c r="K363" s="132" t="n">
        <x:f>IF(F363&lt;(('Assumptions'!$C$51-'Assumptions'!$B$51)/('Assumptions'!$D$51-'Assumptions'!$B$51)),'Assumptions'!$B$51+SQRT(F363*('Assumptions'!$D$51-'Assumptions'!$B$51)*('Assumptions'!$C$51-'Assumptions'!$B$51)),'Assumptions'!$D$51-SQRT((1-F363)*('Assumptions'!$D$51-'Assumptions'!$B$51)*('Assumptions'!$D$51-'Assumptions'!$C$51)))</x:f>
        <x:v>0.06662855652847122</x:v>
      </x:c>
      <x:c r="L363" s="133" t="n">
        <x:f>(('Assumptions'!$B$17*(1+G363)+'Assumptions'!$B$18)*(1-H363-'Assumptions'!$B$20)-SUM('Assumptions'!$B$21:$B$25)*(1+I363))-(('Assumptions'!$B$17*(1+G363)+'Assumptions'!$B$18)*(1-H363-'Assumptions'!$B$20)*'Assumptions'!$B$26)</x:f>
        <x:v>210335.7423947596</x:v>
      </x:c>
      <x:c r="M363" s="133" t="n">
        <x:f>'Assumptions'!$B$10*'Assumptions'!$B$33</x:f>
        <x:v>1950000</x:v>
      </x:c>
      <x:c r="N363" s="133" t="n">
        <x:f>-PMT(K363/12,'Assumptions'!$B$35*12,M363)*12</x:f>
        <x:v>150418.95405023455</x:v>
      </x:c>
      <x:c r="O363" s="133" t="n">
        <x:f>(L363*(1+'Assumptions'!$B$29)^('Assumptions'!$B$14/12)/J363)*(1-'Assumptions'!$B$42)-'Debt Schedule'!$F$9</x:f>
        <x:v>3217296.5048167813</x:v>
      </x:c>
      <x:c r="P363" s="132" t="n">
        <x:f>((O363+(L363-N363-'Assumptions'!$B$27-'Assumptions'!$B$28)*('Assumptions'!$B$14/12))/ABS('Monthly Cash Flow'!$S$5))^(1/('Assumptions'!$B$14/12))-1</x:f>
        <x:v>0.20705081236138434</x:v>
      </x:c>
      <x:c r="Q363" s="133" t="n">
        <x:f>-ABS('Monthly Cash Flow'!$S$5)+((L363-N363-'Assumptions'!$B$27-'Assumptions'!$B$28)*(1-(1+'Assumptions'!$B$43)^-('Assumptions'!$B$14/12))/'Assumptions'!$B$43)+(O363/(1+'Assumptions'!$B$43)^('Assumptions'!$B$14/12))</x:f>
        <x:v>778688.3001899647</x:v>
      </x:c>
    </x:row>
    <x:row r="364">
      <x:c r="A364" s="131" t="n">
        <x:f>357</x:f>
        <x:v>357</x:v>
      </x:c>
      <x:c r="B364" s="131" t="n">
        <x:f>MOD(ABS(SIN((A364+1)*12.9898+78.233)*43758.5453),1)</x:f>
        <x:v>0.5506731789755577</x:v>
      </x:c>
      <x:c r="C364" s="131" t="n">
        <x:f>MOD(ABS(SIN((A364+2)*12.9898+78.233)*43758.5453),1)</x:f>
        <x:v>0.6759163418319076</x:v>
      </x:c>
      <x:c r="D364" s="131" t="n">
        <x:f>MOD(ABS(SIN((A364+3)*12.9898+78.233)*43758.5453),1)</x:f>
        <x:v>0.7272783995504142</x:v>
      </x:c>
      <x:c r="E364" s="131" t="n">
        <x:f>MOD(ABS(SIN((A364+4)*12.9898+78.233)*43758.5453),1)</x:f>
        <x:v>0.30302016106725205</x:v>
      </x:c>
      <x:c r="F364" s="131" t="n">
        <x:f>MOD(ABS(SIN((A364+5)*12.9898+78.233)*43758.5453),1)</x:f>
        <x:v>0.22035865684301825</x:v>
      </x:c>
      <x:c r="G364" s="132" t="n">
        <x:f>IF(B364&lt;(('Assumptions'!$C$47-'Assumptions'!$B$47)/('Assumptions'!$D$47-'Assumptions'!$B$47)),'Assumptions'!$B$47+SQRT(B364*('Assumptions'!$D$47-'Assumptions'!$B$47)*('Assumptions'!$C$47-'Assumptions'!$B$47)),'Assumptions'!$D$47-SQRT((1-B364)*('Assumptions'!$D$47-'Assumptions'!$B$47)*('Assumptions'!$D$47-'Assumptions'!$C$47)))</x:f>
        <x:v>0.014961542680208426</x:v>
      </x:c>
      <x:c r="H364" s="132" t="n">
        <x:f>IF(C364&lt;(('Assumptions'!$C$48-'Assumptions'!$B$48)/('Assumptions'!$D$48-'Assumptions'!$B$48)),'Assumptions'!$B$48+SQRT(C364*('Assumptions'!$D$48-'Assumptions'!$B$48)*('Assumptions'!$C$48-'Assumptions'!$B$48)),'Assumptions'!$D$48-SQRT((1-C364)*('Assumptions'!$D$48-'Assumptions'!$B$48)*('Assumptions'!$D$48-'Assumptions'!$C$48)))</x:f>
        <x:v>0.08659647772029253</x:v>
      </x:c>
      <x:c r="I364" s="132" t="n">
        <x:f>IF(D364&lt;(('Assumptions'!$C$49-'Assumptions'!$B$49)/('Assumptions'!$D$49-'Assumptions'!$B$49)),'Assumptions'!$B$49+SQRT(D364*('Assumptions'!$D$49-'Assumptions'!$B$49)*('Assumptions'!$C$49-'Assumptions'!$B$49)),'Assumptions'!$D$49-SQRT((1-D364)*('Assumptions'!$D$49-'Assumptions'!$B$49)*('Assumptions'!$D$49-'Assumptions'!$C$49)))</x:f>
        <x:v>0.0732485402763501</x:v>
      </x:c>
      <x:c r="J364" s="132" t="n">
        <x:f>IF(E364&lt;(('Assumptions'!$C$50-'Assumptions'!$B$50)/('Assumptions'!$D$50-'Assumptions'!$B$50)),'Assumptions'!$B$50+SQRT(E364*('Assumptions'!$D$50-'Assumptions'!$B$50)*('Assumptions'!$C$50-'Assumptions'!$B$50)),'Assumptions'!$D$50-SQRT((1-E364)*('Assumptions'!$D$50-'Assumptions'!$B$50)*('Assumptions'!$D$50-'Assumptions'!$C$50)))</x:f>
        <x:v>0.06575709005886043</x:v>
      </x:c>
      <x:c r="K364" s="132" t="n">
        <x:f>IF(F364&lt;(('Assumptions'!$C$51-'Assumptions'!$B$51)/('Assumptions'!$D$51-'Assumptions'!$B$51)),'Assumptions'!$B$51+SQRT(F364*('Assumptions'!$D$51-'Assumptions'!$B$51)*('Assumptions'!$C$51-'Assumptions'!$B$51)),'Assumptions'!$D$51-SQRT((1-F364)*('Assumptions'!$D$51-'Assumptions'!$B$51)*('Assumptions'!$D$51-'Assumptions'!$C$51)))</x:f>
        <x:v>0.06528451222825361</x:v>
      </x:c>
      <x:c r="L364" s="133" t="n">
        <x:f>(('Assumptions'!$B$17*(1+G364)+'Assumptions'!$B$18)*(1-H364-'Assumptions'!$B$20)-SUM('Assumptions'!$B$21:$B$25)*(1+I364))-(('Assumptions'!$B$17*(1+G364)+'Assumptions'!$B$18)*(1-H364-'Assumptions'!$B$20)*'Assumptions'!$B$26)</x:f>
        <x:v>197268.990949087</x:v>
      </x:c>
      <x:c r="M364" s="133" t="n">
        <x:f>'Assumptions'!$B$10*'Assumptions'!$B$33</x:f>
        <x:v>1950000</x:v>
      </x:c>
      <x:c r="N364" s="133" t="n">
        <x:f>-PMT(K364/12,'Assumptions'!$B$35*12,M364)*12</x:f>
        <x:v>148342.0254466019</x:v>
      </x:c>
      <x:c r="O364" s="133" t="n">
        <x:f>(L364*(1+'Assumptions'!$B$29)^('Assumptions'!$B$14/12)/J364)*(1-'Assumptions'!$B$42)-'Debt Schedule'!$F$9</x:f>
        <x:v>3269115.1184752923</x:v>
      </x:c>
      <x:c r="P364" s="132" t="n">
        <x:f>((O364+(L364-N364-'Assumptions'!$B$27-'Assumptions'!$B$28)*('Assumptions'!$B$14/12))/ABS('Monthly Cash Flow'!$S$5))^(1/('Assumptions'!$B$14/12))-1</x:f>
        <x:v>0.20682288128933402</x:v>
      </x:c>
      <x:c r="Q364" s="133" t="n">
        <x:f>-ABS('Monthly Cash Flow'!$S$5)+((L364-N364-'Assumptions'!$B$27-'Assumptions'!$B$28)*(1-(1+'Assumptions'!$B$43)^-('Assumptions'!$B$14/12))/'Assumptions'!$B$43)+(O364/(1+'Assumptions'!$B$43)^('Assumptions'!$B$14/12))</x:f>
        <x:v>769203.5073141509</x:v>
      </x:c>
    </x:row>
    <x:row r="365">
      <x:c r="A365" s="131" t="n">
        <x:f>358</x:f>
        <x:v>358</x:v>
      </x:c>
      <x:c r="B365" s="131" t="n">
        <x:f>MOD(ABS(SIN((A365+1)*12.9898+78.233)*43758.5453),1)</x:f>
        <x:v>0.6759163418319076</x:v>
      </x:c>
      <x:c r="C365" s="131" t="n">
        <x:f>MOD(ABS(SIN((A365+2)*12.9898+78.233)*43758.5453),1)</x:f>
        <x:v>0.7272783995504142</x:v>
      </x:c>
      <x:c r="D365" s="131" t="n">
        <x:f>MOD(ABS(SIN((A365+3)*12.9898+78.233)*43758.5453),1)</x:f>
        <x:v>0.30302016106725205</x:v>
      </x:c>
      <x:c r="E365" s="131" t="n">
        <x:f>MOD(ABS(SIN((A365+4)*12.9898+78.233)*43758.5453),1)</x:f>
        <x:v>0.22035865684301825</x:v>
      </x:c>
      <x:c r="F365" s="131" t="n">
        <x:f>MOD(ABS(SIN((A365+5)*12.9898+78.233)*43758.5453),1)</x:f>
        <x:v>0.4444149438131717</x:v>
      </x:c>
      <x:c r="G365" s="132" t="n">
        <x:f>IF(B365&lt;(('Assumptions'!$C$47-'Assumptions'!$B$47)/('Assumptions'!$D$47-'Assumptions'!$B$47)),'Assumptions'!$B$47+SQRT(B365*('Assumptions'!$D$47-'Assumptions'!$B$47)*('Assumptions'!$C$47-'Assumptions'!$B$47)),'Assumptions'!$D$47-SQRT((1-B365)*('Assumptions'!$D$47-'Assumptions'!$B$47)*('Assumptions'!$D$47-'Assumptions'!$C$47)))</x:f>
        <x:v>0.027990705247937064</x:v>
      </x:c>
      <x:c r="H365" s="132" t="n">
        <x:f>IF(C365&lt;(('Assumptions'!$C$48-'Assumptions'!$B$48)/('Assumptions'!$D$48-'Assumptions'!$B$48)),'Assumptions'!$B$48+SQRT(C365*('Assumptions'!$D$48-'Assumptions'!$B$48)*('Assumptions'!$C$48-'Assumptions'!$B$48)),'Assumptions'!$D$48-SQRT((1-C365)*('Assumptions'!$D$48-'Assumptions'!$B$48)*('Assumptions'!$D$48-'Assumptions'!$C$48)))</x:f>
        <x:v>0.09101071460047253</x:v>
      </x:c>
      <x:c r="I365" s="132" t="n">
        <x:f>IF(D365&lt;(('Assumptions'!$C$49-'Assumptions'!$B$49)/('Assumptions'!$D$49-'Assumptions'!$B$49)),'Assumptions'!$B$49+SQRT(D365*('Assumptions'!$D$49-'Assumptions'!$B$49)*('Assumptions'!$C$49-'Assumptions'!$B$49)),'Assumptions'!$D$49-SQRT((1-D365)*('Assumptions'!$D$49-'Assumptions'!$B$49)*('Assumptions'!$D$49-'Assumptions'!$C$49)))</x:f>
        <x:v>0.02720679801847261</x:v>
      </x:c>
      <x:c r="J365" s="132" t="n">
        <x:f>IF(E365&lt;(('Assumptions'!$C$50-'Assumptions'!$B$50)/('Assumptions'!$D$50-'Assumptions'!$B$50)),'Assumptions'!$B$50+SQRT(E365*('Assumptions'!$D$50-'Assumptions'!$B$50)*('Assumptions'!$C$50-'Assumptions'!$B$50)),'Assumptions'!$D$50-SQRT((1-E365)*('Assumptions'!$D$50-'Assumptions'!$B$50)*('Assumptions'!$D$50-'Assumptions'!$C$50)))</x:f>
        <x:v>0.06454135624646837</x:v>
      </x:c>
      <x:c r="K365" s="132" t="n">
        <x:f>IF(F365&lt;(('Assumptions'!$C$51-'Assumptions'!$B$51)/('Assumptions'!$D$51-'Assumptions'!$B$51)),'Assumptions'!$B$51+SQRT(F365*('Assumptions'!$D$51-'Assumptions'!$B$51)*('Assumptions'!$C$51-'Assumptions'!$B$51)),'Assumptions'!$D$51-SQRT((1-F365)*('Assumptions'!$D$51-'Assumptions'!$B$51)*('Assumptions'!$D$51-'Assumptions'!$C$51)))</x:f>
        <x:v>0.0686483851473345</x:v>
      </x:c>
      <x:c r="L365" s="133" t="n">
        <x:f>(('Assumptions'!$B$17*(1+G365)+'Assumptions'!$B$18)*(1-H365-'Assumptions'!$B$20)-SUM('Assumptions'!$B$21:$B$25)*(1+I365))-(('Assumptions'!$B$17*(1+G365)+'Assumptions'!$B$18)*(1-H365-'Assumptions'!$B$20)*'Assumptions'!$B$26)</x:f>
        <x:v>205493.62705940995</x:v>
      </x:c>
      <x:c r="M365" s="133" t="n">
        <x:f>'Assumptions'!$B$10*'Assumptions'!$B$33</x:f>
        <x:v>1950000</x:v>
      </x:c>
      <x:c r="N365" s="133" t="n">
        <x:f>-PMT(K365/12,'Assumptions'!$B$35*12,M365)*12</x:f>
        <x:v>153562.4956299473</x:v>
      </x:c>
      <x:c r="O365" s="133" t="n">
        <x:f>(L365*(1+'Assumptions'!$B$29)^('Assumptions'!$B$14/12)/J365)*(1-'Assumptions'!$B$42)-'Debt Schedule'!$F$9</x:f>
        <x:v>3469558.764332122</x:v>
      </x:c>
      <x:c r="P365" s="132" t="n">
        <x:f>((O365+(L365-N365-'Assumptions'!$B$27-'Assumptions'!$B$28)*('Assumptions'!$B$14/12))/ABS('Monthly Cash Flow'!$S$5))^(1/('Assumptions'!$B$14/12))-1</x:f>
        <x:v>0.222123789671681</x:v>
      </x:c>
      <x:c r="Q365" s="133" t="n">
        <x:f>-ABS('Monthly Cash Flow'!$S$5)+((L365-N365-'Assumptions'!$B$27-'Assumptions'!$B$28)*(1-(1+'Assumptions'!$B$43)^-('Assumptions'!$B$14/12))/'Assumptions'!$B$43)+(O365/(1+'Assumptions'!$B$43)^('Assumptions'!$B$14/12))</x:f>
        <x:v>905051.3935474681</x:v>
      </x:c>
    </x:row>
    <x:row r="366">
      <x:c r="A366" s="131" t="n">
        <x:f>359</x:f>
        <x:v>359</x:v>
      </x:c>
      <x:c r="B366" s="131" t="n">
        <x:f>MOD(ABS(SIN((A366+1)*12.9898+78.233)*43758.5453),1)</x:f>
        <x:v>0.7272783995504142</x:v>
      </x:c>
      <x:c r="C366" s="131" t="n">
        <x:f>MOD(ABS(SIN((A366+2)*12.9898+78.233)*43758.5453),1)</x:f>
        <x:v>0.30302016106725205</x:v>
      </x:c>
      <x:c r="D366" s="131" t="n">
        <x:f>MOD(ABS(SIN((A366+3)*12.9898+78.233)*43758.5453),1)</x:f>
        <x:v>0.22035865684301825</x:v>
      </x:c>
      <x:c r="E366" s="131" t="n">
        <x:f>MOD(ABS(SIN((A366+4)*12.9898+78.233)*43758.5453),1)</x:f>
        <x:v>0.4444149438131717</x:v>
      </x:c>
      <x:c r="F366" s="131" t="n">
        <x:f>MOD(ABS(SIN((A366+5)*12.9898+78.233)*43758.5453),1)</x:f>
        <x:v>0.9541304527729153</x:v>
      </x:c>
      <x:c r="G366" s="132" t="n">
        <x:f>IF(B366&lt;(('Assumptions'!$C$47-'Assumptions'!$B$47)/('Assumptions'!$D$47-'Assumptions'!$B$47)),'Assumptions'!$B$47+SQRT(B366*('Assumptions'!$D$47-'Assumptions'!$B$47)*('Assumptions'!$C$47-'Assumptions'!$B$47)),'Assumptions'!$D$47-SQRT((1-B366)*('Assumptions'!$D$47-'Assumptions'!$B$47)*('Assumptions'!$D$47-'Assumptions'!$C$47)))</x:f>
        <x:v>0.033942861042932135</x:v>
      </x:c>
      <x:c r="H366" s="132" t="n">
        <x:f>IF(C366&lt;(('Assumptions'!$C$48-'Assumptions'!$B$48)/('Assumptions'!$D$48-'Assumptions'!$B$48)),'Assumptions'!$B$48+SQRT(C366*('Assumptions'!$D$48-'Assumptions'!$B$48)*('Assumptions'!$C$48-'Assumptions'!$B$48)),'Assumptions'!$D$48-SQRT((1-C366)*('Assumptions'!$D$48-'Assumptions'!$B$48)*('Assumptions'!$D$48-'Assumptions'!$C$48)))</x:f>
        <x:v>0.061683829367057394</x:v>
      </x:c>
      <x:c r="I366" s="132" t="n">
        <x:f>IF(D366&lt;(('Assumptions'!$C$49-'Assumptions'!$B$49)/('Assumptions'!$D$49-'Assumptions'!$B$49)),'Assumptions'!$B$49+SQRT(D366*('Assumptions'!$D$49-'Assumptions'!$B$49)*('Assumptions'!$C$49-'Assumptions'!$B$49)),'Assumptions'!$D$49-SQRT((1-D366)*('Assumptions'!$D$49-'Assumptions'!$B$49)*('Assumptions'!$D$49-'Assumptions'!$C$49)))</x:f>
        <x:v>0.018783947092302786</x:v>
      </x:c>
      <x:c r="J366" s="132" t="n">
        <x:f>IF(E366&lt;(('Assumptions'!$C$50-'Assumptions'!$B$50)/('Assumptions'!$D$50-'Assumptions'!$B$50)),'Assumptions'!$B$50+SQRT(E366*('Assumptions'!$D$50-'Assumptions'!$B$50)*('Assumptions'!$C$50-'Assumptions'!$B$50)),'Assumptions'!$D$50-SQRT((1-E366)*('Assumptions'!$D$50-'Assumptions'!$B$50)*('Assumptions'!$D$50-'Assumptions'!$C$50)))</x:f>
        <x:v>0.06749966811239072</x:v>
      </x:c>
      <x:c r="K366" s="132" t="n">
        <x:f>IF(F366&lt;(('Assumptions'!$C$51-'Assumptions'!$B$51)/('Assumptions'!$D$51-'Assumptions'!$B$51)),'Assumptions'!$B$51+SQRT(F366*('Assumptions'!$D$51-'Assumptions'!$B$51)*('Assumptions'!$C$51-'Assumptions'!$B$51)),'Assumptions'!$D$51-SQRT((1-F366)*('Assumptions'!$D$51-'Assumptions'!$B$51)*('Assumptions'!$D$51-'Assumptions'!$C$51)))</x:f>
        <x:v>0.08030162585535863</x:v>
      </x:c>
      <x:c r="L366" s="133" t="n">
        <x:f>(('Assumptions'!$B$17*(1+G366)+'Assumptions'!$B$18)*(1-H366-'Assumptions'!$B$20)-SUM('Assumptions'!$B$21:$B$25)*(1+I366))-(('Assumptions'!$B$17*(1+G366)+'Assumptions'!$B$18)*(1-H366-'Assumptions'!$B$20)*'Assumptions'!$B$26)</x:f>
        <x:v>219390.34933009907</x:v>
      </x:c>
      <x:c r="M366" s="133" t="n">
        <x:f>'Assumptions'!$B$10*'Assumptions'!$B$33</x:f>
        <x:v>1950000</x:v>
      </x:c>
      <x:c r="N366" s="133" t="n">
        <x:f>-PMT(K366/12,'Assumptions'!$B$35*12,M366)*12</x:f>
        <x:v>172193.1950982608</x:v>
      </x:c>
      <x:c r="O366" s="133" t="n">
        <x:f>(L366*(1+'Assumptions'!$B$29)^('Assumptions'!$B$14/12)/J366)*(1-'Assumptions'!$B$42)-'Debt Schedule'!$F$9</x:f>
        <x:v>3541847.510777878</x:v>
      </x:c>
      <x:c r="P366" s="132" t="n">
        <x:f>((O366+(L366-N366-'Assumptions'!$B$27-'Assumptions'!$B$28)*('Assumptions'!$B$14/12))/ABS('Monthly Cash Flow'!$S$5))^(1/('Assumptions'!$B$14/12))-1</x:f>
        <x:v>0.22547261002302088</x:v>
      </x:c>
      <x:c r="Q366" s="133" t="n">
        <x:f>-ABS('Monthly Cash Flow'!$S$5)+((L366-N366-'Assumptions'!$B$27-'Assumptions'!$B$28)*(1-(1+'Assumptions'!$B$43)^-('Assumptions'!$B$14/12))/'Assumptions'!$B$43)+(O366/(1+'Assumptions'!$B$43)^('Assumptions'!$B$14/12))</x:f>
        <x:v>931991.5195054193</x:v>
      </x:c>
    </x:row>
    <x:row r="367">
      <x:c r="A367" s="131" t="n">
        <x:f>360</x:f>
        <x:v>360</x:v>
      </x:c>
      <x:c r="B367" s="131" t="n">
        <x:f>MOD(ABS(SIN((A367+1)*12.9898+78.233)*43758.5453),1)</x:f>
        <x:v>0.30302016106725205</x:v>
      </x:c>
      <x:c r="C367" s="131" t="n">
        <x:f>MOD(ABS(SIN((A367+2)*12.9898+78.233)*43758.5453),1)</x:f>
        <x:v>0.22035865684301825</x:v>
      </x:c>
      <x:c r="D367" s="131" t="n">
        <x:f>MOD(ABS(SIN((A367+3)*12.9898+78.233)*43758.5453),1)</x:f>
        <x:v>0.4444149438131717</x:v>
      </x:c>
      <x:c r="E367" s="131" t="n">
        <x:f>MOD(ABS(SIN((A367+4)*12.9898+78.233)*43758.5453),1)</x:f>
        <x:v>0.9541304527729153</x:v>
      </x:c>
      <x:c r="F367" s="131" t="n">
        <x:f>MOD(ABS(SIN((A367+5)*12.9898+78.233)*43758.5453),1)</x:f>
        <x:v>0.3960260269104765</x:v>
      </x:c>
      <x:c r="G367" s="132" t="n">
        <x:f>IF(B367&lt;(('Assumptions'!$C$47-'Assumptions'!$B$47)/('Assumptions'!$D$47-'Assumptions'!$B$47)),'Assumptions'!$B$47+SQRT(B367*('Assumptions'!$D$47-'Assumptions'!$B$47)*('Assumptions'!$C$47-'Assumptions'!$B$47)),'Assumptions'!$D$47-SQRT((1-B367)*('Assumptions'!$D$47-'Assumptions'!$B$47)*('Assumptions'!$D$47-'Assumptions'!$C$47)))</x:f>
        <x:v>-0.01472114057039664</x:v>
      </x:c>
      <x:c r="H367" s="132" t="n">
        <x:f>IF(C367&lt;(('Assumptions'!$C$48-'Assumptions'!$B$48)/('Assumptions'!$D$48-'Assumptions'!$B$48)),'Assumptions'!$B$48+SQRT(C367*('Assumptions'!$D$48-'Assumptions'!$B$48)*('Assumptions'!$C$48-'Assumptions'!$B$48)),'Assumptions'!$D$48-SQRT((1-C367)*('Assumptions'!$D$48-'Assumptions'!$B$48)*('Assumptions'!$D$48-'Assumptions'!$C$48)))</x:f>
        <x:v>0.05696634138295294</x:v>
      </x:c>
      <x:c r="I367" s="132" t="n">
        <x:f>IF(D367&lt;(('Assumptions'!$C$49-'Assumptions'!$B$49)/('Assumptions'!$D$49-'Assumptions'!$B$49)),'Assumptions'!$B$49+SQRT(D367*('Assumptions'!$D$49-'Assumptions'!$B$49)*('Assumptions'!$C$49-'Assumptions'!$B$49)),'Assumptions'!$D$49-SQRT((1-D367)*('Assumptions'!$D$49-'Assumptions'!$B$49)*('Assumptions'!$D$49-'Assumptions'!$C$49)))</x:f>
        <x:v>0.040452580068558924</x:v>
      </x:c>
      <x:c r="J367" s="132" t="n">
        <x:f>IF(E367&lt;(('Assumptions'!$C$50-'Assumptions'!$B$50)/('Assumptions'!$D$50-'Assumptions'!$B$50)),'Assumptions'!$B$50+SQRT(E367*('Assumptions'!$D$50-'Assumptions'!$B$50)*('Assumptions'!$C$50-'Assumptions'!$B$50)),'Assumptions'!$D$50-SQRT((1-E367)*('Assumptions'!$D$50-'Assumptions'!$B$50)*('Assumptions'!$D$50-'Assumptions'!$C$50)))</x:f>
        <x:v>0.07640823021929055</x:v>
      </x:c>
      <x:c r="K367" s="132" t="n">
        <x:f>IF(F367&lt;(('Assumptions'!$C$51-'Assumptions'!$B$51)/('Assumptions'!$D$51-'Assumptions'!$B$51)),'Assumptions'!$B$51+SQRT(F367*('Assumptions'!$D$51-'Assumptions'!$B$51)*('Assumptions'!$C$51-'Assumptions'!$B$51)),'Assumptions'!$D$51-SQRT((1-F367)*('Assumptions'!$D$51-'Assumptions'!$B$51)*('Assumptions'!$D$51-'Assumptions'!$C$51)))</x:f>
        <x:v>0.06795117380728712</x:v>
      </x:c>
      <x:c r="L367" s="133" t="n">
        <x:f>(('Assumptions'!$B$17*(1+G367)+'Assumptions'!$B$18)*(1-H367-'Assumptions'!$B$20)-SUM('Assumptions'!$B$21:$B$25)*(1+I367))-(('Assumptions'!$B$17*(1+G367)+'Assumptions'!$B$18)*(1-H367-'Assumptions'!$B$20)*'Assumptions'!$B$26)</x:f>
        <x:v>202735.30248086085</x:v>
      </x:c>
      <x:c r="M367" s="133" t="n">
        <x:f>'Assumptions'!$B$10*'Assumptions'!$B$33</x:f>
        <x:v>1950000</x:v>
      </x:c>
      <x:c r="N367" s="133" t="n">
        <x:f>-PMT(K367/12,'Assumptions'!$B$35*12,M367)*12</x:f>
        <x:v>152474.39616619263</x:v>
      </x:c>
      <x:c r="O367" s="133" t="n">
        <x:f>(L367*(1+'Assumptions'!$B$29)^('Assumptions'!$B$14/12)/J367)*(1-'Assumptions'!$B$42)-'Debt Schedule'!$F$9</x:f>
        <x:v>2891366.972781534</x:v>
      </x:c>
      <x:c r="P367" s="132" t="n">
        <x:f>((O367+(L367-N367-'Assumptions'!$B$27-'Assumptions'!$B$28)*('Assumptions'!$B$14/12))/ABS('Monthly Cash Flow'!$S$5))^(1/('Assumptions'!$B$14/12))-1</x:f>
        <x:v>0.17849554681667912</x:v>
      </x:c>
      <x:c r="Q367" s="133" t="n">
        <x:f>-ABS('Monthly Cash Flow'!$S$5)+((L367-N367-'Assumptions'!$B$27-'Assumptions'!$B$28)*(1-(1+'Assumptions'!$B$43)^-('Assumptions'!$B$14/12))/'Assumptions'!$B$43)+(O367/(1+'Assumptions'!$B$43)^('Assumptions'!$B$14/12))</x:f>
        <x:v>539708.3140888377</x:v>
      </x:c>
    </x:row>
    <x:row r="368">
      <x:c r="A368" s="131" t="n">
        <x:f>361</x:f>
        <x:v>361</x:v>
      </x:c>
      <x:c r="B368" s="131" t="n">
        <x:f>MOD(ABS(SIN((A368+1)*12.9898+78.233)*43758.5453),1)</x:f>
        <x:v>0.22035865684301825</x:v>
      </x:c>
      <x:c r="C368" s="131" t="n">
        <x:f>MOD(ABS(SIN((A368+2)*12.9898+78.233)*43758.5453),1)</x:f>
        <x:v>0.4444149438131717</x:v>
      </x:c>
      <x:c r="D368" s="131" t="n">
        <x:f>MOD(ABS(SIN((A368+3)*12.9898+78.233)*43758.5453),1)</x:f>
        <x:v>0.9541304527729153</x:v>
      </x:c>
      <x:c r="E368" s="131" t="n">
        <x:f>MOD(ABS(SIN((A368+4)*12.9898+78.233)*43758.5453),1)</x:f>
        <x:v>0.3960260269104765</x:v>
      </x:c>
      <x:c r="F368" s="131" t="n">
        <x:f>MOD(ABS(SIN((A368+5)*12.9898+78.233)*43758.5453),1)</x:f>
        <x:v>0.9863368537917268</x:v>
      </x:c>
      <x:c r="G368" s="132" t="n">
        <x:f>IF(B368&lt;(('Assumptions'!$C$47-'Assumptions'!$B$47)/('Assumptions'!$D$47-'Assumptions'!$B$47)),'Assumptions'!$B$47+SQRT(B368*('Assumptions'!$D$47-'Assumptions'!$B$47)*('Assumptions'!$C$47-'Assumptions'!$B$47)),'Assumptions'!$D$47-SQRT((1-B368)*('Assumptions'!$D$47-'Assumptions'!$B$47)*('Assumptions'!$D$47-'Assumptions'!$C$47)))</x:f>
        <x:v>-0.02727718539390518</x:v>
      </x:c>
      <x:c r="H368" s="132" t="n">
        <x:f>IF(C368&lt;(('Assumptions'!$C$48-'Assumptions'!$B$48)/('Assumptions'!$D$48-'Assumptions'!$B$48)),'Assumptions'!$B$48+SQRT(C368*('Assumptions'!$D$48-'Assumptions'!$B$48)*('Assumptions'!$C$48-'Assumptions'!$B$48)),'Assumptions'!$D$48-SQRT((1-C368)*('Assumptions'!$D$48-'Assumptions'!$B$48)*('Assumptions'!$D$48-'Assumptions'!$C$48)))</x:f>
        <x:v>0.07007755371524757</x:v>
      </x:c>
      <x:c r="I368" s="132" t="n">
        <x:f>IF(D368&lt;(('Assumptions'!$C$49-'Assumptions'!$B$49)/('Assumptions'!$D$49-'Assumptions'!$B$49)),'Assumptions'!$B$49+SQRT(D368*('Assumptions'!$D$49-'Assumptions'!$B$49)*('Assumptions'!$C$49-'Assumptions'!$B$49)),'Assumptions'!$D$49-SQRT((1-D368)*('Assumptions'!$D$49-'Assumptions'!$B$49)*('Assumptions'!$D$49-'Assumptions'!$C$49)))</x:f>
        <x:v>0.11852330671584085</x:v>
      </x:c>
      <x:c r="J368" s="132" t="n">
        <x:f>IF(E368&lt;(('Assumptions'!$C$50-'Assumptions'!$B$50)/('Assumptions'!$D$50-'Assumptions'!$B$50)),'Assumptions'!$B$50+SQRT(E368*('Assumptions'!$D$50-'Assumptions'!$B$50)*('Assumptions'!$C$50-'Assumptions'!$B$50)),'Assumptions'!$D$50-SQRT((1-E368)*('Assumptions'!$D$50-'Assumptions'!$B$50)*('Assumptions'!$D$50-'Assumptions'!$C$50)))</x:f>
        <x:v>0.06693958982450282</x:v>
      </x:c>
      <x:c r="K368" s="132" t="n">
        <x:f>IF(F368&lt;(('Assumptions'!$C$51-'Assumptions'!$B$51)/('Assumptions'!$D$51-'Assumptions'!$B$51)),'Assumptions'!$B$51+SQRT(F368*('Assumptions'!$D$51-'Assumptions'!$B$51)*('Assumptions'!$C$51-'Assumptions'!$B$51)),'Assumptions'!$D$51-SQRT((1-F368)*('Assumptions'!$D$51-'Assumptions'!$B$51)*('Assumptions'!$D$51-'Assumptions'!$C$51)))</x:f>
        <x:v>0.08243574784532966</x:v>
      </x:c>
      <x:c r="L368" s="133" t="n">
        <x:f>(('Assumptions'!$B$17*(1+G368)+'Assumptions'!$B$18)*(1-H368-'Assumptions'!$B$20)-SUM('Assumptions'!$B$21:$B$25)*(1+I368))-(('Assumptions'!$B$17*(1+G368)+'Assumptions'!$B$18)*(1-H368-'Assumptions'!$B$20)*'Assumptions'!$B$26)</x:f>
        <x:v>184215.41610975898</x:v>
      </x:c>
      <x:c r="M368" s="133" t="n">
        <x:f>'Assumptions'!$B$10*'Assumptions'!$B$33</x:f>
        <x:v>1950000</x:v>
      </x:c>
      <x:c r="N368" s="133" t="n">
        <x:f>-PMT(K368/12,'Assumptions'!$B$35*12,M368)*12</x:f>
        <x:v>175690.69890156353</x:v>
      </x:c>
      <x:c r="O368" s="133" t="n">
        <x:f>(L368*(1+'Assumptions'!$B$29)^('Assumptions'!$B$14/12)/J368)*(1-'Assumptions'!$B$42)-'Debt Schedule'!$F$9</x:f>
        <x:v>2998864.9041587594</x:v>
      </x:c>
      <x:c r="P368" s="132" t="n">
        <x:f>((O368+(L368-N368-'Assumptions'!$B$27-'Assumptions'!$B$28)*('Assumptions'!$B$14/12))/ABS('Monthly Cash Flow'!$S$5))^(1/('Assumptions'!$B$14/12))-1</x:f>
        <x:v>0.17027726829889467</x:v>
      </x:c>
      <x:c r="Q368" s="133" t="n">
        <x:f>-ABS('Monthly Cash Flow'!$S$5)+((L368-N368-'Assumptions'!$B$27-'Assumptions'!$B$28)*(1-(1+'Assumptions'!$B$43)^-('Assumptions'!$B$14/12))/'Assumptions'!$B$43)+(O368/(1+'Assumptions'!$B$43)^('Assumptions'!$B$14/12))</x:f>
        <x:v>448243.0783953606</x:v>
      </x:c>
    </x:row>
    <x:row r="369">
      <x:c r="A369" s="131" t="n">
        <x:f>362</x:f>
        <x:v>362</x:v>
      </x:c>
      <x:c r="B369" s="131" t="n">
        <x:f>MOD(ABS(SIN((A369+1)*12.9898+78.233)*43758.5453),1)</x:f>
        <x:v>0.4444149438131717</x:v>
      </x:c>
      <x:c r="C369" s="131" t="n">
        <x:f>MOD(ABS(SIN((A369+2)*12.9898+78.233)*43758.5453),1)</x:f>
        <x:v>0.9541304527729153</x:v>
      </x:c>
      <x:c r="D369" s="131" t="n">
        <x:f>MOD(ABS(SIN((A369+3)*12.9898+78.233)*43758.5453),1)</x:f>
        <x:v>0.3960260269104765</x:v>
      </x:c>
      <x:c r="E369" s="131" t="n">
        <x:f>MOD(ABS(SIN((A369+4)*12.9898+78.233)*43758.5453),1)</x:f>
        <x:v>0.9863368537917268</x:v>
      </x:c>
      <x:c r="F369" s="131" t="n">
        <x:f>MOD(ABS(SIN((A369+5)*12.9898+78.233)*43758.5453),1)</x:f>
        <x:v>0.5847541676193941</x:v>
      </x:c>
      <x:c r="G369" s="132" t="n">
        <x:f>IF(B369&lt;(('Assumptions'!$C$47-'Assumptions'!$B$47)/('Assumptions'!$D$47-'Assumptions'!$B$47)),'Assumptions'!$B$47+SQRT(B369*('Assumptions'!$D$47-'Assumptions'!$B$47)*('Assumptions'!$C$47-'Assumptions'!$B$47)),'Assumptions'!$D$47-SQRT((1-B369)*('Assumptions'!$D$47-'Assumptions'!$B$47)*('Assumptions'!$D$47-'Assumptions'!$C$47)))</x:f>
        <x:v>0.0032761281783748875</x:v>
      </x:c>
      <x:c r="H369" s="132" t="n">
        <x:f>IF(C369&lt;(('Assumptions'!$C$48-'Assumptions'!$B$48)/('Assumptions'!$D$48-'Assumptions'!$B$48)),'Assumptions'!$B$48+SQRT(C369*('Assumptions'!$D$48-'Assumptions'!$B$48)*('Assumptions'!$C$48-'Assumptions'!$B$48)),'Assumptions'!$D$48-SQRT((1-C369)*('Assumptions'!$D$48-'Assumptions'!$B$48)*('Assumptions'!$D$48-'Assumptions'!$C$48)))</x:f>
        <x:v>0.11990890705814278</x:v>
      </x:c>
      <x:c r="I369" s="132" t="n">
        <x:f>IF(D369&lt;(('Assumptions'!$C$49-'Assumptions'!$B$49)/('Assumptions'!$D$49-'Assumptions'!$B$49)),'Assumptions'!$B$49+SQRT(D369*('Assumptions'!$D$49-'Assumptions'!$B$49)*('Assumptions'!$C$49-'Assumptions'!$B$49)),'Assumptions'!$D$49-SQRT((1-D369)*('Assumptions'!$D$49-'Assumptions'!$B$49)*('Assumptions'!$D$49-'Assumptions'!$C$49)))</x:f>
        <x:v>0.03578162223733998</x:v>
      </x:c>
      <x:c r="J369" s="132" t="n">
        <x:f>IF(E369&lt;(('Assumptions'!$C$50-'Assumptions'!$B$50)/('Assumptions'!$D$50-'Assumptions'!$B$50)),'Assumptions'!$B$50+SQRT(E369*('Assumptions'!$D$50-'Assumptions'!$B$50)*('Assumptions'!$C$50-'Assumptions'!$B$50)),'Assumptions'!$D$50-SQRT((1-E369)*('Assumptions'!$D$50-'Assumptions'!$B$50)*('Assumptions'!$D$50-'Assumptions'!$C$50)))</x:f>
        <x:v>0.07803970413685157</x:v>
      </x:c>
      <x:c r="K369" s="132" t="n">
        <x:f>IF(F369&lt;(('Assumptions'!$C$51-'Assumptions'!$B$51)/('Assumptions'!$D$51-'Assumptions'!$B$51)),'Assumptions'!$B$51+SQRT(F369*('Assumptions'!$D$51-'Assumptions'!$B$51)*('Assumptions'!$C$51-'Assumptions'!$B$51)),'Assumptions'!$D$51-SQRT((1-F369)*('Assumptions'!$D$51-'Assumptions'!$B$51)*('Assumptions'!$D$51-'Assumptions'!$C$51)))</x:f>
        <x:v>0.07086362646103442</x:v>
      </x:c>
      <x:c r="L369" s="133" t="n">
        <x:f>(('Assumptions'!$B$17*(1+G369)+'Assumptions'!$B$18)*(1-H369-'Assumptions'!$B$20)-SUM('Assumptions'!$B$21:$B$25)*(1+I369))-(('Assumptions'!$B$17*(1+G369)+'Assumptions'!$B$18)*(1-H369-'Assumptions'!$B$20)*'Assumptions'!$B$26)</x:f>
        <x:v>186215.31455463695</x:v>
      </x:c>
      <x:c r="M369" s="133" t="n">
        <x:f>'Assumptions'!$B$10*'Assumptions'!$B$33</x:f>
        <x:v>1950000</x:v>
      </x:c>
      <x:c r="N369" s="133" t="n">
        <x:f>-PMT(K369/12,'Assumptions'!$B$35*12,M369)*12</x:f>
        <x:v>157040.36111437506</x:v>
      </x:c>
      <x:c r="O369" s="133" t="n">
        <x:f>(L369*(1+'Assumptions'!$B$29)^('Assumptions'!$B$14/12)/J369)*(1-'Assumptions'!$B$42)-'Debt Schedule'!$F$9</x:f>
        <x:v>2600241.9340405785</x:v>
      </x:c>
      <x:c r="P369" s="132" t="n">
        <x:f>((O369+(L369-N369-'Assumptions'!$B$27-'Assumptions'!$B$28)*('Assumptions'!$B$14/12))/ABS('Monthly Cash Flow'!$S$5))^(1/('Assumptions'!$B$14/12))-1</x:f>
        <x:v>0.14486756114491284</x:v>
      </x:c>
      <x:c r="Q369" s="133" t="n">
        <x:f>-ABS('Monthly Cash Flow'!$S$5)+((L369-N369-'Assumptions'!$B$27-'Assumptions'!$B$28)*(1-(1+'Assumptions'!$B$43)^-('Assumptions'!$B$14/12))/'Assumptions'!$B$43)+(O369/(1+'Assumptions'!$B$43)^('Assumptions'!$B$14/12))</x:f>
        <x:v>279010.2186814863</x:v>
      </x:c>
    </x:row>
    <x:row r="370">
      <x:c r="A370" s="131" t="n">
        <x:f>363</x:f>
        <x:v>363</x:v>
      </x:c>
      <x:c r="B370" s="131" t="n">
        <x:f>MOD(ABS(SIN((A370+1)*12.9898+78.233)*43758.5453),1)</x:f>
        <x:v>0.9541304527729153</x:v>
      </x:c>
      <x:c r="C370" s="131" t="n">
        <x:f>MOD(ABS(SIN((A370+2)*12.9898+78.233)*43758.5453),1)</x:f>
        <x:v>0.3960260269104765</x:v>
      </x:c>
      <x:c r="D370" s="131" t="n">
        <x:f>MOD(ABS(SIN((A370+3)*12.9898+78.233)*43758.5453),1)</x:f>
        <x:v>0.9863368537917268</x:v>
      </x:c>
      <x:c r="E370" s="131" t="n">
        <x:f>MOD(ABS(SIN((A370+4)*12.9898+78.233)*43758.5453),1)</x:f>
        <x:v>0.5847541676193941</x:v>
      </x:c>
      <x:c r="F370" s="131" t="n">
        <x:f>MOD(ABS(SIN((A370+5)*12.9898+78.233)*43758.5453),1)</x:f>
        <x:v>0.6599546524012112</x:v>
      </x:c>
      <x:c r="G370" s="132" t="n">
        <x:f>IF(B370&lt;(('Assumptions'!$C$47-'Assumptions'!$B$47)/('Assumptions'!$D$47-'Assumptions'!$B$47)),'Assumptions'!$B$47+SQRT(B370*('Assumptions'!$D$47-'Assumptions'!$B$47)*('Assumptions'!$C$47-'Assumptions'!$B$47)),'Assumptions'!$D$47-SQRT((1-B370)*('Assumptions'!$D$47-'Assumptions'!$B$47)*('Assumptions'!$D$47-'Assumptions'!$C$47)))</x:f>
        <x:v>0.0729091758037273</x:v>
      </x:c>
      <x:c r="H370" s="132" t="n">
        <x:f>IF(C370&lt;(('Assumptions'!$C$48-'Assumptions'!$B$48)/('Assumptions'!$D$48-'Assumptions'!$B$48)),'Assumptions'!$B$48+SQRT(C370*('Assumptions'!$D$48-'Assumptions'!$B$48)*('Assumptions'!$C$48-'Assumptions'!$B$48)),'Assumptions'!$D$48-SQRT((1-C370)*('Assumptions'!$D$48-'Assumptions'!$B$48)*('Assumptions'!$D$48-'Assumptions'!$C$48)))</x:f>
        <x:v>0.06709615261738372</x:v>
      </x:c>
      <x:c r="I370" s="132" t="n">
        <x:f>IF(D370&lt;(('Assumptions'!$C$49-'Assumptions'!$B$49)/('Assumptions'!$D$49-'Assumptions'!$B$49)),'Assumptions'!$B$49+SQRT(D370*('Assumptions'!$D$49-'Assumptions'!$B$49)*('Assumptions'!$C$49-'Assumptions'!$B$49)),'Assumptions'!$D$49-SQRT((1-D370)*('Assumptions'!$D$49-'Assumptions'!$B$49)*('Assumptions'!$D$49-'Assumptions'!$C$49)))</x:f>
        <x:v>0.1328208277819127</x:v>
      </x:c>
      <x:c r="J370" s="132" t="n">
        <x:f>IF(E370&lt;(('Assumptions'!$C$50-'Assumptions'!$B$50)/('Assumptions'!$D$50-'Assumptions'!$B$50)),'Assumptions'!$B$50+SQRT(E370*('Assumptions'!$D$50-'Assumptions'!$B$50)*('Assumptions'!$C$50-'Assumptions'!$B$50)),'Assumptions'!$D$50-SQRT((1-E370)*('Assumptions'!$D$50-'Assumptions'!$B$50)*('Assumptions'!$D$50-'Assumptions'!$C$50)))</x:f>
        <x:v>0.06919315539312954</x:v>
      </x:c>
      <x:c r="K370" s="132" t="n">
        <x:f>IF(F370&lt;(('Assumptions'!$C$51-'Assumptions'!$B$51)/('Assumptions'!$D$51-'Assumptions'!$B$51)),'Assumptions'!$B$51+SQRT(F370*('Assumptions'!$D$51-'Assumptions'!$B$51)*('Assumptions'!$C$51-'Assumptions'!$B$51)),'Assumptions'!$D$51-SQRT((1-F370)*('Assumptions'!$D$51-'Assumptions'!$B$51)*('Assumptions'!$D$51-'Assumptions'!$C$51)))</x:f>
        <x:v>0.07220754818137207</x:v>
      </x:c>
      <x:c r="L370" s="133" t="n">
        <x:f>(('Assumptions'!$B$17*(1+G370)+'Assumptions'!$B$18)*(1-H370-'Assumptions'!$B$20)-SUM('Assumptions'!$B$21:$B$25)*(1+I370))-(('Assumptions'!$B$17*(1+G370)+'Assumptions'!$B$18)*(1-H370-'Assumptions'!$B$20)*'Assumptions'!$B$26)</x:f>
        <x:v>215422.7115392687</x:v>
      </x:c>
      <x:c r="M370" s="133" t="n">
        <x:f>'Assumptions'!$B$10*'Assumptions'!$B$33</x:f>
        <x:v>1950000</x:v>
      </x:c>
      <x:c r="N370" s="133" t="n">
        <x:f>-PMT(K370/12,'Assumptions'!$B$35*12,M370)*12</x:f>
        <x:v>159165.34550355663</x:v>
      </x:c>
      <x:c r="O370" s="133" t="n">
        <x:f>(L370*(1+'Assumptions'!$B$29)^('Assumptions'!$B$14/12)/J370)*(1-'Assumptions'!$B$42)-'Debt Schedule'!$F$9</x:f>
        <x:v>3392675.5514898514</x:v>
      </x:c>
      <x:c r="P370" s="132" t="n">
        <x:f>((O370+(L370-N370-'Assumptions'!$B$27-'Assumptions'!$B$28)*('Assumptions'!$B$14/12))/ABS('Monthly Cash Flow'!$S$5))^(1/('Assumptions'!$B$14/12))-1</x:f>
        <x:v>0.21827297770502185</x:v>
      </x:c>
      <x:c r="Q370" s="133" t="n">
        <x:f>-ABS('Monthly Cash Flow'!$S$5)+((L370-N370-'Assumptions'!$B$27-'Assumptions'!$B$28)*(1-(1+'Assumptions'!$B$43)^-('Assumptions'!$B$14/12))/'Assumptions'!$B$43)+(O370/(1+'Assumptions'!$B$43)^('Assumptions'!$B$14/12))</x:f>
        <x:v>873712.8002151344</x:v>
      </x:c>
    </x:row>
    <x:row r="371">
      <x:c r="A371" s="131" t="n">
        <x:f>364</x:f>
        <x:v>364</x:v>
      </x:c>
      <x:c r="B371" s="131" t="n">
        <x:f>MOD(ABS(SIN((A371+1)*12.9898+78.233)*43758.5453),1)</x:f>
        <x:v>0.3960260269104765</x:v>
      </x:c>
      <x:c r="C371" s="131" t="n">
        <x:f>MOD(ABS(SIN((A371+2)*12.9898+78.233)*43758.5453),1)</x:f>
        <x:v>0.9863368537917268</x:v>
      </x:c>
      <x:c r="D371" s="131" t="n">
        <x:f>MOD(ABS(SIN((A371+3)*12.9898+78.233)*43758.5453),1)</x:f>
        <x:v>0.5847541676193941</x:v>
      </x:c>
      <x:c r="E371" s="131" t="n">
        <x:f>MOD(ABS(SIN((A371+4)*12.9898+78.233)*43758.5453),1)</x:f>
        <x:v>0.6599546524012112</x:v>
      </x:c>
      <x:c r="F371" s="131" t="n">
        <x:f>MOD(ABS(SIN((A371+5)*12.9898+78.233)*43758.5453),1)</x:f>
        <x:v>0.8377002410270507</x:v>
      </x:c>
      <x:c r="G371" s="132" t="n">
        <x:f>IF(B371&lt;(('Assumptions'!$C$47-'Assumptions'!$B$47)/('Assumptions'!$D$47-'Assumptions'!$B$47)),'Assumptions'!$B$47+SQRT(B371*('Assumptions'!$D$47-'Assumptions'!$B$47)*('Assumptions'!$C$47-'Assumptions'!$B$47)),'Assumptions'!$D$47-SQRT((1-B371)*('Assumptions'!$D$47-'Assumptions'!$B$47)*('Assumptions'!$D$47-'Assumptions'!$C$47)))</x:f>
        <x:v>-0.002508335505790882</x:v>
      </x:c>
      <x:c r="H371" s="132" t="n">
        <x:f>IF(C371&lt;(('Assumptions'!$C$48-'Assumptions'!$B$48)/('Assumptions'!$D$48-'Assumptions'!$B$48)),'Assumptions'!$B$48+SQRT(C371*('Assumptions'!$D$48-'Assumptions'!$B$48)*('Assumptions'!$C$48-'Assumptions'!$B$48)),'Assumptions'!$D$48-SQRT((1-C371)*('Assumptions'!$D$48-'Assumptions'!$B$48)*('Assumptions'!$D$48-'Assumptions'!$C$48)))</x:f>
        <x:v>0.1290347965530591</x:v>
      </x:c>
      <x:c r="I371" s="132" t="n">
        <x:f>IF(D371&lt;(('Assumptions'!$C$49-'Assumptions'!$B$49)/('Assumptions'!$D$49-'Assumptions'!$B$49)),'Assumptions'!$B$49+SQRT(D371*('Assumptions'!$D$49-'Assumptions'!$B$49)*('Assumptions'!$C$49-'Assumptions'!$B$49)),'Assumptions'!$D$49-SQRT((1-D371)*('Assumptions'!$D$49-'Assumptions'!$B$49)*('Assumptions'!$D$49-'Assumptions'!$C$49)))</x:f>
        <x:v>0.0552935589338239</x:v>
      </x:c>
      <x:c r="J371" s="132" t="n">
        <x:f>IF(E371&lt;(('Assumptions'!$C$50-'Assumptions'!$B$50)/('Assumptions'!$D$50-'Assumptions'!$B$50)),'Assumptions'!$B$50+SQRT(E371*('Assumptions'!$D$50-'Assumptions'!$B$50)*('Assumptions'!$C$50-'Assumptions'!$B$50)),'Assumptions'!$D$50-SQRT((1-E371)*('Assumptions'!$D$50-'Assumptions'!$B$50)*('Assumptions'!$D$50-'Assumptions'!$C$50)))</x:f>
        <x:v>0.07022054428855269</x:v>
      </x:c>
      <x:c r="K371" s="132" t="n">
        <x:f>IF(F371&lt;(('Assumptions'!$C$51-'Assumptions'!$B$51)/('Assumptions'!$D$51-'Assumptions'!$B$51)),'Assumptions'!$B$51+SQRT(F371*('Assumptions'!$D$51-'Assumptions'!$B$51)*('Assumptions'!$C$51-'Assumptions'!$B$51)),'Assumptions'!$D$51-SQRT((1-F371)*('Assumptions'!$D$51-'Assumptions'!$B$51)*('Assumptions'!$D$51-'Assumptions'!$C$51)))</x:f>
        <x:v>0.07616219716186587</x:v>
      </x:c>
      <x:c r="L371" s="133" t="n">
        <x:f>(('Assumptions'!$B$17*(1+G371)+'Assumptions'!$B$18)*(1-H371-'Assumptions'!$B$20)-SUM('Assumptions'!$B$21:$B$25)*(1+I371))-(('Assumptions'!$B$17*(1+G371)+'Assumptions'!$B$18)*(1-H371-'Assumptions'!$B$20)*'Assumptions'!$B$26)</x:f>
        <x:v>178713.7104391862</x:v>
      </x:c>
      <x:c r="M371" s="133" t="n">
        <x:f>'Assumptions'!$B$10*'Assumptions'!$B$33</x:f>
        <x:v>1950000</x:v>
      </x:c>
      <x:c r="N371" s="133" t="n">
        <x:f>-PMT(K371/12,'Assumptions'!$B$35*12,M371)*12</x:f>
        <x:v>165482.42068857892</x:v>
      </x:c>
      <x:c r="O371" s="133" t="n">
        <x:f>(L371*(1+'Assumptions'!$B$29)^('Assumptions'!$B$14/12)/J371)*(1-'Assumptions'!$B$42)-'Debt Schedule'!$F$9</x:f>
        <x:v>2773369.003803166</x:v>
      </x:c>
      <x:c r="P371" s="132" t="n">
        <x:f>((O371+(L371-N371-'Assumptions'!$B$27-'Assumptions'!$B$28)*('Assumptions'!$B$14/12))/ABS('Monthly Cash Flow'!$S$5))^(1/('Assumptions'!$B$14/12))-1</x:f>
        <x:v>0.15314722940568948</x:v>
      </x:c>
      <x:c r="Q371" s="133" t="n">
        <x:f>-ABS('Monthly Cash Flow'!$S$5)+((L371-N371-'Assumptions'!$B$27-'Assumptions'!$B$28)*(1-(1+'Assumptions'!$B$43)^-('Assumptions'!$B$14/12))/'Assumptions'!$B$43)+(O371/(1+'Assumptions'!$B$43)^('Assumptions'!$B$14/12))</x:f>
        <x:v>326069.4785251862</x:v>
      </x:c>
    </x:row>
    <x:row r="372">
      <x:c r="A372" s="131" t="n">
        <x:f>365</x:f>
        <x:v>365</x:v>
      </x:c>
      <x:c r="B372" s="131" t="n">
        <x:f>MOD(ABS(SIN((A372+1)*12.9898+78.233)*43758.5453),1)</x:f>
        <x:v>0.9863368537917268</x:v>
      </x:c>
      <x:c r="C372" s="131" t="n">
        <x:f>MOD(ABS(SIN((A372+2)*12.9898+78.233)*43758.5453),1)</x:f>
        <x:v>0.5847541676193941</x:v>
      </x:c>
      <x:c r="D372" s="131" t="n">
        <x:f>MOD(ABS(SIN((A372+3)*12.9898+78.233)*43758.5453),1)</x:f>
        <x:v>0.6599546524012112</x:v>
      </x:c>
      <x:c r="E372" s="131" t="n">
        <x:f>MOD(ABS(SIN((A372+4)*12.9898+78.233)*43758.5453),1)</x:f>
        <x:v>0.8377002410270507</x:v>
      </x:c>
      <x:c r="F372" s="131" t="n">
        <x:f>MOD(ABS(SIN((A372+5)*12.9898+78.233)*43758.5453),1)</x:f>
        <x:v>0.8957269192142121</x:v>
      </x:c>
      <x:c r="G372" s="132" t="n">
        <x:f>IF(B372&lt;(('Assumptions'!$C$47-'Assumptions'!$B$47)/('Assumptions'!$D$47-'Assumptions'!$B$47)),'Assumptions'!$B$47+SQRT(B372*('Assumptions'!$D$47-'Assumptions'!$B$47)*('Assumptions'!$C$47-'Assumptions'!$B$47)),'Assumptions'!$D$47-SQRT((1-B372)*('Assumptions'!$D$47-'Assumptions'!$B$47)*('Assumptions'!$D$47-'Assumptions'!$C$47)))</x:f>
        <x:v>0.08521452268838196</x:v>
      </x:c>
      <x:c r="H372" s="132" t="n">
        <x:f>IF(C372&lt;(('Assumptions'!$C$48-'Assumptions'!$B$48)/('Assumptions'!$D$48-'Assumptions'!$B$48)),'Assumptions'!$B$48+SQRT(C372*('Assumptions'!$D$48-'Assumptions'!$B$48)*('Assumptions'!$C$48-'Assumptions'!$B$48)),'Assumptions'!$D$48-SQRT((1-C372)*('Assumptions'!$D$48-'Assumptions'!$B$48)*('Assumptions'!$D$48-'Assumptions'!$C$48)))</x:f>
        <x:v>0.07955032402940995</x:v>
      </x:c>
      <x:c r="I372" s="132" t="n">
        <x:f>IF(D372&lt;(('Assumptions'!$C$49-'Assumptions'!$B$49)/('Assumptions'!$D$49-'Assumptions'!$B$49)),'Assumptions'!$B$49+SQRT(D372*('Assumptions'!$D$49-'Assumptions'!$B$49)*('Assumptions'!$C$49-'Assumptions'!$B$49)),'Assumptions'!$D$49-SQRT((1-D372)*('Assumptions'!$D$49-'Assumptions'!$B$49)*('Assumptions'!$D$49-'Assumptions'!$C$49)))</x:f>
        <x:v>0.06429714410748123</x:v>
      </x:c>
      <x:c r="J372" s="132" t="n">
        <x:f>IF(E372&lt;(('Assumptions'!$C$50-'Assumptions'!$B$50)/('Assumptions'!$D$50-'Assumptions'!$B$50)),'Assumptions'!$B$50+SQRT(E372*('Assumptions'!$D$50-'Assumptions'!$B$50)*('Assumptions'!$C$50-'Assumptions'!$B$50)),'Assumptions'!$D$50-SQRT((1-E372)*('Assumptions'!$D$50-'Assumptions'!$B$50)*('Assumptions'!$D$50-'Assumptions'!$C$50)))</x:f>
        <x:v>0.0732437579075982</x:v>
      </x:c>
      <x:c r="K372" s="132" t="n">
        <x:f>IF(F372&lt;(('Assumptions'!$C$51-'Assumptions'!$B$51)/('Assumptions'!$D$51-'Assumptions'!$B$51)),'Assumptions'!$B$51+SQRT(F372*('Assumptions'!$D$51-'Assumptions'!$B$51)*('Assumptions'!$C$51-'Assumptions'!$B$51)),'Assumptions'!$D$51-SQRT((1-F372)*('Assumptions'!$D$51-'Assumptions'!$B$51)*('Assumptions'!$D$51-'Assumptions'!$C$51)))</x:f>
        <x:v>0.07791611546338026</x:v>
      </x:c>
      <x:c r="L372" s="133" t="n">
        <x:f>(('Assumptions'!$B$17*(1+G372)+'Assumptions'!$B$18)*(1-H372-'Assumptions'!$B$20)-SUM('Assumptions'!$B$21:$B$25)*(1+I372))-(('Assumptions'!$B$17*(1+G372)+'Assumptions'!$B$18)*(1-H372-'Assumptions'!$B$20)*'Assumptions'!$B$26)</x:f>
        <x:v>223095.40780592777</x:v>
      </x:c>
      <x:c r="M372" s="133" t="n">
        <x:f>'Assumptions'!$B$10*'Assumptions'!$B$33</x:f>
        <x:v>1950000</x:v>
      </x:c>
      <x:c r="N372" s="133" t="n">
        <x:f>-PMT(K372/12,'Assumptions'!$B$35*12,M372)*12</x:f>
        <x:v>168313.83251602182</x:v>
      </x:c>
      <x:c r="O372" s="133" t="n">
        <x:f>(L372*(1+'Assumptions'!$B$29)^('Assumptions'!$B$14/12)/J372)*(1-'Assumptions'!$B$42)-'Debt Schedule'!$F$9</x:f>
        <x:v>3319204.338608766</x:v>
      </x:c>
      <x:c r="P372" s="132" t="n">
        <x:f>((O372+(L372-N372-'Assumptions'!$B$27-'Assumptions'!$B$28)*('Assumptions'!$B$14/12))/ABS('Monthly Cash Flow'!$S$5))^(1/('Assumptions'!$B$14/12))-1</x:f>
        <x:v>0.2125488206991215</x:v>
      </x:c>
      <x:c r="Q372" s="133" t="n">
        <x:f>-ABS('Monthly Cash Flow'!$S$5)+((L372-N372-'Assumptions'!$B$27-'Assumptions'!$B$28)*(1-(1+'Assumptions'!$B$43)^-('Assumptions'!$B$14/12))/'Assumptions'!$B$43)+(O372/(1+'Assumptions'!$B$43)^('Assumptions'!$B$14/12))</x:f>
        <x:v>822498.5494726326</x:v>
      </x:c>
    </x:row>
    <x:row r="373">
      <x:c r="A373" s="131" t="n">
        <x:f>366</x:f>
        <x:v>366</x:v>
      </x:c>
      <x:c r="B373" s="131" t="n">
        <x:f>MOD(ABS(SIN((A373+1)*12.9898+78.233)*43758.5453),1)</x:f>
        <x:v>0.5847541676193941</x:v>
      </x:c>
      <x:c r="C373" s="131" t="n">
        <x:f>MOD(ABS(SIN((A373+2)*12.9898+78.233)*43758.5453),1)</x:f>
        <x:v>0.6599546524012112</x:v>
      </x:c>
      <x:c r="D373" s="131" t="n">
        <x:f>MOD(ABS(SIN((A373+3)*12.9898+78.233)*43758.5453),1)</x:f>
        <x:v>0.8377002410270507</x:v>
      </x:c>
      <x:c r="E373" s="131" t="n">
        <x:f>MOD(ABS(SIN((A373+4)*12.9898+78.233)*43758.5453),1)</x:f>
        <x:v>0.8957269192142121</x:v>
      </x:c>
      <x:c r="F373" s="131" t="n">
        <x:f>MOD(ABS(SIN((A373+5)*12.9898+78.233)*43758.5453),1)</x:f>
        <x:v>0.6324027641603607</x:v>
      </x:c>
      <x:c r="G373" s="132" t="n">
        <x:f>IF(B373&lt;(('Assumptions'!$C$47-'Assumptions'!$B$47)/('Assumptions'!$D$47-'Assumptions'!$B$47)),'Assumptions'!$B$47+SQRT(B373*('Assumptions'!$D$47-'Assumptions'!$B$47)*('Assumptions'!$C$47-'Assumptions'!$B$47)),'Assumptions'!$D$47-SQRT((1-B373)*('Assumptions'!$D$47-'Assumptions'!$B$47)*('Assumptions'!$D$47-'Assumptions'!$C$47)))</x:f>
        <x:v>0.018465606919753116</x:v>
      </x:c>
      <x:c r="H373" s="132" t="n">
        <x:f>IF(C373&lt;(('Assumptions'!$C$48-'Assumptions'!$B$48)/('Assumptions'!$D$48-'Assumptions'!$B$48)),'Assumptions'!$B$48+SQRT(C373*('Assumptions'!$D$48-'Assumptions'!$B$48)*('Assumptions'!$C$48-'Assumptions'!$B$48)),'Assumptions'!$D$48-SQRT((1-C373)*('Assumptions'!$D$48-'Assumptions'!$B$48)*('Assumptions'!$D$48-'Assumptions'!$C$48)))</x:f>
        <x:v>0.08529717503757836</x:v>
      </x:c>
      <x:c r="I373" s="132" t="n">
        <x:f>IF(D373&lt;(('Assumptions'!$C$49-'Assumptions'!$B$49)/('Assumptions'!$D$49-'Assumptions'!$B$49)),'Assumptions'!$B$49+SQRT(D373*('Assumptions'!$D$49-'Assumptions'!$B$49)*('Assumptions'!$C$49-'Assumptions'!$B$49)),'Assumptions'!$D$49-SQRT((1-D373)*('Assumptions'!$D$49-'Assumptions'!$B$49)*('Assumptions'!$D$49-'Assumptions'!$C$49)))</x:f>
        <x:v>0.09079126083241</x:v>
      </x:c>
      <x:c r="J373" s="132" t="n">
        <x:f>IF(E373&lt;(('Assumptions'!$C$50-'Assumptions'!$B$50)/('Assumptions'!$D$50-'Assumptions'!$B$50)),'Assumptions'!$B$50+SQRT(E373*('Assumptions'!$D$50-'Assumptions'!$B$50)*('Assumptions'!$C$50-'Assumptions'!$B$50)),'Assumptions'!$D$50-SQRT((1-E373)*('Assumptions'!$D$50-'Assumptions'!$B$50)*('Assumptions'!$D$50-'Assumptions'!$C$50)))</x:f>
        <x:v>0.07458457721216498</x:v>
      </x:c>
      <x:c r="K373" s="132" t="n">
        <x:f>IF(F373&lt;(('Assumptions'!$C$51-'Assumptions'!$B$51)/('Assumptions'!$D$51-'Assumptions'!$B$51)),'Assumptions'!$B$51+SQRT(F373*('Assumptions'!$D$51-'Assumptions'!$B$51)*('Assumptions'!$C$51-'Assumptions'!$B$51)),'Assumptions'!$D$51-SQRT((1-F373)*('Assumptions'!$D$51-'Assumptions'!$B$51)*('Assumptions'!$D$51-'Assumptions'!$C$51)))</x:f>
        <x:v>0.07169939212863463</x:v>
      </x:c>
      <x:c r="L373" s="133" t="n">
        <x:f>(('Assumptions'!$B$17*(1+G373)+'Assumptions'!$B$18)*(1-H373-'Assumptions'!$B$20)-SUM('Assumptions'!$B$21:$B$25)*(1+I373))-(('Assumptions'!$B$17*(1+G373)+'Assumptions'!$B$18)*(1-H373-'Assumptions'!$B$20)*'Assumptions'!$B$26)</x:f>
        <x:v>196632.4167165333</x:v>
      </x:c>
      <x:c r="M373" s="133" t="n">
        <x:f>'Assumptions'!$B$10*'Assumptions'!$B$33</x:f>
        <x:v>1950000</x:v>
      </x:c>
      <x:c r="N373" s="133" t="n">
        <x:f>-PMT(K373/12,'Assumptions'!$B$35*12,M373)*12</x:f>
        <x:v>158360.53678379906</x:v>
      </x:c>
      <x:c r="O373" s="133" t="n">
        <x:f>(L373*(1+'Assumptions'!$B$29)^('Assumptions'!$B$14/12)/J373)*(1-'Assumptions'!$B$42)-'Debt Schedule'!$F$9</x:f>
        <x:v>2872897.039892269</x:v>
      </x:c>
      <x:c r="P373" s="132" t="n">
        <x:f>((O373+(L373-N373-'Assumptions'!$B$27-'Assumptions'!$B$28)*('Assumptions'!$B$14/12))/ABS('Monthly Cash Flow'!$S$5))^(1/('Assumptions'!$B$14/12))-1</x:f>
        <x:v>0.1721466985890172</x:v>
      </x:c>
      <x:c r="Q373" s="133" t="n">
        <x:f>-ABS('Monthly Cash Flow'!$S$5)+((L373-N373-'Assumptions'!$B$27-'Assumptions'!$B$28)*(1-(1+'Assumptions'!$B$43)^-('Assumptions'!$B$14/12))/'Assumptions'!$B$43)+(O373/(1+'Assumptions'!$B$43)^('Assumptions'!$B$14/12))</x:f>
        <x:v>482792.0963356972</x:v>
      </x:c>
    </x:row>
    <x:row r="374">
      <x:c r="A374" s="131" t="n">
        <x:f>367</x:f>
        <x:v>367</x:v>
      </x:c>
      <x:c r="B374" s="131" t="n">
        <x:f>MOD(ABS(SIN((A374+1)*12.9898+78.233)*43758.5453),1)</x:f>
        <x:v>0.6599546524012112</x:v>
      </x:c>
      <x:c r="C374" s="131" t="n">
        <x:f>MOD(ABS(SIN((A374+2)*12.9898+78.233)*43758.5453),1)</x:f>
        <x:v>0.8377002410270507</x:v>
      </x:c>
      <x:c r="D374" s="131" t="n">
        <x:f>MOD(ABS(SIN((A374+3)*12.9898+78.233)*43758.5453),1)</x:f>
        <x:v>0.8957269192142121</x:v>
      </x:c>
      <x:c r="E374" s="131" t="n">
        <x:f>MOD(ABS(SIN((A374+4)*12.9898+78.233)*43758.5453),1)</x:f>
        <x:v>0.6324027641603607</x:v>
      </x:c>
      <x:c r="F374" s="131" t="n">
        <x:f>MOD(ABS(SIN((A374+5)*12.9898+78.233)*43758.5453),1)</x:f>
        <x:v>0.4655773587837757</x:v>
      </x:c>
      <x:c r="G374" s="132" t="n">
        <x:f>IF(B374&lt;(('Assumptions'!$C$47-'Assumptions'!$B$47)/('Assumptions'!$D$47-'Assumptions'!$B$47)),'Assumptions'!$B$47+SQRT(B374*('Assumptions'!$D$47-'Assumptions'!$B$47)*('Assumptions'!$C$47-'Assumptions'!$B$47)),'Assumptions'!$D$47-SQRT((1-B374)*('Assumptions'!$D$47-'Assumptions'!$B$47)*('Assumptions'!$D$47-'Assumptions'!$C$47)))</x:f>
        <x:v>0.026238725867969034</x:v>
      </x:c>
      <x:c r="H374" s="132" t="n">
        <x:f>IF(C374&lt;(('Assumptions'!$C$48-'Assumptions'!$B$48)/('Assumptions'!$D$48-'Assumptions'!$B$48)),'Assumptions'!$B$48+SQRT(C374*('Assumptions'!$D$48-'Assumptions'!$B$48)*('Assumptions'!$C$48-'Assumptions'!$B$48)),'Assumptions'!$D$48-SQRT((1-C374)*('Assumptions'!$D$48-'Assumptions'!$B$48)*('Assumptions'!$D$48-'Assumptions'!$C$48)))</x:f>
        <x:v>0.10220796540324995</x:v>
      </x:c>
      <x:c r="I374" s="132" t="n">
        <x:f>IF(D374&lt;(('Assumptions'!$C$49-'Assumptions'!$B$49)/('Assumptions'!$D$49-'Assumptions'!$B$49)),'Assumptions'!$B$49+SQRT(D374*('Assumptions'!$D$49-'Assumptions'!$B$49)*('Assumptions'!$C$49-'Assumptions'!$B$49)),'Assumptions'!$D$49-SQRT((1-D374)*('Assumptions'!$D$49-'Assumptions'!$B$49)*('Assumptions'!$D$49-'Assumptions'!$C$49)))</x:f>
        <x:v>0.10254161249080392</x:v>
      </x:c>
      <x:c r="J374" s="132" t="n">
        <x:f>IF(E374&lt;(('Assumptions'!$C$50-'Assumptions'!$B$50)/('Assumptions'!$D$50-'Assumptions'!$B$50)),'Assumptions'!$B$50+SQRT(E374*('Assumptions'!$D$50-'Assumptions'!$B$50)*('Assumptions'!$C$50-'Assumptions'!$B$50)),'Assumptions'!$D$50-SQRT((1-E374)*('Assumptions'!$D$50-'Assumptions'!$B$50)*('Assumptions'!$D$50-'Assumptions'!$C$50)))</x:f>
        <x:v>0.0698320738309182</x:v>
      </x:c>
      <x:c r="K374" s="132" t="n">
        <x:f>IF(F374&lt;(('Assumptions'!$C$51-'Assumptions'!$B$51)/('Assumptions'!$D$51-'Assumptions'!$B$51)),'Assumptions'!$B$51+SQRT(F374*('Assumptions'!$D$51-'Assumptions'!$B$51)*('Assumptions'!$C$51-'Assumptions'!$B$51)),'Assumptions'!$D$51-SQRT((1-F374)*('Assumptions'!$D$51-'Assumptions'!$B$51)*('Assumptions'!$D$51-'Assumptions'!$C$51)))</x:f>
        <x:v>0.06896282767800671</x:v>
      </x:c>
      <x:c r="L374" s="133" t="n">
        <x:f>(('Assumptions'!$B$17*(1+G374)+'Assumptions'!$B$18)*(1-H374-'Assumptions'!$B$20)-SUM('Assumptions'!$B$21:$B$25)*(1+I374))-(('Assumptions'!$B$17*(1+G374)+'Assumptions'!$B$18)*(1-H374-'Assumptions'!$B$20)*'Assumptions'!$B$26)</x:f>
        <x:v>191292.32053884648</x:v>
      </x:c>
      <x:c r="M374" s="133" t="n">
        <x:f>'Assumptions'!$B$10*'Assumptions'!$B$33</x:f>
        <x:v>1950000</x:v>
      </x:c>
      <x:c r="N374" s="133" t="n">
        <x:f>-PMT(K374/12,'Assumptions'!$B$35*12,M374)*12</x:f>
        <x:v>154054.2549293592</x:v>
      </x:c>
      <x:c r="O374" s="133" t="n">
        <x:f>(L374*(1+'Assumptions'!$B$29)^('Assumptions'!$B$14/12)/J374)*(1-'Assumptions'!$B$42)-'Debt Schedule'!$F$9</x:f>
        <x:v>2985084.112628408</x:v>
      </x:c>
      <x:c r="P374" s="132" t="n">
        <x:f>((O374+(L374-N374-'Assumptions'!$B$27-'Assumptions'!$B$28)*('Assumptions'!$B$14/12))/ABS('Monthly Cash Flow'!$S$5))^(1/('Assumptions'!$B$14/12))-1</x:f>
        <x:v>0.1807776998226116</x:v>
      </x:c>
      <x:c r="Q374" s="133" t="n">
        <x:f>-ABS('Monthly Cash Flow'!$S$5)+((L374-N374-'Assumptions'!$B$27-'Assumptions'!$B$28)*(1-(1+'Assumptions'!$B$43)^-('Assumptions'!$B$14/12))/'Assumptions'!$B$43)+(O374/(1+'Assumptions'!$B$43)^('Assumptions'!$B$14/12))</x:f>
        <x:v>548532.4723105647</x:v>
      </x:c>
    </x:row>
    <x:row r="375">
      <x:c r="A375" s="131" t="n">
        <x:f>368</x:f>
        <x:v>368</x:v>
      </x:c>
      <x:c r="B375" s="131" t="n">
        <x:f>MOD(ABS(SIN((A375+1)*12.9898+78.233)*43758.5453),1)</x:f>
        <x:v>0.8377002410270507</x:v>
      </x:c>
      <x:c r="C375" s="131" t="n">
        <x:f>MOD(ABS(SIN((A375+2)*12.9898+78.233)*43758.5453),1)</x:f>
        <x:v>0.8957269192142121</x:v>
      </x:c>
      <x:c r="D375" s="131" t="n">
        <x:f>MOD(ABS(SIN((A375+3)*12.9898+78.233)*43758.5453),1)</x:f>
        <x:v>0.6324027641603607</x:v>
      </x:c>
      <x:c r="E375" s="131" t="n">
        <x:f>MOD(ABS(SIN((A375+4)*12.9898+78.233)*43758.5453),1)</x:f>
        <x:v>0.4655773587837757</x:v>
      </x:c>
      <x:c r="F375" s="131" t="n">
        <x:f>MOD(ABS(SIN((A375+5)*12.9898+78.233)*43758.5453),1)</x:f>
        <x:v>0.11381615620484808</x:v>
      </x:c>
      <x:c r="G375" s="132" t="n">
        <x:f>IF(B375&lt;(('Assumptions'!$C$47-'Assumptions'!$B$47)/('Assumptions'!$D$47-'Assumptions'!$B$47)),'Assumptions'!$B$47+SQRT(B375*('Assumptions'!$D$47-'Assumptions'!$B$47)*('Assumptions'!$C$47-'Assumptions'!$B$47)),'Assumptions'!$D$47-SQRT((1-B375)*('Assumptions'!$D$47-'Assumptions'!$B$47)*('Assumptions'!$D$47-'Assumptions'!$C$47)))</x:f>
        <x:v>0.049041230945330035</x:v>
      </x:c>
      <x:c r="H375" s="132" t="n">
        <x:f>IF(C375&lt;(('Assumptions'!$C$48-'Assumptions'!$B$48)/('Assumptions'!$D$48-'Assumptions'!$B$48)),'Assumptions'!$B$48+SQRT(C375*('Assumptions'!$D$48-'Assumptions'!$B$48)*('Assumptions'!$C$48-'Assumptions'!$B$48)),'Assumptions'!$D$48-SQRT((1-C375)*('Assumptions'!$D$48-'Assumptions'!$B$48)*('Assumptions'!$D$48-'Assumptions'!$C$48)))</x:f>
        <x:v>0.10970803553886059</x:v>
      </x:c>
      <x:c r="I375" s="132" t="n">
        <x:f>IF(D375&lt;(('Assumptions'!$C$49-'Assumptions'!$B$49)/('Assumptions'!$D$49-'Assumptions'!$B$49)),'Assumptions'!$B$49+SQRT(D375*('Assumptions'!$D$49-'Assumptions'!$B$49)*('Assumptions'!$C$49-'Assumptions'!$B$49)),'Assumptions'!$D$49-SQRT((1-D375)*('Assumptions'!$D$49-'Assumptions'!$B$49)*('Assumptions'!$D$49-'Assumptions'!$C$49)))</x:f>
        <x:v>0.06089275958634893</x:v>
      </x:c>
      <x:c r="J375" s="132" t="n">
        <x:f>IF(E375&lt;(('Assumptions'!$C$50-'Assumptions'!$B$50)/('Assumptions'!$D$50-'Assumptions'!$B$50)),'Assumptions'!$B$50+SQRT(E375*('Assumptions'!$D$50-'Assumptions'!$B$50)*('Assumptions'!$C$50-'Assumptions'!$B$50)),'Assumptions'!$D$50-SQRT((1-E375)*('Assumptions'!$D$50-'Assumptions'!$B$50)*('Assumptions'!$D$50-'Assumptions'!$C$50)))</x:f>
        <x:v>0.06774005025124234</x:v>
      </x:c>
      <x:c r="K375" s="132" t="n">
        <x:f>IF(F375&lt;(('Assumptions'!$C$51-'Assumptions'!$B$51)/('Assumptions'!$D$51-'Assumptions'!$B$51)),'Assumptions'!$B$51+SQRT(F375*('Assumptions'!$D$51-'Assumptions'!$B$51)*('Assumptions'!$C$51-'Assumptions'!$B$51)),'Assumptions'!$D$51-SQRT((1-F375)*('Assumptions'!$D$51-'Assumptions'!$B$51)*('Assumptions'!$D$51-'Assumptions'!$C$51)))</x:f>
        <x:v>0.06309459050836906</x:v>
      </x:c>
      <x:c r="L375" s="133" t="n">
        <x:f>(('Assumptions'!$B$17*(1+G375)+'Assumptions'!$B$18)*(1-H375-'Assumptions'!$B$20)-SUM('Assumptions'!$B$21:$B$25)*(1+I375))-(('Assumptions'!$B$17*(1+G375)+'Assumptions'!$B$18)*(1-H375-'Assumptions'!$B$20)*'Assumptions'!$B$26)</x:f>
        <x:v>200687.6202440131</x:v>
      </x:c>
      <x:c r="M375" s="133" t="n">
        <x:f>'Assumptions'!$B$10*'Assumptions'!$B$33</x:f>
        <x:v>1950000</x:v>
      </x:c>
      <x:c r="N375" s="133" t="n">
        <x:f>-PMT(K375/12,'Assumptions'!$B$35*12,M375)*12</x:f>
        <x:v>144983.94545004604</x:v>
      </x:c>
      <x:c r="O375" s="133" t="n">
        <x:f>(L375*(1+'Assumptions'!$B$29)^('Assumptions'!$B$14/12)/J375)*(1-'Assumptions'!$B$42)-'Debt Schedule'!$F$9</x:f>
        <x:v>3228412.6902744146</x:v>
      </x:c>
      <x:c r="P375" s="132" t="n">
        <x:f>((O375+(L375-N375-'Assumptions'!$B$27-'Assumptions'!$B$28)*('Assumptions'!$B$14/12))/ABS('Monthly Cash Flow'!$S$5))^(1/('Assumptions'!$B$14/12))-1</x:f>
        <x:v>0.20632580308640258</x:v>
      </x:c>
      <x:c r="Q375" s="133" t="n">
        <x:f>-ABS('Monthly Cash Flow'!$S$5)+((L375-N375-'Assumptions'!$B$27-'Assumptions'!$B$28)*(1-(1+'Assumptions'!$B$43)^-('Assumptions'!$B$14/12))/'Assumptions'!$B$43)+(O375/(1+'Assumptions'!$B$43)^('Assumptions'!$B$14/12))</x:f>
        <x:v>769619.5616662186</x:v>
      </x:c>
    </x:row>
    <x:row r="376">
      <x:c r="A376" s="131" t="n">
        <x:f>369</x:f>
        <x:v>369</x:v>
      </x:c>
      <x:c r="B376" s="131" t="n">
        <x:f>MOD(ABS(SIN((A376+1)*12.9898+78.233)*43758.5453),1)</x:f>
        <x:v>0.8957269192142121</x:v>
      </x:c>
      <x:c r="C376" s="131" t="n">
        <x:f>MOD(ABS(SIN((A376+2)*12.9898+78.233)*43758.5453),1)</x:f>
        <x:v>0.6324027641603607</x:v>
      </x:c>
      <x:c r="D376" s="131" t="n">
        <x:f>MOD(ABS(SIN((A376+3)*12.9898+78.233)*43758.5453),1)</x:f>
        <x:v>0.4655773587837757</x:v>
      </x:c>
      <x:c r="E376" s="131" t="n">
        <x:f>MOD(ABS(SIN((A376+4)*12.9898+78.233)*43758.5453),1)</x:f>
        <x:v>0.11381615620484808</x:v>
      </x:c>
      <x:c r="F376" s="131" t="n">
        <x:f>MOD(ABS(SIN((A376+5)*12.9898+78.233)*43758.5453),1)</x:f>
        <x:v>0.03042373561038403</x:v>
      </x:c>
      <x:c r="G376" s="132" t="n">
        <x:f>IF(B376&lt;(('Assumptions'!$C$47-'Assumptions'!$B$47)/('Assumptions'!$D$47-'Assumptions'!$B$47)),'Assumptions'!$B$47+SQRT(B376*('Assumptions'!$D$47-'Assumptions'!$B$47)*('Assumptions'!$C$47-'Assumptions'!$B$47)),'Assumptions'!$D$47-SQRT((1-B376)*('Assumptions'!$D$47-'Assumptions'!$B$47)*('Assumptions'!$D$47-'Assumptions'!$C$47)))</x:f>
        <x:v>0.059154323453116775</x:v>
      </x:c>
      <x:c r="H376" s="132" t="n">
        <x:f>IF(C376&lt;(('Assumptions'!$C$48-'Assumptions'!$B$48)/('Assumptions'!$D$48-'Assumptions'!$B$48)),'Assumptions'!$B$48+SQRT(C376*('Assumptions'!$D$48-'Assumptions'!$B$48)*('Assumptions'!$C$48-'Assumptions'!$B$48)),'Assumptions'!$D$48-SQRT((1-C376)*('Assumptions'!$D$48-'Assumptions'!$B$48)*('Assumptions'!$D$48-'Assumptions'!$C$48)))</x:f>
        <x:v>0.0831242083537396</x:v>
      </x:c>
      <x:c r="I376" s="132" t="n">
        <x:f>IF(D376&lt;(('Assumptions'!$C$49-'Assumptions'!$B$49)/('Assumptions'!$D$49-'Assumptions'!$B$49)),'Assumptions'!$B$49+SQRT(D376*('Assumptions'!$D$49-'Assumptions'!$B$49)*('Assumptions'!$C$49-'Assumptions'!$B$49)),'Assumptions'!$D$49-SQRT((1-D376)*('Assumptions'!$D$49-'Assumptions'!$B$49)*('Assumptions'!$D$49-'Assumptions'!$C$49)))</x:f>
        <x:v>0.042559183499610145</x:v>
      </x:c>
      <x:c r="J376" s="132" t="n">
        <x:f>IF(E376&lt;(('Assumptions'!$C$50-'Assumptions'!$B$50)/('Assumptions'!$D$50-'Assumptions'!$B$50)),'Assumptions'!$B$50+SQRT(E376*('Assumptions'!$D$50-'Assumptions'!$B$50)*('Assumptions'!$C$50-'Assumptions'!$B$50)),'Assumptions'!$D$50-SQRT((1-E376)*('Assumptions'!$D$50-'Assumptions'!$B$50)*('Assumptions'!$D$50-'Assumptions'!$C$50)))</x:f>
        <x:v>0.06256049751962106</x:v>
      </x:c>
      <x:c r="K376" s="132" t="n">
        <x:f>IF(F376&lt;(('Assumptions'!$C$51-'Assumptions'!$B$51)/('Assumptions'!$D$51-'Assumptions'!$B$51)),'Assumptions'!$B$51+SQRT(F376*('Assumptions'!$D$51-'Assumptions'!$B$51)*('Assumptions'!$C$51-'Assumptions'!$B$51)),'Assumptions'!$D$51-SQRT((1-F376)*('Assumptions'!$D$51-'Assumptions'!$B$51)*('Assumptions'!$D$51-'Assumptions'!$C$51)))</x:f>
        <x:v>0.06039249499443917</x:v>
      </x:c>
      <x:c r="L376" s="133" t="n">
        <x:f>(('Assumptions'!$B$17*(1+G376)+'Assumptions'!$B$18)*(1-H376-'Assumptions'!$B$20)-SUM('Assumptions'!$B$21:$B$25)*(1+I376))-(('Assumptions'!$B$17*(1+G376)+'Assumptions'!$B$18)*(1-H376-'Assumptions'!$B$20)*'Assumptions'!$B$26)</x:f>
        <x:v>216264.55777523178</x:v>
      </x:c>
      <x:c r="M376" s="133" t="n">
        <x:f>'Assumptions'!$B$10*'Assumptions'!$B$33</x:f>
        <x:v>1950000</x:v>
      </x:c>
      <x:c r="N376" s="133" t="n">
        <x:f>-PMT(K376/12,'Assumptions'!$B$35*12,M376)*12</x:f>
        <x:v>140885.8487681492</x:v>
      </x:c>
      <x:c r="O376" s="133" t="n">
        <x:f>(L376*(1+'Assumptions'!$B$29)^('Assumptions'!$B$14/12)/J376)*(1-'Assumptions'!$B$42)-'Debt Schedule'!$F$9</x:f>
        <x:v>3767030.4850715213</x:v>
      </x:c>
      <x:c r="P376" s="132" t="n">
        <x:f>((O376+(L376-N376-'Assumptions'!$B$27-'Assumptions'!$B$28)*('Assumptions'!$B$14/12))/ABS('Monthly Cash Flow'!$S$5))^(1/('Assumptions'!$B$14/12))-1</x:f>
        <x:v>0.2495835437974938</x:v>
      </x:c>
      <x:c r="Q376" s="133" t="n">
        <x:f>-ABS('Monthly Cash Flow'!$S$5)+((L376-N376-'Assumptions'!$B$27-'Assumptions'!$B$28)*(1-(1+'Assumptions'!$B$43)^-('Assumptions'!$B$14/12))/'Assumptions'!$B$43)+(O376/(1+'Assumptions'!$B$43)^('Assumptions'!$B$14/12))</x:f>
        <x:v>1178642.6948175794</x:v>
      </x:c>
    </x:row>
    <x:row r="377">
      <x:c r="A377" s="131" t="n">
        <x:f>370</x:f>
        <x:v>370</x:v>
      </x:c>
      <x:c r="B377" s="131" t="n">
        <x:f>MOD(ABS(SIN((A377+1)*12.9898+78.233)*43758.5453),1)</x:f>
        <x:v>0.6324027641603607</x:v>
      </x:c>
      <x:c r="C377" s="131" t="n">
        <x:f>MOD(ABS(SIN((A377+2)*12.9898+78.233)*43758.5453),1)</x:f>
        <x:v>0.4655773587837757</x:v>
      </x:c>
      <x:c r="D377" s="131" t="n">
        <x:f>MOD(ABS(SIN((A377+3)*12.9898+78.233)*43758.5453),1)</x:f>
        <x:v>0.11381615620484808</x:v>
      </x:c>
      <x:c r="E377" s="131" t="n">
        <x:f>MOD(ABS(SIN((A377+4)*12.9898+78.233)*43758.5453),1)</x:f>
        <x:v>0.03042373561038403</x:v>
      </x:c>
      <x:c r="F377" s="131" t="n">
        <x:f>MOD(ABS(SIN((A377+5)*12.9898+78.233)*43758.5453),1)</x:f>
        <x:v>0.6489770089829108</x:v>
      </x:c>
      <x:c r="G377" s="132" t="n">
        <x:f>IF(B377&lt;(('Assumptions'!$C$47-'Assumptions'!$B$47)/('Assumptions'!$D$47-'Assumptions'!$B$47)),'Assumptions'!$B$47+SQRT(B377*('Assumptions'!$D$47-'Assumptions'!$B$47)*('Assumptions'!$C$47-'Assumptions'!$B$47)),'Assumptions'!$D$47-SQRT((1-B377)*('Assumptions'!$D$47-'Assumptions'!$B$47)*('Assumptions'!$D$47-'Assumptions'!$C$47)))</x:f>
        <x:v>0.02330869818920643</x:v>
      </x:c>
      <x:c r="H377" s="132" t="n">
        <x:f>IF(C377&lt;(('Assumptions'!$C$48-'Assumptions'!$B$48)/('Assumptions'!$D$48-'Assumptions'!$B$48)),'Assumptions'!$B$48+SQRT(C377*('Assumptions'!$D$48-'Assumptions'!$B$48)*('Assumptions'!$C$48-'Assumptions'!$B$48)),'Assumptions'!$D$48-SQRT((1-C377)*('Assumptions'!$D$48-'Assumptions'!$B$48)*('Assumptions'!$D$48-'Assumptions'!$C$48)))</x:f>
        <x:v>0.0714221665353682</x:v>
      </x:c>
      <x:c r="I377" s="132" t="n">
        <x:f>IF(D377&lt;(('Assumptions'!$C$49-'Assumptions'!$B$49)/('Assumptions'!$D$49-'Assumptions'!$B$49)),'Assumptions'!$B$49+SQRT(D377*('Assumptions'!$D$49-'Assumptions'!$B$49)*('Assumptions'!$C$49-'Assumptions'!$B$49)),'Assumptions'!$D$49-SQRT((1-D377)*('Assumptions'!$D$49-'Assumptions'!$B$49)*('Assumptions'!$D$49-'Assumptions'!$C$49)))</x:f>
        <x:v>0.005060155262239775</x:v>
      </x:c>
      <x:c r="J377" s="132" t="n">
        <x:f>IF(E377&lt;(('Assumptions'!$C$50-'Assumptions'!$B$50)/('Assumptions'!$D$50-'Assumptions'!$B$50)),'Assumptions'!$B$50+SQRT(E377*('Assumptions'!$D$50-'Assumptions'!$B$50)*('Assumptions'!$C$50-'Assumptions'!$B$50)),'Assumptions'!$D$50-SQRT((1-E377)*('Assumptions'!$D$50-'Assumptions'!$B$50)*('Assumptions'!$D$50-'Assumptions'!$C$50)))</x:f>
        <x:v>0.060116360164873414</x:v>
      </x:c>
      <x:c r="K377" s="132" t="n">
        <x:f>IF(F377&lt;(('Assumptions'!$C$51-'Assumptions'!$B$51)/('Assumptions'!$D$51-'Assumptions'!$B$51)),'Assumptions'!$B$51+SQRT(F377*('Assumptions'!$D$51-'Assumptions'!$B$51)*('Assumptions'!$C$51-'Assumptions'!$B$51)),'Assumptions'!$D$51-SQRT((1-F377)*('Assumptions'!$D$51-'Assumptions'!$B$51)*('Assumptions'!$D$51-'Assumptions'!$C$51)))</x:f>
        <x:v>0.07200269972544397</x:v>
      </x:c>
      <x:c r="L377" s="133" t="n">
        <x:f>(('Assumptions'!$B$17*(1+G377)+'Assumptions'!$B$18)*(1-H377-'Assumptions'!$B$20)-SUM('Assumptions'!$B$21:$B$25)*(1+I377))-(('Assumptions'!$B$17*(1+G377)+'Assumptions'!$B$18)*(1-H377-'Assumptions'!$B$20)*'Assumptions'!$B$26)</x:f>
        <x:v>214095.5356085086</x:v>
      </x:c>
      <x:c r="M377" s="133" t="n">
        <x:f>'Assumptions'!$B$10*'Assumptions'!$B$33</x:f>
        <x:v>1950000</x:v>
      </x:c>
      <x:c r="N377" s="133" t="n">
        <x:f>-PMT(K377/12,'Assumptions'!$B$35*12,M377)*12</x:f>
        <x:v>158840.71759658164</x:v>
      </x:c>
      <x:c r="O377" s="133" t="n">
        <x:f>(L377*(1+'Assumptions'!$B$29)^('Assumptions'!$B$14/12)/J377)*(1-'Assumptions'!$B$42)-'Debt Schedule'!$F$9</x:f>
        <x:v>3880868.352362077</x:v>
      </x:c>
      <x:c r="P377" s="132" t="n">
        <x:f>((O377+(L377-N377-'Assumptions'!$B$27-'Assumptions'!$B$28)*('Assumptions'!$B$14/12))/ABS('Monthly Cash Flow'!$S$5))^(1/('Assumptions'!$B$14/12))-1</x:f>
        <x:v>0.25042004119660977</x:v>
      </x:c>
      <x:c r="Q377" s="133" t="n">
        <x:f>-ABS('Monthly Cash Flow'!$S$5)+((L377-N377-'Assumptions'!$B$27-'Assumptions'!$B$28)*(1-(1+'Assumptions'!$B$43)^-('Assumptions'!$B$14/12))/'Assumptions'!$B$43)+(O377/(1+'Assumptions'!$B$43)^('Assumptions'!$B$14/12))</x:f>
        <x:v>1173041.6742564102</x:v>
      </x:c>
    </x:row>
    <x:row r="378">
      <x:c r="A378" s="131" t="n">
        <x:f>371</x:f>
        <x:v>371</x:v>
      </x:c>
      <x:c r="B378" s="131" t="n">
        <x:f>MOD(ABS(SIN((A378+1)*12.9898+78.233)*43758.5453),1)</x:f>
        <x:v>0.4655773587837757</x:v>
      </x:c>
      <x:c r="C378" s="131" t="n">
        <x:f>MOD(ABS(SIN((A378+2)*12.9898+78.233)*43758.5453),1)</x:f>
        <x:v>0.11381615620484808</x:v>
      </x:c>
      <x:c r="D378" s="131" t="n">
        <x:f>MOD(ABS(SIN((A378+3)*12.9898+78.233)*43758.5453),1)</x:f>
        <x:v>0.03042373561038403</x:v>
      </x:c>
      <x:c r="E378" s="131" t="n">
        <x:f>MOD(ABS(SIN((A378+4)*12.9898+78.233)*43758.5453),1)</x:f>
        <x:v>0.6489770089829108</x:v>
      </x:c>
      <x:c r="F378" s="131" t="n">
        <x:f>MOD(ABS(SIN((A378+5)*12.9898+78.233)*43758.5453),1)</x:f>
        <x:v>0.23832115579716628</x:v>
      </x:c>
      <x:c r="G378" s="132" t="n">
        <x:f>IF(B378&lt;(('Assumptions'!$C$47-'Assumptions'!$B$47)/('Assumptions'!$D$47-'Assumptions'!$B$47)),'Assumptions'!$B$47+SQRT(B378*('Assumptions'!$D$47-'Assumptions'!$B$47)*('Assumptions'!$C$47-'Assumptions'!$B$47)),'Assumptions'!$D$47-SQRT((1-B378)*('Assumptions'!$D$47-'Assumptions'!$B$47)*('Assumptions'!$D$47-'Assumptions'!$C$47)))</x:f>
        <x:v>0.005706464375697565</x:v>
      </x:c>
      <x:c r="H378" s="132" t="n">
        <x:f>IF(C378&lt;(('Assumptions'!$C$48-'Assumptions'!$B$48)/('Assumptions'!$D$48-'Assumptions'!$B$48)),'Assumptions'!$B$48+SQRT(C378*('Assumptions'!$D$48-'Assumptions'!$B$48)*('Assumptions'!$C$48-'Assumptions'!$B$48)),'Assumptions'!$D$48-SQRT((1-C378)*('Assumptions'!$D$48-'Assumptions'!$B$48)*('Assumptions'!$D$48-'Assumptions'!$C$48)))</x:f>
        <x:v>0.049380230016075624</x:v>
      </x:c>
      <x:c r="I378" s="132" t="n">
        <x:f>IF(D378&lt;(('Assumptions'!$C$49-'Assumptions'!$B$49)/('Assumptions'!$D$49-'Assumptions'!$B$49)),'Assumptions'!$B$49+SQRT(D378*('Assumptions'!$D$49-'Assumptions'!$B$49)*('Assumptions'!$C$49-'Assumptions'!$B$49)),'Assumptions'!$D$49-SQRT((1-D378)*('Assumptions'!$D$49-'Assumptions'!$B$49)*('Assumptions'!$D$49-'Assumptions'!$C$49)))</x:f>
        <x:v>-0.011873325054159892</x:v>
      </x:c>
      <x:c r="J378" s="132" t="n">
        <x:f>IF(E378&lt;(('Assumptions'!$C$50-'Assumptions'!$B$50)/('Assumptions'!$D$50-'Assumptions'!$B$50)),'Assumptions'!$B$50+SQRT(E378*('Assumptions'!$D$50-'Assumptions'!$B$50)*('Assumptions'!$C$50-'Assumptions'!$B$50)),'Assumptions'!$D$50-SQRT((1-E378)*('Assumptions'!$D$50-'Assumptions'!$B$50)*('Assumptions'!$D$50-'Assumptions'!$C$50)))</x:f>
        <x:v>0.07006394362820156</x:v>
      </x:c>
      <x:c r="K378" s="132" t="n">
        <x:f>IF(F378&lt;(('Assumptions'!$C$51-'Assumptions'!$B$51)/('Assumptions'!$D$51-'Assumptions'!$B$51)),'Assumptions'!$B$51+SQRT(F378*('Assumptions'!$D$51-'Assumptions'!$B$51)*('Assumptions'!$C$51-'Assumptions'!$B$51)),'Assumptions'!$D$51-SQRT((1-F378)*('Assumptions'!$D$51-'Assumptions'!$B$51)*('Assumptions'!$D$51-'Assumptions'!$C$51)))</x:f>
        <x:v>0.06559557396632387</x:v>
      </x:c>
      <x:c r="L378" s="133" t="n">
        <x:f>(('Assumptions'!$B$17*(1+G378)+'Assumptions'!$B$18)*(1-H378-'Assumptions'!$B$20)-SUM('Assumptions'!$B$21:$B$25)*(1+I378))-(('Assumptions'!$B$17*(1+G378)+'Assumptions'!$B$18)*(1-H378-'Assumptions'!$B$20)*'Assumptions'!$B$26)</x:f>
        <x:v>218683.18821344484</x:v>
      </x:c>
      <x:c r="M378" s="133" t="n">
        <x:f>'Assumptions'!$B$10*'Assumptions'!$B$33</x:f>
        <x:v>1950000</x:v>
      </x:c>
      <x:c r="N378" s="133" t="n">
        <x:f>-PMT(K378/12,'Assumptions'!$B$35*12,M378)*12</x:f>
        <x:v>148821.63548509713</x:v>
      </x:c>
      <x:c r="O378" s="133" t="n">
        <x:f>(L378*(1+'Assumptions'!$B$29)^('Assumptions'!$B$14/12)/J378)*(1-'Assumptions'!$B$42)-'Debt Schedule'!$F$9</x:f>
        <x:v>3401220.559476577</x:v>
      </x:c>
      <x:c r="P378" s="132" t="n">
        <x:f>((O378+(L378-N378-'Assumptions'!$B$27-'Assumptions'!$B$28)*('Assumptions'!$B$14/12))/ABS('Monthly Cash Flow'!$S$5))^(1/('Assumptions'!$B$14/12))-1</x:f>
        <x:v>0.22359638528178127</x:v>
      </x:c>
      <x:c r="Q378" s="133" t="n">
        <x:f>-ABS('Monthly Cash Flow'!$S$5)+((L378-N378-'Assumptions'!$B$27-'Assumptions'!$B$28)*(1-(1+'Assumptions'!$B$43)^-('Assumptions'!$B$14/12))/'Assumptions'!$B$43)+(O378/(1+'Assumptions'!$B$43)^('Assumptions'!$B$14/12))</x:f>
        <x:v>930589.148802809</x:v>
      </x:c>
    </x:row>
    <x:row r="379">
      <x:c r="A379" s="131" t="n">
        <x:f>372</x:f>
        <x:v>372</x:v>
      </x:c>
      <x:c r="B379" s="131" t="n">
        <x:f>MOD(ABS(SIN((A379+1)*12.9898+78.233)*43758.5453),1)</x:f>
        <x:v>0.11381615620484808</x:v>
      </x:c>
      <x:c r="C379" s="131" t="n">
        <x:f>MOD(ABS(SIN((A379+2)*12.9898+78.233)*43758.5453),1)</x:f>
        <x:v>0.03042373561038403</x:v>
      </x:c>
      <x:c r="D379" s="131" t="n">
        <x:f>MOD(ABS(SIN((A379+3)*12.9898+78.233)*43758.5453),1)</x:f>
        <x:v>0.6489770089829108</x:v>
      </x:c>
      <x:c r="E379" s="131" t="n">
        <x:f>MOD(ABS(SIN((A379+4)*12.9898+78.233)*43758.5453),1)</x:f>
        <x:v>0.23832115579716628</x:v>
      </x:c>
      <x:c r="F379" s="131" t="n">
        <x:f>MOD(ABS(SIN((A379+5)*12.9898+78.233)*43758.5453),1)</x:f>
        <x:v>0.28340373688115506</x:v>
      </x:c>
      <x:c r="G379" s="132" t="n">
        <x:f>IF(B379&lt;(('Assumptions'!$C$47-'Assumptions'!$B$47)/('Assumptions'!$D$47-'Assumptions'!$B$47)),'Assumptions'!$B$47+SQRT(B379*('Assumptions'!$D$47-'Assumptions'!$B$47)*('Assumptions'!$C$47-'Assumptions'!$B$47)),'Assumptions'!$D$47-SQRT((1-B379)*('Assumptions'!$D$47-'Assumptions'!$B$47)*('Assumptions'!$D$47-'Assumptions'!$C$47)))</x:f>
        <x:v>-0.04773540635462327</x:v>
      </x:c>
      <x:c r="H379" s="132" t="n">
        <x:f>IF(C379&lt;(('Assumptions'!$C$48-'Assumptions'!$B$48)/('Assumptions'!$D$48-'Assumptions'!$B$48)),'Assumptions'!$B$48+SQRT(C379*('Assumptions'!$D$48-'Assumptions'!$B$48)*('Assumptions'!$C$48-'Assumptions'!$B$48)),'Assumptions'!$D$48-SQRT((1-C379)*('Assumptions'!$D$48-'Assumptions'!$B$48)*('Assumptions'!$D$48-'Assumptions'!$C$48)))</x:f>
        <x:v>0.040019896582014575</x:v>
      </x:c>
      <x:c r="I379" s="132" t="n">
        <x:f>IF(D379&lt;(('Assumptions'!$C$49-'Assumptions'!$B$49)/('Assumptions'!$D$49-'Assumptions'!$B$49)),'Assumptions'!$B$49+SQRT(D379*('Assumptions'!$D$49-'Assumptions'!$B$49)*('Assumptions'!$C$49-'Assumptions'!$B$49)),'Assumptions'!$D$49-SQRT((1-D379)*('Assumptions'!$D$49-'Assumptions'!$B$49)*('Assumptions'!$D$49-'Assumptions'!$C$49)))</x:f>
        <x:v>0.06292476468036892</x:v>
      </x:c>
      <x:c r="J379" s="132" t="n">
        <x:f>IF(E379&lt;(('Assumptions'!$C$50-'Assumptions'!$B$50)/('Assumptions'!$D$50-'Assumptions'!$B$50)),'Assumptions'!$B$50+SQRT(E379*('Assumptions'!$D$50-'Assumptions'!$B$50)*('Assumptions'!$C$50-'Assumptions'!$B$50)),'Assumptions'!$D$50-SQRT((1-E379)*('Assumptions'!$D$50-'Assumptions'!$B$50)*('Assumptions'!$D$50-'Assumptions'!$C$50)))</x:f>
        <x:v>0.06482272217514515</x:v>
      </x:c>
      <x:c r="K379" s="132" t="n">
        <x:f>IF(F379&lt;(('Assumptions'!$C$51-'Assumptions'!$B$51)/('Assumptions'!$D$51-'Assumptions'!$B$51)),'Assumptions'!$B$51+SQRT(F379*('Assumptions'!$D$51-'Assumptions'!$B$51)*('Assumptions'!$C$51-'Assumptions'!$B$51)),'Assumptions'!$D$51-SQRT((1-F379)*('Assumptions'!$D$51-'Assumptions'!$B$51)*('Assumptions'!$D$51-'Assumptions'!$C$51)))</x:f>
        <x:v>0.06632813840185561</x:v>
      </x:c>
      <x:c r="L379" s="133" t="n">
        <x:f>(('Assumptions'!$B$17*(1+G379)+'Assumptions'!$B$18)*(1-H379-'Assumptions'!$B$20)-SUM('Assumptions'!$B$21:$B$25)*(1+I379))-(('Assumptions'!$B$17*(1+G379)+'Assumptions'!$B$18)*(1-H379-'Assumptions'!$B$20)*'Assumptions'!$B$26)</x:f>
        <x:v>195128.09920524748</x:v>
      </x:c>
      <x:c r="M379" s="133" t="n">
        <x:f>'Assumptions'!$B$10*'Assumptions'!$B$33</x:f>
        <x:v>1950000</x:v>
      </x:c>
      <x:c r="N379" s="133" t="n">
        <x:f>-PMT(K379/12,'Assumptions'!$B$35*12,M379)*12</x:f>
        <x:v>149953.683488522</x:v>
      </x:c>
      <x:c r="O379" s="133" t="n">
        <x:f>(L379*(1+'Assumptions'!$B$29)^('Assumptions'!$B$14/12)/J379)*(1-'Assumptions'!$B$42)-'Debt Schedule'!$F$9</x:f>
        <x:v>3280246.843182513</x:v>
      </x:c>
      <x:c r="P379" s="132" t="n">
        <x:f>((O379+(L379-N379-'Assumptions'!$B$27-'Assumptions'!$B$28)*('Assumptions'!$B$14/12))/ABS('Monthly Cash Flow'!$S$5))^(1/('Assumptions'!$B$14/12))-1</x:f>
        <x:v>0.2062665454445518</x:v>
      </x:c>
      <x:c r="Q379" s="133" t="n">
        <x:f>-ABS('Monthly Cash Flow'!$S$5)+((L379-N379-'Assumptions'!$B$27-'Assumptions'!$B$28)*(1-(1+'Assumptions'!$B$43)^-('Assumptions'!$B$14/12))/'Assumptions'!$B$43)+(O379/(1+'Assumptions'!$B$43)^('Assumptions'!$B$14/12))</x:f>
        <x:v>761890.3164678847</x:v>
      </x:c>
    </x:row>
    <x:row r="380">
      <x:c r="A380" s="131" t="n">
        <x:f>373</x:f>
        <x:v>373</x:v>
      </x:c>
      <x:c r="B380" s="131" t="n">
        <x:f>MOD(ABS(SIN((A380+1)*12.9898+78.233)*43758.5453),1)</x:f>
        <x:v>0.03042373561038403</x:v>
      </x:c>
      <x:c r="C380" s="131" t="n">
        <x:f>MOD(ABS(SIN((A380+2)*12.9898+78.233)*43758.5453),1)</x:f>
        <x:v>0.6489770089829108</x:v>
      </x:c>
      <x:c r="D380" s="131" t="n">
        <x:f>MOD(ABS(SIN((A380+3)*12.9898+78.233)*43758.5453),1)</x:f>
        <x:v>0.23832115579716628</x:v>
      </x:c>
      <x:c r="E380" s="131" t="n">
        <x:f>MOD(ABS(SIN((A380+4)*12.9898+78.233)*43758.5453),1)</x:f>
        <x:v>0.28340373688115506</x:v>
      </x:c>
      <x:c r="F380" s="131" t="n">
        <x:f>MOD(ABS(SIN((A380+5)*12.9898+78.233)*43758.5453),1)</x:f>
        <x:v>0.2611424442511634</x:v>
      </x:c>
      <x:c r="G380" s="132" t="n">
        <x:f>IF(B380&lt;(('Assumptions'!$C$47-'Assumptions'!$B$47)/('Assumptions'!$D$47-'Assumptions'!$B$47)),'Assumptions'!$B$47+SQRT(B380*('Assumptions'!$D$47-'Assumptions'!$B$47)*('Assumptions'!$C$47-'Assumptions'!$B$47)),'Assumptions'!$D$47-SQRT((1-B380)*('Assumptions'!$D$47-'Assumptions'!$B$47)*('Assumptions'!$D$47-'Assumptions'!$C$47)))</x:f>
        <x:v>-0.07297834841003947</x:v>
      </x:c>
      <x:c r="H380" s="132" t="n">
        <x:f>IF(C380&lt;(('Assumptions'!$C$48-'Assumptions'!$B$48)/('Assumptions'!$D$48-'Assumptions'!$B$48)),'Assumptions'!$B$48+SQRT(C380*('Assumptions'!$D$48-'Assumptions'!$B$48)*('Assumptions'!$C$48-'Assumptions'!$B$48)),'Assumptions'!$D$48-SQRT((1-C380)*('Assumptions'!$D$48-'Assumptions'!$B$48)*('Assumptions'!$D$48-'Assumptions'!$C$48)))</x:f>
        <x:v>0.08442120619381538</x:v>
      </x:c>
      <x:c r="I380" s="132" t="n">
        <x:f>IF(D380&lt;(('Assumptions'!$C$49-'Assumptions'!$B$49)/('Assumptions'!$D$49-'Assumptions'!$B$49)),'Assumptions'!$B$49+SQRT(D380*('Assumptions'!$D$49-'Assumptions'!$B$49)*('Assumptions'!$C$49-'Assumptions'!$B$49)),'Assumptions'!$D$49-SQRT((1-D380)*('Assumptions'!$D$49-'Assumptions'!$B$49)*('Assumptions'!$D$49-'Assumptions'!$C$49)))</x:f>
        <x:v>0.020733307428250677</x:v>
      </x:c>
      <x:c r="J380" s="132" t="n">
        <x:f>IF(E380&lt;(('Assumptions'!$C$50-'Assumptions'!$B$50)/('Assumptions'!$D$50-'Assumptions'!$B$50)),'Assumptions'!$B$50+SQRT(E380*('Assumptions'!$D$50-'Assumptions'!$B$50)*('Assumptions'!$C$50-'Assumptions'!$B$50)),'Assumptions'!$D$50-SQRT((1-E380)*('Assumptions'!$D$50-'Assumptions'!$B$50)*('Assumptions'!$D$50-'Assumptions'!$C$50)))</x:f>
        <x:v>0.06548535163898622</x:v>
      </x:c>
      <x:c r="K380" s="132" t="n">
        <x:f>IF(F380&lt;(('Assumptions'!$C$51-'Assumptions'!$B$51)/('Assumptions'!$D$51-'Assumptions'!$B$51)),'Assumptions'!$B$51+SQRT(F380*('Assumptions'!$D$51-'Assumptions'!$B$51)*('Assumptions'!$C$51-'Assumptions'!$B$51)),'Assumptions'!$D$51-SQRT((1-F380)*('Assumptions'!$D$51-'Assumptions'!$B$51)*('Assumptions'!$D$51-'Assumptions'!$C$51)))</x:f>
        <x:v>0.06597432428982217</x:v>
      </x:c>
      <x:c r="L380" s="133" t="n">
        <x:f>(('Assumptions'!$B$17*(1+G380)+'Assumptions'!$B$18)*(1-H380-'Assumptions'!$B$20)-SUM('Assumptions'!$B$21:$B$25)*(1+I380))-(('Assumptions'!$B$17*(1+G380)+'Assumptions'!$B$18)*(1-H380-'Assumptions'!$B$20)*'Assumptions'!$B$26)</x:f>
        <x:v>177164.14594273217</x:v>
      </x:c>
      <x:c r="M380" s="133" t="n">
        <x:f>'Assumptions'!$B$10*'Assumptions'!$B$33</x:f>
        <x:v>1950000</x:v>
      </x:c>
      <x:c r="N380" s="133" t="n">
        <x:f>-PMT(K380/12,'Assumptions'!$B$35*12,M380)*12</x:f>
        <x:v>149406.48181946552</x:v>
      </x:c>
      <x:c r="O380" s="133" t="n">
        <x:f>(L380*(1+'Assumptions'!$B$29)^('Assumptions'!$B$14/12)/J380)*(1-'Assumptions'!$B$42)-'Debt Schedule'!$F$9</x:f>
        <x:v>2948123.334116146</x:v>
      </x:c>
      <x:c r="P380" s="132" t="n">
        <x:f>((O380+(L380-N380-'Assumptions'!$B$27-'Assumptions'!$B$28)*('Assumptions'!$B$14/12))/ABS('Monthly Cash Flow'!$S$5))^(1/('Assumptions'!$B$14/12))-1</x:f>
        <x:v>0.1739951095749046</x:v>
      </x:c>
      <x:c r="Q380" s="133" t="n">
        <x:f>-ABS('Monthly Cash Flow'!$S$5)+((L380-N380-'Assumptions'!$B$27-'Assumptions'!$B$28)*(1-(1+'Assumptions'!$B$43)^-('Assumptions'!$B$14/12))/'Assumptions'!$B$43)+(O380/(1+'Assumptions'!$B$43)^('Assumptions'!$B$14/12))</x:f>
        <x:v>489644.5562927893</x:v>
      </x:c>
    </x:row>
    <x:row r="381">
      <x:c r="A381" s="131" t="n">
        <x:f>374</x:f>
        <x:v>374</x:v>
      </x:c>
      <x:c r="B381" s="131" t="n">
        <x:f>MOD(ABS(SIN((A381+1)*12.9898+78.233)*43758.5453),1)</x:f>
        <x:v>0.6489770089829108</x:v>
      </x:c>
      <x:c r="C381" s="131" t="n">
        <x:f>MOD(ABS(SIN((A381+2)*12.9898+78.233)*43758.5453),1)</x:f>
        <x:v>0.23832115579716628</x:v>
      </x:c>
      <x:c r="D381" s="131" t="n">
        <x:f>MOD(ABS(SIN((A381+3)*12.9898+78.233)*43758.5453),1)</x:f>
        <x:v>0.28340373688115506</x:v>
      </x:c>
      <x:c r="E381" s="131" t="n">
        <x:f>MOD(ABS(SIN((A381+4)*12.9898+78.233)*43758.5453),1)</x:f>
        <x:v>0.2611424442511634</x:v>
      </x:c>
      <x:c r="F381" s="131" t="n">
        <x:f>MOD(ABS(SIN((A381+5)*12.9898+78.233)*43758.5453),1)</x:f>
        <x:v>0.9133958907823398</x:v>
      </x:c>
      <x:c r="G381" s="132" t="n">
        <x:f>IF(B381&lt;(('Assumptions'!$C$47-'Assumptions'!$B$47)/('Assumptions'!$D$47-'Assumptions'!$B$47)),'Assumptions'!$B$47+SQRT(B381*('Assumptions'!$D$47-'Assumptions'!$B$47)*('Assumptions'!$C$47-'Assumptions'!$B$47)),'Assumptions'!$D$47-SQRT((1-B381)*('Assumptions'!$D$47-'Assumptions'!$B$47)*('Assumptions'!$D$47-'Assumptions'!$C$47)))</x:f>
        <x:v>0.025057569719994885</x:v>
      </x:c>
      <x:c r="H381" s="132" t="n">
        <x:f>IF(C381&lt;(('Assumptions'!$C$48-'Assumptions'!$B$48)/('Assumptions'!$D$48-'Assumptions'!$B$48)),'Assumptions'!$B$48+SQRT(C381*('Assumptions'!$D$48-'Assumptions'!$B$48)*('Assumptions'!$C$48-'Assumptions'!$B$48)),'Assumptions'!$D$48-SQRT((1-C381)*('Assumptions'!$D$48-'Assumptions'!$B$48)*('Assumptions'!$D$48-'Assumptions'!$C$48)))</x:f>
        <x:v>0.058043890852209665</x:v>
      </x:c>
      <x:c r="I381" s="132" t="n">
        <x:f>IF(D381&lt;(('Assumptions'!$C$49-'Assumptions'!$B$49)/('Assumptions'!$D$49-'Assumptions'!$B$49)),'Assumptions'!$B$49+SQRT(D381*('Assumptions'!$D$49-'Assumptions'!$B$49)*('Assumptions'!$C$49-'Assumptions'!$B$49)),'Assumptions'!$D$49-SQRT((1-D381)*('Assumptions'!$D$49-'Assumptions'!$B$49)*('Assumptions'!$D$49-'Assumptions'!$C$49)))</x:f>
        <x:v>0.025324139020110145</x:v>
      </x:c>
      <x:c r="J381" s="132" t="n">
        <x:f>IF(E381&lt;(('Assumptions'!$C$50-'Assumptions'!$B$50)/('Assumptions'!$D$50-'Assumptions'!$B$50)),'Assumptions'!$B$50+SQRT(E381*('Assumptions'!$D$50-'Assumptions'!$B$50)*('Assumptions'!$C$50-'Assumptions'!$B$50)),'Assumptions'!$D$50-SQRT((1-E381)*('Assumptions'!$D$50-'Assumptions'!$B$50)*('Assumptions'!$D$50-'Assumptions'!$C$50)))</x:f>
        <x:v>0.06516531473303686</x:v>
      </x:c>
      <x:c r="K381" s="132" t="n">
        <x:f>IF(F381&lt;(('Assumptions'!$C$51-'Assumptions'!$B$51)/('Assumptions'!$D$51-'Assumptions'!$B$51)),'Assumptions'!$B$51+SQRT(F381*('Assumptions'!$D$51-'Assumptions'!$B$51)*('Assumptions'!$C$51-'Assumptions'!$B$51)),'Assumptions'!$D$51-SQRT((1-F381)*('Assumptions'!$D$51-'Assumptions'!$B$51)*('Assumptions'!$D$51-'Assumptions'!$C$51)))</x:f>
        <x:v>0.07854413231540493</x:v>
      </x:c>
      <x:c r="L381" s="133" t="n">
        <x:f>(('Assumptions'!$B$17*(1+G381)+'Assumptions'!$B$18)*(1-H381-'Assumptions'!$B$20)-SUM('Assumptions'!$B$21:$B$25)*(1+I381))-(('Assumptions'!$B$17*(1+G381)+'Assumptions'!$B$18)*(1-H381-'Assumptions'!$B$20)*'Assumptions'!$B$26)</x:f>
        <x:v>217068.03444155125</x:v>
      </x:c>
      <x:c r="M381" s="133" t="n">
        <x:f>'Assumptions'!$B$10*'Assumptions'!$B$33</x:f>
        <x:v>1950000</x:v>
      </x:c>
      <x:c r="N381" s="133" t="n">
        <x:f>-PMT(K381/12,'Assumptions'!$B$35*12,M381)*12</x:f>
        <x:v>169331.98889984473</x:v>
      </x:c>
      <x:c r="O381" s="133" t="n">
        <x:f>(L381*(1+'Assumptions'!$B$29)^('Assumptions'!$B$14/12)/J381)*(1-'Assumptions'!$B$42)-'Debt Schedule'!$F$9</x:f>
        <x:v>3629889.0748115843</x:v>
      </x:c>
      <x:c r="P381" s="132" t="n">
        <x:f>((O381+(L381-N381-'Assumptions'!$B$27-'Assumptions'!$B$28)*('Assumptions'!$B$14/12))/ABS('Monthly Cash Flow'!$S$5))^(1/('Assumptions'!$B$14/12))-1</x:f>
        <x:v>0.2316262443663446</x:v>
      </x:c>
      <x:c r="Q381" s="133" t="n">
        <x:f>-ABS('Monthly Cash Flow'!$S$5)+((L381-N381-'Assumptions'!$B$27-'Assumptions'!$B$28)*(1-(1+'Assumptions'!$B$43)^-('Assumptions'!$B$14/12))/'Assumptions'!$B$43)+(O381/(1+'Assumptions'!$B$43)^('Assumptions'!$B$14/12))</x:f>
        <x:v>988701.2259770231</x:v>
      </x:c>
    </x:row>
    <x:row r="382">
      <x:c r="A382" s="131" t="n">
        <x:f>375</x:f>
        <x:v>375</x:v>
      </x:c>
      <x:c r="B382" s="131" t="n">
        <x:f>MOD(ABS(SIN((A382+1)*12.9898+78.233)*43758.5453),1)</x:f>
        <x:v>0.23832115579716628</x:v>
      </x:c>
      <x:c r="C382" s="131" t="n">
        <x:f>MOD(ABS(SIN((A382+2)*12.9898+78.233)*43758.5453),1)</x:f>
        <x:v>0.28340373688115506</x:v>
      </x:c>
      <x:c r="D382" s="131" t="n">
        <x:f>MOD(ABS(SIN((A382+3)*12.9898+78.233)*43758.5453),1)</x:f>
        <x:v>0.2611424442511634</x:v>
      </x:c>
      <x:c r="E382" s="131" t="n">
        <x:f>MOD(ABS(SIN((A382+4)*12.9898+78.233)*43758.5453),1)</x:f>
        <x:v>0.9133958907823398</x:v>
      </x:c>
      <x:c r="F382" s="131" t="n">
        <x:f>MOD(ABS(SIN((A382+5)*12.9898+78.233)*43758.5453),1)</x:f>
        <x:v>0.6373735134093295</x:v>
      </x:c>
      <x:c r="G382" s="132" t="n">
        <x:f>IF(B382&lt;(('Assumptions'!$C$47-'Assumptions'!$B$47)/('Assumptions'!$D$47-'Assumptions'!$B$47)),'Assumptions'!$B$47+SQRT(B382*('Assumptions'!$D$47-'Assumptions'!$B$47)*('Assumptions'!$C$47-'Assumptions'!$B$47)),'Assumptions'!$D$47-SQRT((1-B382)*('Assumptions'!$D$47-'Assumptions'!$B$47)*('Assumptions'!$D$47-'Assumptions'!$C$47)))</x:f>
        <x:v>-0.024371250578024292</x:v>
      </x:c>
      <x:c r="H382" s="132" t="n">
        <x:f>IF(C382&lt;(('Assumptions'!$C$48-'Assumptions'!$B$48)/('Assumptions'!$D$48-'Assumptions'!$B$48)),'Assumptions'!$B$48+SQRT(C382*('Assumptions'!$D$48-'Assumptions'!$B$48)*('Assumptions'!$C$48-'Assumptions'!$B$48)),'Assumptions'!$D$48-SQRT((1-C382)*('Assumptions'!$D$48-'Assumptions'!$B$48)*('Assumptions'!$D$48-'Assumptions'!$C$48)))</x:f>
        <x:v>0.060589376558008085</x:v>
      </x:c>
      <x:c r="I382" s="132" t="n">
        <x:f>IF(D382&lt;(('Assumptions'!$C$49-'Assumptions'!$B$49)/('Assumptions'!$D$49-'Assumptions'!$B$49)),'Assumptions'!$B$49+SQRT(D382*('Assumptions'!$D$49-'Assumptions'!$B$49)*('Assumptions'!$C$49-'Assumptions'!$B$49)),'Assumptions'!$D$49-SQRT((1-D382)*('Assumptions'!$D$49-'Assumptions'!$B$49)*('Assumptions'!$D$49-'Assumptions'!$C$49)))</x:f>
        <x:v>0.02310685829450434</x:v>
      </x:c>
      <x:c r="J382" s="132" t="n">
        <x:f>IF(E382&lt;(('Assumptions'!$C$50-'Assumptions'!$B$50)/('Assumptions'!$D$50-'Assumptions'!$B$50)),'Assumptions'!$B$50+SQRT(E382*('Assumptions'!$D$50-'Assumptions'!$B$50)*('Assumptions'!$C$50-'Assumptions'!$B$50)),'Assumptions'!$D$50-SQRT((1-E382)*('Assumptions'!$D$50-'Assumptions'!$B$50)*('Assumptions'!$D$50-'Assumptions'!$C$50)))</x:f>
        <x:v>0.07506467774937979</x:v>
      </x:c>
      <x:c r="K382" s="132" t="n">
        <x:f>IF(F382&lt;(('Assumptions'!$C$51-'Assumptions'!$B$51)/('Assumptions'!$D$51-'Assumptions'!$B$51)),'Assumptions'!$B$51+SQRT(F382*('Assumptions'!$D$51-'Assumptions'!$B$51)*('Assumptions'!$C$51-'Assumptions'!$B$51)),'Assumptions'!$D$51-SQRT((1-F382)*('Assumptions'!$D$51-'Assumptions'!$B$51)*('Assumptions'!$D$51-'Assumptions'!$C$51)))</x:f>
        <x:v>0.071789625415161</x:v>
      </x:c>
      <x:c r="L382" s="133" t="n">
        <x:f>(('Assumptions'!$B$17*(1+G382)+'Assumptions'!$B$18)*(1-H382-'Assumptions'!$B$20)-SUM('Assumptions'!$B$21:$B$25)*(1+I382))-(('Assumptions'!$B$17*(1+G382)+'Assumptions'!$B$18)*(1-H382-'Assumptions'!$B$20)*'Assumptions'!$B$26)</x:f>
        <x:v>200524.91212815122</x:v>
      </x:c>
      <x:c r="M382" s="133" t="n">
        <x:f>'Assumptions'!$B$10*'Assumptions'!$B$33</x:f>
        <x:v>1950000</x:v>
      </x:c>
      <x:c r="N382" s="133" t="n">
        <x:f>-PMT(K382/12,'Assumptions'!$B$35*12,M382)*12</x:f>
        <x:v>158503.3297678146</x:v>
      </x:c>
      <x:c r="O382" s="133" t="n">
        <x:f>(L382*(1+'Assumptions'!$B$29)^('Assumptions'!$B$14/12)/J382)*(1-'Assumptions'!$B$42)-'Debt Schedule'!$F$9</x:f>
        <x:v>2911030.0412948844</x:v>
      </x:c>
      <x:c r="P382" s="132" t="n">
        <x:f>((O382+(L382-N382-'Assumptions'!$B$27-'Assumptions'!$B$28)*('Assumptions'!$B$14/12))/ABS('Monthly Cash Flow'!$S$5))^(1/('Assumptions'!$B$14/12))-1</x:f>
        <x:v>0.17676570350934284</x:v>
      </x:c>
      <x:c r="Q382" s="133" t="n">
        <x:f>-ABS('Monthly Cash Flow'!$S$5)+((L382-N382-'Assumptions'!$B$27-'Assumptions'!$B$28)*(1-(1+'Assumptions'!$B$43)^-('Assumptions'!$B$14/12))/'Assumptions'!$B$43)+(O382/(1+'Assumptions'!$B$43)^('Assumptions'!$B$14/12))</x:f>
        <x:v>520684.01237059967</x:v>
      </x:c>
    </x:row>
    <x:row r="383">
      <x:c r="A383" s="131" t="n">
        <x:f>376</x:f>
        <x:v>376</x:v>
      </x:c>
      <x:c r="B383" s="131" t="n">
        <x:f>MOD(ABS(SIN((A383+1)*12.9898+78.233)*43758.5453),1)</x:f>
        <x:v>0.28340373688115506</x:v>
      </x:c>
      <x:c r="C383" s="131" t="n">
        <x:f>MOD(ABS(SIN((A383+2)*12.9898+78.233)*43758.5453),1)</x:f>
        <x:v>0.2611424442511634</x:v>
      </x:c>
      <x:c r="D383" s="131" t="n">
        <x:f>MOD(ABS(SIN((A383+3)*12.9898+78.233)*43758.5453),1)</x:f>
        <x:v>0.9133958907823398</x:v>
      </x:c>
      <x:c r="E383" s="131" t="n">
        <x:f>MOD(ABS(SIN((A383+4)*12.9898+78.233)*43758.5453),1)</x:f>
        <x:v>0.6373735134093295</x:v>
      </x:c>
      <x:c r="F383" s="131" t="n">
        <x:f>MOD(ABS(SIN((A383+5)*12.9898+78.233)*43758.5453),1)</x:f>
        <x:v>0.3500071189519076</x:v>
      </x:c>
      <x:c r="G383" s="132" t="n">
        <x:f>IF(B383&lt;(('Assumptions'!$C$47-'Assumptions'!$B$47)/('Assumptions'!$D$47-'Assumptions'!$B$47)),'Assumptions'!$B$47+SQRT(B383*('Assumptions'!$D$47-'Assumptions'!$B$47)*('Assumptions'!$C$47-'Assumptions'!$B$47)),'Assumptions'!$D$47-SQRT((1-B383)*('Assumptions'!$D$47-'Assumptions'!$B$47)*('Assumptions'!$D$47-'Assumptions'!$C$47)))</x:f>
        <x:v>-0.0175276429029234</x:v>
      </x:c>
      <x:c r="H383" s="132" t="n">
        <x:f>IF(C383&lt;(('Assumptions'!$C$48-'Assumptions'!$B$48)/('Assumptions'!$D$48-'Assumptions'!$B$48)),'Assumptions'!$B$48+SQRT(C383*('Assumptions'!$D$48-'Assumptions'!$B$48)*('Assumptions'!$C$48-'Assumptions'!$B$48)),'Assumptions'!$D$48-SQRT((1-C383)*('Assumptions'!$D$48-'Assumptions'!$B$48)*('Assumptions'!$D$48-'Assumptions'!$C$48)))</x:f>
        <x:v>0.059355920459574066</x:v>
      </x:c>
      <x:c r="I383" s="132" t="n">
        <x:f>IF(D383&lt;(('Assumptions'!$C$49-'Assumptions'!$B$49)/('Assumptions'!$D$49-'Assumptions'!$B$49)),'Assumptions'!$B$49+SQRT(D383*('Assumptions'!$D$49-'Assumptions'!$B$49)*('Assumptions'!$C$49-'Assumptions'!$B$49)),'Assumptions'!$D$49-SQRT((1-D383)*('Assumptions'!$D$49-'Assumptions'!$B$49)*('Assumptions'!$D$49-'Assumptions'!$C$49)))</x:f>
        <x:v>0.10674900279645036</x:v>
      </x:c>
      <x:c r="J383" s="132" t="n">
        <x:f>IF(E383&lt;(('Assumptions'!$C$50-'Assumptions'!$B$50)/('Assumptions'!$D$50-'Assumptions'!$B$50)),'Assumptions'!$B$50+SQRT(E383*('Assumptions'!$D$50-'Assumptions'!$B$50)*('Assumptions'!$C$50-'Assumptions'!$B$50)),'Assumptions'!$D$50-SQRT((1-E383)*('Assumptions'!$D$50-'Assumptions'!$B$50)*('Assumptions'!$D$50-'Assumptions'!$C$50)))</x:f>
        <x:v>0.06990105454249673</x:v>
      </x:c>
      <x:c r="K383" s="132" t="n">
        <x:f>IF(F383&lt;(('Assumptions'!$C$51-'Assumptions'!$B$51)/('Assumptions'!$D$51-'Assumptions'!$B$51)),'Assumptions'!$B$51+SQRT(F383*('Assumptions'!$D$51-'Assumptions'!$B$51)*('Assumptions'!$C$51-'Assumptions'!$B$51)),'Assumptions'!$D$51-SQRT((1-F383)*('Assumptions'!$D$51-'Assumptions'!$B$51)*('Assumptions'!$D$51-'Assumptions'!$C$51)))</x:f>
        <x:v>0.0673108082088977</x:v>
      </x:c>
      <x:c r="L383" s="133" t="n">
        <x:f>(('Assumptions'!$B$17*(1+G383)+'Assumptions'!$B$18)*(1-H383-'Assumptions'!$B$20)-SUM('Assumptions'!$B$21:$B$25)*(1+I383))-(('Assumptions'!$B$17*(1+G383)+'Assumptions'!$B$18)*(1-H383-'Assumptions'!$B$20)*'Assumptions'!$B$26)</x:f>
        <x:v>192624.32303493246</x:v>
      </x:c>
      <x:c r="M383" s="133" t="n">
        <x:f>'Assumptions'!$B$10*'Assumptions'!$B$33</x:f>
        <x:v>1950000</x:v>
      </x:c>
      <x:c r="N383" s="133" t="n">
        <x:f>-PMT(K383/12,'Assumptions'!$B$35*12,M383)*12</x:f>
        <x:v>151477.79307039522</x:v>
      </x:c>
      <x:c r="O383" s="133" t="n">
        <x:f>(L383*(1+'Assumptions'!$B$29)^('Assumptions'!$B$14/12)/J383)*(1-'Assumptions'!$B$42)-'Debt Schedule'!$F$9</x:f>
        <x:v>3002903.491533633</x:v>
      </x:c>
      <x:c r="P383" s="132" t="n">
        <x:f>((O383+(L383-N383-'Assumptions'!$B$27-'Assumptions'!$B$28)*('Assumptions'!$B$14/12))/ABS('Monthly Cash Flow'!$S$5))^(1/('Assumptions'!$B$14/12))-1</x:f>
        <x:v>0.18373236677628024</x:v>
      </x:c>
      <x:c r="Q383" s="133" t="n">
        <x:f>-ABS('Monthly Cash Flow'!$S$5)+((L383-N383-'Assumptions'!$B$27-'Assumptions'!$B$28)*(1-(1+'Assumptions'!$B$43)^-('Assumptions'!$B$14/12))/'Assumptions'!$B$43)+(O383/(1+'Assumptions'!$B$43)^('Assumptions'!$B$14/12))</x:f>
        <x:v>574413.0596023174</x:v>
      </x:c>
    </x:row>
    <x:row r="384">
      <x:c r="A384" s="131" t="n">
        <x:f>377</x:f>
        <x:v>377</x:v>
      </x:c>
      <x:c r="B384" s="131" t="n">
        <x:f>MOD(ABS(SIN((A384+1)*12.9898+78.233)*43758.5453),1)</x:f>
        <x:v>0.2611424442511634</x:v>
      </x:c>
      <x:c r="C384" s="131" t="n">
        <x:f>MOD(ABS(SIN((A384+2)*12.9898+78.233)*43758.5453),1)</x:f>
        <x:v>0.9133958907823398</x:v>
      </x:c>
      <x:c r="D384" s="131" t="n">
        <x:f>MOD(ABS(SIN((A384+3)*12.9898+78.233)*43758.5453),1)</x:f>
        <x:v>0.6373735134093295</x:v>
      </x:c>
      <x:c r="E384" s="131" t="n">
        <x:f>MOD(ABS(SIN((A384+4)*12.9898+78.233)*43758.5453),1)</x:f>
        <x:v>0.3500071189519076</x:v>
      </x:c>
      <x:c r="F384" s="131" t="n">
        <x:f>MOD(ABS(SIN((A384+5)*12.9898+78.233)*43758.5453),1)</x:f>
        <x:v>0.3697499193949625</x:v>
      </x:c>
      <x:c r="G384" s="132" t="n">
        <x:f>IF(B384&lt;(('Assumptions'!$C$47-'Assumptions'!$B$47)/('Assumptions'!$D$47-'Assumptions'!$B$47)),'Assumptions'!$B$47+SQRT(B384*('Assumptions'!$D$47-'Assumptions'!$B$47)*('Assumptions'!$C$47-'Assumptions'!$B$47)),'Assumptions'!$D$47-SQRT((1-B384)*('Assumptions'!$D$47-'Assumptions'!$B$47)*('Assumptions'!$D$47-'Assumptions'!$C$47)))</x:f>
        <x:v>-0.020832969854693156</x:v>
      </x:c>
      <x:c r="H384" s="132" t="n">
        <x:f>IF(C384&lt;(('Assumptions'!$C$48-'Assumptions'!$B$48)/('Assumptions'!$D$48-'Assumptions'!$B$48)),'Assumptions'!$B$48+SQRT(C384*('Assumptions'!$D$48-'Assumptions'!$B$48)*('Assumptions'!$C$48-'Assumptions'!$B$48)),'Assumptions'!$D$48-SQRT((1-C384)*('Assumptions'!$D$48-'Assumptions'!$B$48)*('Assumptions'!$D$48-'Assumptions'!$C$48)))</x:f>
        <x:v>0.11239354855988534</x:v>
      </x:c>
      <x:c r="I384" s="132" t="n">
        <x:f>IF(D384&lt;(('Assumptions'!$C$49-'Assumptions'!$B$49)/('Assumptions'!$D$49-'Assumptions'!$B$49)),'Assumptions'!$B$49+SQRT(D384*('Assumptions'!$D$49-'Assumptions'!$B$49)*('Assumptions'!$C$49-'Assumptions'!$B$49)),'Assumptions'!$D$49-SQRT((1-D384)*('Assumptions'!$D$49-'Assumptions'!$B$49)*('Assumptions'!$D$49-'Assumptions'!$C$49)))</x:f>
        <x:v>0.061497276254578</x:v>
      </x:c>
      <x:c r="J384" s="132" t="n">
        <x:f>IF(E384&lt;(('Assumptions'!$C$50-'Assumptions'!$B$50)/('Assumptions'!$D$50-'Assumptions'!$B$50)),'Assumptions'!$B$50+SQRT(E384*('Assumptions'!$D$50-'Assumptions'!$B$50)*('Assumptions'!$C$50-'Assumptions'!$B$50)),'Assumptions'!$D$50-SQRT((1-E384)*('Assumptions'!$D$50-'Assumptions'!$B$50)*('Assumptions'!$D$50-'Assumptions'!$C$50)))</x:f>
        <x:v>0.06637420992337792</x:v>
      </x:c>
      <x:c r="K384" s="132" t="n">
        <x:f>IF(F384&lt;(('Assumptions'!$C$51-'Assumptions'!$B$51)/('Assumptions'!$D$51-'Assumptions'!$B$51)),'Assumptions'!$B$51+SQRT(F384*('Assumptions'!$D$51-'Assumptions'!$B$51)*('Assumptions'!$C$51-'Assumptions'!$B$51)),'Assumptions'!$D$51-SQRT((1-F384)*('Assumptions'!$D$51-'Assumptions'!$B$51)*('Assumptions'!$D$51-'Assumptions'!$C$51)))</x:f>
        <x:v>0.06758426426213425</x:v>
      </x:c>
      <x:c r="L384" s="133" t="n">
        <x:f>(('Assumptions'!$B$17*(1+G384)+'Assumptions'!$B$18)*(1-H384-'Assumptions'!$B$20)-SUM('Assumptions'!$B$21:$B$25)*(1+I384))-(('Assumptions'!$B$17*(1+G384)+'Assumptions'!$B$18)*(1-H384-'Assumptions'!$B$20)*'Assumptions'!$B$26)</x:f>
        <x:v>178398.51608350172</x:v>
      </x:c>
      <x:c r="M384" s="133" t="n">
        <x:f>'Assumptions'!$B$10*'Assumptions'!$B$33</x:f>
        <x:v>1950000</x:v>
      </x:c>
      <x:c r="N384" s="133" t="n">
        <x:f>-PMT(K384/12,'Assumptions'!$B$35*12,M384)*12</x:f>
        <x:v>151903.04662870802</x:v>
      </x:c>
      <x:c r="O384" s="133" t="n">
        <x:f>(L384*(1+'Assumptions'!$B$29)^('Assumptions'!$B$14/12)/J384)*(1-'Assumptions'!$B$42)-'Debt Schedule'!$F$9</x:f>
        <x:v>2928908.808681301</x:v>
      </x:c>
      <x:c r="P384" s="132" t="n">
        <x:f>((O384+(L384-N384-'Assumptions'!$B$27-'Assumptions'!$B$28)*('Assumptions'!$B$14/12))/ABS('Monthly Cash Flow'!$S$5))^(1/('Assumptions'!$B$14/12))-1</x:f>
        <x:v>0.1719116817238584</x:v>
      </x:c>
      <x:c r="Q384" s="133" t="n">
        <x:f>-ABS('Monthly Cash Flow'!$S$5)+((L384-N384-'Assumptions'!$B$27-'Assumptions'!$B$28)*(1-(1+'Assumptions'!$B$43)^-('Assumptions'!$B$14/12))/'Assumptions'!$B$43)+(O384/(1+'Assumptions'!$B$43)^('Assumptions'!$B$14/12))</x:f>
        <x:v>472929.1368881664</x:v>
      </x:c>
    </x:row>
    <x:row r="385">
      <x:c r="A385" s="131" t="n">
        <x:f>378</x:f>
        <x:v>378</x:v>
      </x:c>
      <x:c r="B385" s="131" t="n">
        <x:f>MOD(ABS(SIN((A385+1)*12.9898+78.233)*43758.5453),1)</x:f>
        <x:v>0.9133958907823398</x:v>
      </x:c>
      <x:c r="C385" s="131" t="n">
        <x:f>MOD(ABS(SIN((A385+2)*12.9898+78.233)*43758.5453),1)</x:f>
        <x:v>0.6373735134093295</x:v>
      </x:c>
      <x:c r="D385" s="131" t="n">
        <x:f>MOD(ABS(SIN((A385+3)*12.9898+78.233)*43758.5453),1)</x:f>
        <x:v>0.3500071189519076</x:v>
      </x:c>
      <x:c r="E385" s="131" t="n">
        <x:f>MOD(ABS(SIN((A385+4)*12.9898+78.233)*43758.5453),1)</x:f>
        <x:v>0.3697499193949625</x:v>
      </x:c>
      <x:c r="F385" s="131" t="n">
        <x:f>MOD(ABS(SIN((A385+5)*12.9898+78.233)*43758.5453),1)</x:f>
        <x:v>0.7856316597390105</x:v>
      </x:c>
      <x:c r="G385" s="132" t="n">
        <x:f>IF(B385&lt;(('Assumptions'!$C$47-'Assumptions'!$B$47)/('Assumptions'!$D$47-'Assumptions'!$B$47)),'Assumptions'!$B$47+SQRT(B385*('Assumptions'!$D$47-'Assumptions'!$B$47)*('Assumptions'!$C$47-'Assumptions'!$B$47)),'Assumptions'!$D$47-SQRT((1-B385)*('Assumptions'!$D$47-'Assumptions'!$B$47)*('Assumptions'!$D$47-'Assumptions'!$C$47)))</x:f>
        <x:v>0.06277546847195303</x:v>
      </x:c>
      <x:c r="H385" s="132" t="n">
        <x:f>IF(C385&lt;(('Assumptions'!$C$48-'Assumptions'!$B$48)/('Assumptions'!$D$48-'Assumptions'!$B$48)),'Assumptions'!$B$48+SQRT(C385*('Assumptions'!$D$48-'Assumptions'!$B$48)*('Assumptions'!$C$48-'Assumptions'!$B$48)),'Assumptions'!$D$48-SQRT((1-C385)*('Assumptions'!$D$48-'Assumptions'!$B$48)*('Assumptions'!$D$48-'Assumptions'!$C$48)))</x:f>
        <x:v>0.08351006211724163</x:v>
      </x:c>
      <x:c r="I385" s="132" t="n">
        <x:f>IF(D385&lt;(('Assumptions'!$C$49-'Assumptions'!$B$49)/('Assumptions'!$D$49-'Assumptions'!$B$49)),'Assumptions'!$B$49+SQRT(D385*('Assumptions'!$D$49-'Assumptions'!$B$49)*('Assumptions'!$C$49-'Assumptions'!$B$49)),'Assumptions'!$D$49-SQRT((1-D385)*('Assumptions'!$D$49-'Assumptions'!$B$49)*('Assumptions'!$D$49-'Assumptions'!$C$49)))</x:f>
        <x:v>0.031510142920844086</x:v>
      </x:c>
      <x:c r="J385" s="132" t="n">
        <x:f>IF(E385&lt;(('Assumptions'!$C$50-'Assumptions'!$B$50)/('Assumptions'!$D$50-'Assumptions'!$B$50)),'Assumptions'!$B$50+SQRT(E385*('Assumptions'!$D$50-'Assumptions'!$B$50)*('Assumptions'!$C$50-'Assumptions'!$B$50)),'Assumptions'!$D$50-SQRT((1-E385)*('Assumptions'!$D$50-'Assumptions'!$B$50)*('Assumptions'!$D$50-'Assumptions'!$C$50)))</x:f>
        <x:v>0.06662105979938004</x:v>
      </x:c>
      <x:c r="K385" s="132" t="n">
        <x:f>IF(F385&lt;(('Assumptions'!$C$51-'Assumptions'!$B$51)/('Assumptions'!$D$51-'Assumptions'!$B$51)),'Assumptions'!$B$51+SQRT(F385*('Assumptions'!$D$51-'Assumptions'!$B$51)*('Assumptions'!$C$51-'Assumptions'!$B$51)),'Assumptions'!$D$51-SQRT((1-F385)*('Assumptions'!$D$51-'Assumptions'!$B$51)*('Assumptions'!$D$51-'Assumptions'!$C$51)))</x:f>
        <x:v>0.07484299435115835</x:v>
      </x:c>
      <x:c r="L385" s="133" t="n">
        <x:f>(('Assumptions'!$B$17*(1+G385)+'Assumptions'!$B$18)*(1-H385-'Assumptions'!$B$20)-SUM('Assumptions'!$B$21:$B$25)*(1+I385))-(('Assumptions'!$B$17*(1+G385)+'Assumptions'!$B$18)*(1-H385-'Assumptions'!$B$20)*'Assumptions'!$B$26)</x:f>
        <x:v>218643.2728770955</x:v>
      </x:c>
      <x:c r="M385" s="133" t="n">
        <x:f>'Assumptions'!$B$10*'Assumptions'!$B$33</x:f>
        <x:v>1950000</x:v>
      </x:c>
      <x:c r="N385" s="133" t="n">
        <x:f>-PMT(K385/12,'Assumptions'!$B$35*12,M385)*12</x:f>
        <x:v>163364.69535400395</x:v>
      </x:c>
      <x:c r="O385" s="133" t="n">
        <x:f>(L385*(1+'Assumptions'!$B$29)^('Assumptions'!$B$14/12)/J385)*(1-'Assumptions'!$B$42)-'Debt Schedule'!$F$9</x:f>
        <x:v>3576338.020109721</x:v>
      </x:c>
      <x:c r="P385" s="132" t="n">
        <x:f>((O385+(L385-N385-'Assumptions'!$B$27-'Assumptions'!$B$28)*('Assumptions'!$B$14/12))/ABS('Monthly Cash Flow'!$S$5))^(1/('Assumptions'!$B$14/12))-1</x:f>
        <x:v>0.2305609376604234</x:v>
      </x:c>
      <x:c r="Q385" s="133" t="n">
        <x:f>-ABS('Monthly Cash Flow'!$S$5)+((L385-N385-'Assumptions'!$B$27-'Assumptions'!$B$28)*(1-(1+'Assumptions'!$B$43)^-('Assumptions'!$B$14/12))/'Assumptions'!$B$43)+(O385/(1+'Assumptions'!$B$43)^('Assumptions'!$B$14/12))</x:f>
        <x:v>984042.3646832034</x:v>
      </x:c>
    </x:row>
    <x:row r="386">
      <x:c r="A386" s="131" t="n">
        <x:f>379</x:f>
        <x:v>379</x:v>
      </x:c>
      <x:c r="B386" s="131" t="n">
        <x:f>MOD(ABS(SIN((A386+1)*12.9898+78.233)*43758.5453),1)</x:f>
        <x:v>0.6373735134093295</x:v>
      </x:c>
      <x:c r="C386" s="131" t="n">
        <x:f>MOD(ABS(SIN((A386+2)*12.9898+78.233)*43758.5453),1)</x:f>
        <x:v>0.3500071189519076</x:v>
      </x:c>
      <x:c r="D386" s="131" t="n">
        <x:f>MOD(ABS(SIN((A386+3)*12.9898+78.233)*43758.5453),1)</x:f>
        <x:v>0.3697499193949625</x:v>
      </x:c>
      <x:c r="E386" s="131" t="n">
        <x:f>MOD(ABS(SIN((A386+4)*12.9898+78.233)*43758.5453),1)</x:f>
        <x:v>0.7856316597390105</x:v>
      </x:c>
      <x:c r="F386" s="131" t="n">
        <x:f>MOD(ABS(SIN((A386+5)*12.9898+78.233)*43758.5453),1)</x:f>
        <x:v>0.6540403913750197</x:v>
      </x:c>
      <x:c r="G386" s="132" t="n">
        <x:f>IF(B386&lt;(('Assumptions'!$C$47-'Assumptions'!$B$47)/('Assumptions'!$D$47-'Assumptions'!$B$47)),'Assumptions'!$B$47+SQRT(B386*('Assumptions'!$D$47-'Assumptions'!$B$47)*('Assumptions'!$C$47-'Assumptions'!$B$47)),'Assumptions'!$D$47-SQRT((1-B386)*('Assumptions'!$D$47-'Assumptions'!$B$47)*('Assumptions'!$D$47-'Assumptions'!$C$47)))</x:f>
        <x:v>0.023828983297774428</x:v>
      </x:c>
      <x:c r="H386" s="132" t="n">
        <x:f>IF(C386&lt;(('Assumptions'!$C$48-'Assumptions'!$B$48)/('Assumptions'!$D$48-'Assumptions'!$B$48)),'Assumptions'!$B$48+SQRT(C386*('Assumptions'!$D$48-'Assumptions'!$B$48)*('Assumptions'!$C$48-'Assumptions'!$B$48)),'Assumptions'!$D$48-SQRT((1-C386)*('Assumptions'!$D$48-'Assumptions'!$B$48)*('Assumptions'!$D$48-'Assumptions'!$C$48)))</x:f>
        <x:v>0.06436973255882793</x:v>
      </x:c>
      <x:c r="I386" s="132" t="n">
        <x:f>IF(D386&lt;(('Assumptions'!$C$49-'Assumptions'!$B$49)/('Assumptions'!$D$49-'Assumptions'!$B$49)),'Assumptions'!$B$49+SQRT(D386*('Assumptions'!$D$49-'Assumptions'!$B$49)*('Assumptions'!$C$49-'Assumptions'!$B$49)),'Assumptions'!$D$49-SQRT((1-D386)*('Assumptions'!$D$49-'Assumptions'!$B$49)*('Assumptions'!$D$49-'Assumptions'!$C$49)))</x:f>
        <x:v>0.033323516760793606</x:v>
      </x:c>
      <x:c r="J386" s="132" t="n">
        <x:f>IF(E386&lt;(('Assumptions'!$C$50-'Assumptions'!$B$50)/('Assumptions'!$D$50-'Assumptions'!$B$50)),'Assumptions'!$B$50+SQRT(E386*('Assumptions'!$D$50-'Assumptions'!$B$50)*('Assumptions'!$C$50-'Assumptions'!$B$50)),'Assumptions'!$D$50-SQRT((1-E386)*('Assumptions'!$D$50-'Assumptions'!$B$50)*('Assumptions'!$D$50-'Assumptions'!$C$50)))</x:f>
        <x:v>0.07223526589647764</x:v>
      </x:c>
      <x:c r="K386" s="132" t="n">
        <x:f>IF(F386&lt;(('Assumptions'!$C$51-'Assumptions'!$B$51)/('Assumptions'!$D$51-'Assumptions'!$B$51)),'Assumptions'!$B$51+SQRT(F386*('Assumptions'!$D$51-'Assumptions'!$B$51)*('Assumptions'!$C$51-'Assumptions'!$B$51)),'Assumptions'!$D$51-SQRT((1-F386)*('Assumptions'!$D$51-'Assumptions'!$B$51)*('Assumptions'!$D$51-'Assumptions'!$C$51)))</x:f>
        <x:v>0.07209678095780857</x:v>
      </x:c>
      <x:c r="L386" s="133" t="n">
        <x:f>(('Assumptions'!$B$17*(1+G386)+'Assumptions'!$B$18)*(1-H386-'Assumptions'!$B$20)-SUM('Assumptions'!$B$21:$B$25)*(1+I386))-(('Assumptions'!$B$17*(1+G386)+'Assumptions'!$B$18)*(1-H386-'Assumptions'!$B$20)*'Assumptions'!$B$26)</x:f>
        <x:v>213316.78815715783</x:v>
      </x:c>
      <x:c r="M386" s="133" t="n">
        <x:f>'Assumptions'!$B$10*'Assumptions'!$B$33</x:f>
        <x:v>1950000</x:v>
      </x:c>
      <x:c r="N386" s="133" t="n">
        <x:f>-PMT(K386/12,'Assumptions'!$B$35*12,M386)*12</x:f>
        <x:v>158989.77798583306</x:v>
      </x:c>
      <x:c r="O386" s="133" t="n">
        <x:f>(L386*(1+'Assumptions'!$B$29)^('Assumptions'!$B$14/12)/J386)*(1-'Assumptions'!$B$42)-'Debt Schedule'!$F$9</x:f>
        <x:v>3218027.398546077</x:v>
      </x:c>
      <x:c r="P386" s="132" t="n">
        <x:f>((O386+(L386-N386-'Assumptions'!$B$27-'Assumptions'!$B$28)*('Assumptions'!$B$14/12))/ABS('Monthly Cash Flow'!$S$5))^(1/('Assumptions'!$B$14/12))-1</x:f>
        <x:v>0.20506328961771714</x:v>
      </x:c>
      <x:c r="Q386" s="133" t="n">
        <x:f>-ABS('Monthly Cash Flow'!$S$5)+((L386-N386-'Assumptions'!$B$27-'Assumptions'!$B$28)*(1-(1+'Assumptions'!$B$43)^-('Assumptions'!$B$14/12))/'Assumptions'!$B$43)+(O386/(1+'Assumptions'!$B$43)^('Assumptions'!$B$14/12))</x:f>
        <x:v>757952.4705484789</x:v>
      </x:c>
    </x:row>
    <x:row r="387">
      <x:c r="A387" s="131" t="n">
        <x:f>380</x:f>
        <x:v>380</x:v>
      </x:c>
      <x:c r="B387" s="131" t="n">
        <x:f>MOD(ABS(SIN((A387+1)*12.9898+78.233)*43758.5453),1)</x:f>
        <x:v>0.3500071189519076</x:v>
      </x:c>
      <x:c r="C387" s="131" t="n">
        <x:f>MOD(ABS(SIN((A387+2)*12.9898+78.233)*43758.5453),1)</x:f>
        <x:v>0.3697499193949625</x:v>
      </x:c>
      <x:c r="D387" s="131" t="n">
        <x:f>MOD(ABS(SIN((A387+3)*12.9898+78.233)*43758.5453),1)</x:f>
        <x:v>0.7856316597390105</x:v>
      </x:c>
      <x:c r="E387" s="131" t="n">
        <x:f>MOD(ABS(SIN((A387+4)*12.9898+78.233)*43758.5453),1)</x:f>
        <x:v>0.6540403913750197</x:v>
      </x:c>
      <x:c r="F387" s="131" t="n">
        <x:f>MOD(ABS(SIN((A387+5)*12.9898+78.233)*43758.5453),1)</x:f>
        <x:v>0.4122997023368953</x:v>
      </x:c>
      <x:c r="G387" s="132" t="n">
        <x:f>IF(B387&lt;(('Assumptions'!$C$47-'Assumptions'!$B$47)/('Assumptions'!$D$47-'Assumptions'!$B$47)),'Assumptions'!$B$47+SQRT(B387*('Assumptions'!$D$47-'Assumptions'!$B$47)*('Assumptions'!$C$47-'Assumptions'!$B$47)),'Assumptions'!$D$47-SQRT((1-B387)*('Assumptions'!$D$47-'Assumptions'!$B$47)*('Assumptions'!$D$47-'Assumptions'!$C$47)))</x:f>
        <x:v>-0.008347554016023204</x:v>
      </x:c>
      <x:c r="H387" s="132" t="n">
        <x:f>IF(C387&lt;(('Assumptions'!$C$48-'Assumptions'!$B$48)/('Assumptions'!$D$48-'Assumptions'!$B$48)),'Assumptions'!$B$48+SQRT(C387*('Assumptions'!$D$48-'Assumptions'!$B$48)*('Assumptions'!$C$48-'Assumptions'!$B$48)),'Assumptions'!$D$48-SQRT((1-C387)*('Assumptions'!$D$48-'Assumptions'!$B$48)*('Assumptions'!$D$48-'Assumptions'!$C$48)))</x:f>
        <x:v>0.06552718140607051</x:v>
      </x:c>
      <x:c r="I387" s="132" t="n">
        <x:f>IF(D387&lt;(('Assumptions'!$C$49-'Assumptions'!$B$49)/('Assumptions'!$D$49-'Assumptions'!$B$49)),'Assumptions'!$B$49+SQRT(D387*('Assumptions'!$D$49-'Assumptions'!$B$49)*('Assumptions'!$C$49-'Assumptions'!$B$49)),'Assumptions'!$D$49-SQRT((1-D387)*('Assumptions'!$D$49-'Assumptions'!$B$49)*('Assumptions'!$D$49-'Assumptions'!$C$49)))</x:f>
        <x:v>0.08195327965553832</x:v>
      </x:c>
      <x:c r="J387" s="132" t="n">
        <x:f>IF(E387&lt;(('Assumptions'!$C$50-'Assumptions'!$B$50)/('Assumptions'!$D$50-'Assumptions'!$B$50)),'Assumptions'!$B$50+SQRT(E387*('Assumptions'!$D$50-'Assumptions'!$B$50)*('Assumptions'!$C$50-'Assumptions'!$B$50)),'Assumptions'!$D$50-SQRT((1-E387)*('Assumptions'!$D$50-'Assumptions'!$B$50)*('Assumptions'!$D$50-'Assumptions'!$C$50)))</x:f>
        <x:v>0.07013586598196397</x:v>
      </x:c>
      <x:c r="K387" s="132" t="n">
        <x:f>IF(F387&lt;(('Assumptions'!$C$51-'Assumptions'!$B$51)/('Assumptions'!$D$51-'Assumptions'!$B$51)),'Assumptions'!$B$51+SQRT(F387*('Assumptions'!$D$51-'Assumptions'!$B$51)*('Assumptions'!$C$51-'Assumptions'!$B$51)),'Assumptions'!$D$51-SQRT((1-F387)*('Assumptions'!$D$51-'Assumptions'!$B$51)*('Assumptions'!$D$51-'Assumptions'!$C$51)))</x:f>
        <x:v>0.06818242680258627</x:v>
      </x:c>
      <x:c r="L387" s="133" t="n">
        <x:f>(('Assumptions'!$B$17*(1+G387)+'Assumptions'!$B$18)*(1-H387-'Assumptions'!$B$20)-SUM('Assumptions'!$B$21:$B$25)*(1+I387))-(('Assumptions'!$B$17*(1+G387)+'Assumptions'!$B$18)*(1-H387-'Assumptions'!$B$20)*'Assumptions'!$B$26)</x:f>
        <x:v>196479.55798029606</x:v>
      </x:c>
      <x:c r="M387" s="133" t="n">
        <x:f>'Assumptions'!$B$10*'Assumptions'!$B$33</x:f>
        <x:v>1950000</x:v>
      </x:c>
      <x:c r="N387" s="133" t="n">
        <x:f>-PMT(K387/12,'Assumptions'!$B$35*12,M387)*12</x:f>
        <x:v>152834.95140600242</x:v>
      </x:c>
      <x:c r="O387" s="133" t="n">
        <x:f>(L387*(1+'Assumptions'!$B$29)^('Assumptions'!$B$14/12)/J387)*(1-'Assumptions'!$B$42)-'Debt Schedule'!$F$9</x:f>
        <x:v>3052749.6201408776</x:v>
      </x:c>
      <x:c r="P387" s="132" t="n">
        <x:f>((O387+(L387-N387-'Assumptions'!$B$27-'Assumptions'!$B$28)*('Assumptions'!$B$14/12))/ABS('Monthly Cash Flow'!$S$5))^(1/('Assumptions'!$B$14/12))-1</x:f>
        <x:v>0.18859740803338942</x:v>
      </x:c>
      <x:c r="Q387" s="133" t="n">
        <x:f>-ABS('Monthly Cash Flow'!$S$5)+((L387-N387-'Assumptions'!$B$27-'Assumptions'!$B$28)*(1-(1+'Assumptions'!$B$43)^-('Assumptions'!$B$14/12))/'Assumptions'!$B$43)+(O387/(1+'Assumptions'!$B$43)^('Assumptions'!$B$14/12))</x:f>
        <x:v>614833.2594877379</x:v>
      </x:c>
    </x:row>
    <x:row r="388">
      <x:c r="A388" s="131" t="n">
        <x:f>381</x:f>
        <x:v>381</x:v>
      </x:c>
      <x:c r="B388" s="131" t="n">
        <x:f>MOD(ABS(SIN((A388+1)*12.9898+78.233)*43758.5453),1)</x:f>
        <x:v>0.3697499193949625</x:v>
      </x:c>
      <x:c r="C388" s="131" t="n">
        <x:f>MOD(ABS(SIN((A388+2)*12.9898+78.233)*43758.5453),1)</x:f>
        <x:v>0.7856316597390105</x:v>
      </x:c>
      <x:c r="D388" s="131" t="n">
        <x:f>MOD(ABS(SIN((A388+3)*12.9898+78.233)*43758.5453),1)</x:f>
        <x:v>0.6540403913750197</x:v>
      </x:c>
      <x:c r="E388" s="131" t="n">
        <x:f>MOD(ABS(SIN((A388+4)*12.9898+78.233)*43758.5453),1)</x:f>
        <x:v>0.4122997023368953</x:v>
      </x:c>
      <x:c r="F388" s="131" t="n">
        <x:f>MOD(ABS(SIN((A388+5)*12.9898+78.233)*43758.5453),1)</x:f>
        <x:v>0.8320921914091741</x:v>
      </x:c>
      <x:c r="G388" s="132" t="n">
        <x:f>IF(B388&lt;(('Assumptions'!$C$47-'Assumptions'!$B$47)/('Assumptions'!$D$47-'Assumptions'!$B$47)),'Assumptions'!$B$47+SQRT(B388*('Assumptions'!$D$47-'Assumptions'!$B$47)*('Assumptions'!$C$47-'Assumptions'!$B$47)),'Assumptions'!$D$47-SQRT((1-B388)*('Assumptions'!$D$47-'Assumptions'!$B$47)*('Assumptions'!$D$47-'Assumptions'!$C$47)))</x:f>
        <x:v>-0.005798099459304429</x:v>
      </x:c>
      <x:c r="H388" s="132" t="n">
        <x:f>IF(C388&lt;(('Assumptions'!$C$48-'Assumptions'!$B$48)/('Assumptions'!$D$48-'Assumptions'!$B$48)),'Assumptions'!$B$48+SQRT(C388*('Assumptions'!$D$48-'Assumptions'!$B$48)*('Assumptions'!$C$48-'Assumptions'!$B$48)),'Assumptions'!$D$48-SQRT((1-C388)*('Assumptions'!$D$48-'Assumptions'!$B$48)*('Assumptions'!$D$48-'Assumptions'!$C$48)))</x:f>
        <x:v>0.09656681689886513</x:v>
      </x:c>
      <x:c r="I388" s="132" t="n">
        <x:f>IF(D388&lt;(('Assumptions'!$C$49-'Assumptions'!$B$49)/('Assumptions'!$D$49-'Assumptions'!$B$49)),'Assumptions'!$B$49+SQRT(D388*('Assumptions'!$D$49-'Assumptions'!$B$49)*('Assumptions'!$C$49-'Assumptions'!$B$49)),'Assumptions'!$D$49-SQRT((1-D388)*('Assumptions'!$D$49-'Assumptions'!$B$49)*('Assumptions'!$D$49-'Assumptions'!$C$49)))</x:f>
        <x:v>0.06355506060908149</x:v>
      </x:c>
      <x:c r="J388" s="132" t="n">
        <x:f>IF(E388&lt;(('Assumptions'!$C$50-'Assumptions'!$B$50)/('Assumptions'!$D$50-'Assumptions'!$B$50)),'Assumptions'!$B$50+SQRT(E388*('Assumptions'!$D$50-'Assumptions'!$B$50)*('Assumptions'!$C$50-'Assumptions'!$B$50)),'Assumptions'!$D$50-SQRT((1-E388)*('Assumptions'!$D$50-'Assumptions'!$B$50)*('Assumptions'!$D$50-'Assumptions'!$C$50)))</x:f>
        <x:v>0.06713158517720741</x:v>
      </x:c>
      <x:c r="K388" s="132" t="n">
        <x:f>IF(F388&lt;(('Assumptions'!$C$51-'Assumptions'!$B$51)/('Assumptions'!$D$51-'Assumptions'!$B$51)),'Assumptions'!$B$51+SQRT(F388*('Assumptions'!$D$51-'Assumptions'!$B$51)*('Assumptions'!$C$51-'Assumptions'!$B$51)),'Assumptions'!$D$51-SQRT((1-F388)*('Assumptions'!$D$51-'Assumptions'!$B$51)*('Assumptions'!$D$51-'Assumptions'!$C$51)))</x:f>
        <x:v>0.07601080465868414</x:v>
      </x:c>
      <x:c r="L388" s="133" t="n">
        <x:f>(('Assumptions'!$B$17*(1+G388)+'Assumptions'!$B$18)*(1-H388-'Assumptions'!$B$20)-SUM('Assumptions'!$B$21:$B$25)*(1+I388))-(('Assumptions'!$B$17*(1+G388)+'Assumptions'!$B$18)*(1-H388-'Assumptions'!$B$20)*'Assumptions'!$B$26)</x:f>
        <x:v>188410.81373104913</x:v>
      </x:c>
      <x:c r="M388" s="133" t="n">
        <x:f>'Assumptions'!$B$10*'Assumptions'!$B$33</x:f>
        <x:v>1950000</x:v>
      </x:c>
      <x:c r="N388" s="133" t="n">
        <x:f>-PMT(K388/12,'Assumptions'!$B$35*12,M388)*12</x:f>
        <x:v>165238.86573225766</x:v>
      </x:c>
      <x:c r="O388" s="133" t="n">
        <x:f>(L388*(1+'Assumptions'!$B$29)^('Assumptions'!$B$14/12)/J388)*(1-'Assumptions'!$B$42)-'Debt Schedule'!$F$9</x:f>
        <x:v>3058390.247059294</x:v>
      </x:c>
      <x:c r="P388" s="132" t="n">
        <x:f>((O388+(L388-N388-'Assumptions'!$B$27-'Assumptions'!$B$28)*('Assumptions'!$B$14/12))/ABS('Monthly Cash Flow'!$S$5))^(1/('Assumptions'!$B$14/12))-1</x:f>
        <x:v>0.18101410021700848</x:v>
      </x:c>
      <x:c r="Q388" s="133" t="n">
        <x:f>-ABS('Monthly Cash Flow'!$S$5)+((L388-N388-'Assumptions'!$B$27-'Assumptions'!$B$28)*(1-(1+'Assumptions'!$B$43)^-('Assumptions'!$B$14/12))/'Assumptions'!$B$43)+(O388/(1+'Assumptions'!$B$43)^('Assumptions'!$B$14/12))</x:f>
        <x:v>540728.1617541739</x:v>
      </x:c>
    </x:row>
    <x:row r="389">
      <x:c r="A389" s="131" t="n">
        <x:f>382</x:f>
        <x:v>382</x:v>
      </x:c>
      <x:c r="B389" s="131" t="n">
        <x:f>MOD(ABS(SIN((A389+1)*12.9898+78.233)*43758.5453),1)</x:f>
        <x:v>0.7856316597390105</x:v>
      </x:c>
      <x:c r="C389" s="131" t="n">
        <x:f>MOD(ABS(SIN((A389+2)*12.9898+78.233)*43758.5453),1)</x:f>
        <x:v>0.6540403913750197</x:v>
      </x:c>
      <x:c r="D389" s="131" t="n">
        <x:f>MOD(ABS(SIN((A389+3)*12.9898+78.233)*43758.5453),1)</x:f>
        <x:v>0.4122997023368953</x:v>
      </x:c>
      <x:c r="E389" s="131" t="n">
        <x:f>MOD(ABS(SIN((A389+4)*12.9898+78.233)*43758.5453),1)</x:f>
        <x:v>0.8320921914091741</x:v>
      </x:c>
      <x:c r="F389" s="131" t="n">
        <x:f>MOD(ABS(SIN((A389+5)*12.9898+78.233)*43758.5453),1)</x:f>
        <x:v>0.8650509635899652</x:v>
      </x:c>
      <x:c r="G389" s="132" t="n">
        <x:f>IF(B389&lt;(('Assumptions'!$C$47-'Assumptions'!$B$47)/('Assumptions'!$D$47-'Assumptions'!$B$47)),'Assumptions'!$B$47+SQRT(B389*('Assumptions'!$D$47-'Assumptions'!$B$47)*('Assumptions'!$C$47-'Assumptions'!$B$47)),'Assumptions'!$D$47-SQRT((1-B389)*('Assumptions'!$D$47-'Assumptions'!$B$47)*('Assumptions'!$D$47-'Assumptions'!$C$47)))</x:f>
        <x:v>0.04143470785374812</x:v>
      </x:c>
      <x:c r="H389" s="132" t="n">
        <x:f>IF(C389&lt;(('Assumptions'!$C$48-'Assumptions'!$B$48)/('Assumptions'!$D$48-'Assumptions'!$B$48)),'Assumptions'!$B$48+SQRT(C389*('Assumptions'!$D$48-'Assumptions'!$B$48)*('Assumptions'!$C$48-'Assumptions'!$B$48)),'Assumptions'!$D$48-SQRT((1-C389)*('Assumptions'!$D$48-'Assumptions'!$B$48)*('Assumptions'!$D$48-'Assumptions'!$C$48)))</x:f>
        <x:v>0.08482351446585397</x:v>
      </x:c>
      <x:c r="I389" s="132" t="n">
        <x:f>IF(D389&lt;(('Assumptions'!$C$49-'Assumptions'!$B$49)/('Assumptions'!$D$49-'Assumptions'!$B$49)),'Assumptions'!$B$49+SQRT(D389*('Assumptions'!$D$49-'Assumptions'!$B$49)*('Assumptions'!$C$49-'Assumptions'!$B$49)),'Assumptions'!$D$49-SQRT((1-D389)*('Assumptions'!$D$49-'Assumptions'!$B$49)*('Assumptions'!$D$49-'Assumptions'!$C$49)))</x:f>
        <x:v>0.0373308985146191</x:v>
      </x:c>
      <x:c r="J389" s="132" t="n">
        <x:f>IF(E389&lt;(('Assumptions'!$C$50-'Assumptions'!$B$50)/('Assumptions'!$D$50-'Assumptions'!$B$50)),'Assumptions'!$B$50+SQRT(E389*('Assumptions'!$D$50-'Assumptions'!$B$50)*('Assumptions'!$C$50-'Assumptions'!$B$50)),'Assumptions'!$D$50-SQRT((1-E389)*('Assumptions'!$D$50-'Assumptions'!$B$50)*('Assumptions'!$D$50-'Assumptions'!$C$50)))</x:f>
        <x:v>0.07312802276152128</x:v>
      </x:c>
      <x:c r="K389" s="132" t="n">
        <x:f>IF(F389&lt;(('Assumptions'!$C$51-'Assumptions'!$B$51)/('Assumptions'!$D$51-'Assumptions'!$B$51)),'Assumptions'!$B$51+SQRT(F389*('Assumptions'!$D$51-'Assumptions'!$B$51)*('Assumptions'!$C$51-'Assumptions'!$B$51)),'Assumptions'!$D$51-SQRT((1-F389)*('Assumptions'!$D$51-'Assumptions'!$B$51)*('Assumptions'!$D$51-'Assumptions'!$C$51)))</x:f>
        <x:v>0.07694120208887646</x:v>
      </x:c>
      <x:c r="L389" s="133" t="n">
        <x:f>(('Assumptions'!$B$17*(1+G389)+'Assumptions'!$B$18)*(1-H389-'Assumptions'!$B$20)-SUM('Assumptions'!$B$21:$B$25)*(1+I389))-(('Assumptions'!$B$17*(1+G389)+'Assumptions'!$B$18)*(1-H389-'Assumptions'!$B$20)*'Assumptions'!$B$26)</x:f>
        <x:v>210728.72780752485</x:v>
      </x:c>
      <x:c r="M389" s="133" t="n">
        <x:f>'Assumptions'!$B$10*'Assumptions'!$B$33</x:f>
        <x:v>1950000</x:v>
      </x:c>
      <x:c r="N389" s="133" t="n">
        <x:f>-PMT(K389/12,'Assumptions'!$B$35*12,M389)*12</x:f>
        <x:v>166737.78407198034</x:v>
      </x:c>
      <x:c r="O389" s="133" t="n">
        <x:f>(L389*(1+'Assumptions'!$B$29)^('Assumptions'!$B$14/12)/J389)*(1-'Assumptions'!$B$42)-'Debt Schedule'!$F$9</x:f>
        <x:v>3140175.2862223685</x:v>
      </x:c>
      <x:c r="P389" s="132" t="n">
        <x:f>((O389+(L389-N389-'Assumptions'!$B$27-'Assumptions'!$B$28)*('Assumptions'!$B$14/12))/ABS('Monthly Cash Flow'!$S$5))^(1/('Assumptions'!$B$14/12))-1</x:f>
        <x:v>0.19542016902928117</x:v>
      </x:c>
      <x:c r="Q389" s="133" t="n">
        <x:f>-ABS('Monthly Cash Flow'!$S$5)+((L389-N389-'Assumptions'!$B$27-'Assumptions'!$B$28)*(1-(1+'Assumptions'!$B$43)^-('Assumptions'!$B$14/12))/'Assumptions'!$B$43)+(O389/(1+'Assumptions'!$B$43)^('Assumptions'!$B$14/12))</x:f>
        <x:v>670430.6100690092</x:v>
      </x:c>
    </x:row>
    <x:row r="390">
      <x:c r="A390" s="131" t="n">
        <x:f>383</x:f>
        <x:v>383</x:v>
      </x:c>
      <x:c r="B390" s="131" t="n">
        <x:f>MOD(ABS(SIN((A390+1)*12.9898+78.233)*43758.5453),1)</x:f>
        <x:v>0.6540403913750197</x:v>
      </x:c>
      <x:c r="C390" s="131" t="n">
        <x:f>MOD(ABS(SIN((A390+2)*12.9898+78.233)*43758.5453),1)</x:f>
        <x:v>0.4122997023368953</x:v>
      </x:c>
      <x:c r="D390" s="131" t="n">
        <x:f>MOD(ABS(SIN((A390+3)*12.9898+78.233)*43758.5453),1)</x:f>
        <x:v>0.8320921914091741</x:v>
      </x:c>
      <x:c r="E390" s="131" t="n">
        <x:f>MOD(ABS(SIN((A390+4)*12.9898+78.233)*43758.5453),1)</x:f>
        <x:v>0.8650509635899652</x:v>
      </x:c>
      <x:c r="F390" s="131" t="n">
        <x:f>MOD(ABS(SIN((A390+5)*12.9898+78.233)*43758.5453),1)</x:f>
        <x:v>0.6911273702316976</x:v>
      </x:c>
      <x:c r="G390" s="132" t="n">
        <x:f>IF(B390&lt;(('Assumptions'!$C$47-'Assumptions'!$B$47)/('Assumptions'!$D$47-'Assumptions'!$B$47)),'Assumptions'!$B$47+SQRT(B390*('Assumptions'!$D$47-'Assumptions'!$B$47)*('Assumptions'!$C$47-'Assumptions'!$B$47)),'Assumptions'!$D$47-SQRT((1-B390)*('Assumptions'!$D$47-'Assumptions'!$B$47)*('Assumptions'!$D$47-'Assumptions'!$C$47)))</x:f>
        <x:v>0.02560004208334736</x:v>
      </x:c>
      <x:c r="H390" s="132" t="n">
        <x:f>IF(C390&lt;(('Assumptions'!$C$48-'Assumptions'!$B$48)/('Assumptions'!$D$48-'Assumptions'!$B$48)),'Assumptions'!$B$48+SQRT(C390*('Assumptions'!$D$48-'Assumptions'!$B$48)*('Assumptions'!$C$48-'Assumptions'!$B$48)),'Assumptions'!$D$48-SQRT((1-C390)*('Assumptions'!$D$48-'Assumptions'!$B$48)*('Assumptions'!$D$48-'Assumptions'!$C$48)))</x:f>
        <x:v>0.06808503202089762</x:v>
      </x:c>
      <x:c r="I390" s="132" t="n">
        <x:f>IF(D390&lt;(('Assumptions'!$C$49-'Assumptions'!$B$49)/('Assumptions'!$D$49-'Assumptions'!$B$49)),'Assumptions'!$B$49+SQRT(D390*('Assumptions'!$D$49-'Assumptions'!$B$49)*('Assumptions'!$C$49-'Assumptions'!$B$49)),'Assumptions'!$D$49-SQRT((1-D390)*('Assumptions'!$D$49-'Assumptions'!$B$49)*('Assumptions'!$D$49-'Assumptions'!$C$49)))</x:f>
        <x:v>0.08977700882917024</x:v>
      </x:c>
      <x:c r="J390" s="132" t="n">
        <x:f>IF(E390&lt;(('Assumptions'!$C$50-'Assumptions'!$B$50)/('Assumptions'!$D$50-'Assumptions'!$B$50)),'Assumptions'!$B$50+SQRT(E390*('Assumptions'!$D$50-'Assumptions'!$B$50)*('Assumptions'!$C$50-'Assumptions'!$B$50)),'Assumptions'!$D$50-SQRT((1-E390)*('Assumptions'!$D$50-'Assumptions'!$B$50)*('Assumptions'!$D$50-'Assumptions'!$C$50)))</x:f>
        <x:v>0.07383928441734873</x:v>
      </x:c>
      <x:c r="K390" s="132" t="n">
        <x:f>IF(F390&lt;(('Assumptions'!$C$51-'Assumptions'!$B$51)/('Assumptions'!$D$51-'Assumptions'!$B$51)),'Assumptions'!$B$51+SQRT(F390*('Assumptions'!$D$51-'Assumptions'!$B$51)*('Assumptions'!$C$51-'Assumptions'!$B$51)),'Assumptions'!$D$51-SQRT((1-F390)*('Assumptions'!$D$51-'Assumptions'!$B$51)*('Assumptions'!$D$51-'Assumptions'!$C$51)))</x:f>
        <x:v>0.07280799634694955</x:v>
      </x:c>
      <x:c r="L390" s="133" t="n">
        <x:f>(('Assumptions'!$B$17*(1+G390)+'Assumptions'!$B$18)*(1-H390-'Assumptions'!$B$20)-SUM('Assumptions'!$B$21:$B$25)*(1+I390))-(('Assumptions'!$B$17*(1+G390)+'Assumptions'!$B$18)*(1-H390-'Assumptions'!$B$20)*'Assumptions'!$B$26)</x:f>
        <x:v>205389.12748721655</x:v>
      </x:c>
      <x:c r="M390" s="133" t="n">
        <x:f>'Assumptions'!$B$10*'Assumptions'!$B$33</x:f>
        <x:v>1950000</x:v>
      </x:c>
      <x:c r="N390" s="133" t="n">
        <x:f>-PMT(K390/12,'Assumptions'!$B$35*12,M390)*12</x:f>
        <x:v>160118.38046077703</x:v>
      </x:c>
      <x:c r="O390" s="133" t="n">
        <x:f>(L390*(1+'Assumptions'!$B$29)^('Assumptions'!$B$14/12)/J390)*(1-'Assumptions'!$B$42)-'Debt Schedule'!$F$9</x:f>
        <x:v>3031125.7072271924</x:v>
      </x:c>
      <x:c r="P390" s="132" t="n">
        <x:f>((O390+(L390-N390-'Assumptions'!$B$27-'Assumptions'!$B$28)*('Assumptions'!$B$14/12))/ABS('Monthly Cash Flow'!$S$5))^(1/('Assumptions'!$B$14/12))-1</x:f>
        <x:v>0.18755107785736214</x:v>
      </x:c>
      <x:c r="Q390" s="133" t="n">
        <x:f>-ABS('Monthly Cash Flow'!$S$5)+((L390-N390-'Assumptions'!$B$27-'Assumptions'!$B$28)*(1-(1+'Assumptions'!$B$43)^-('Assumptions'!$B$14/12))/'Assumptions'!$B$43)+(O390/(1+'Assumptions'!$B$43)^('Assumptions'!$B$14/12))</x:f>
        <x:v>607570.862582851</x:v>
      </x:c>
    </x:row>
    <x:row r="391">
      <x:c r="A391" s="131" t="n">
        <x:f>384</x:f>
        <x:v>384</x:v>
      </x:c>
      <x:c r="B391" s="131" t="n">
        <x:f>MOD(ABS(SIN((A391+1)*12.9898+78.233)*43758.5453),1)</x:f>
        <x:v>0.4122997023368953</x:v>
      </x:c>
      <x:c r="C391" s="131" t="n">
        <x:f>MOD(ABS(SIN((A391+2)*12.9898+78.233)*43758.5453),1)</x:f>
        <x:v>0.8320921914091741</x:v>
      </x:c>
      <x:c r="D391" s="131" t="n">
        <x:f>MOD(ABS(SIN((A391+3)*12.9898+78.233)*43758.5453),1)</x:f>
        <x:v>0.8650509635899652</x:v>
      </x:c>
      <x:c r="E391" s="131" t="n">
        <x:f>MOD(ABS(SIN((A391+4)*12.9898+78.233)*43758.5453),1)</x:f>
        <x:v>0.6911273702316976</x:v>
      </x:c>
      <x:c r="F391" s="131" t="n">
        <x:f>MOD(ABS(SIN((A391+5)*12.9898+78.233)*43758.5453),1)</x:f>
        <x:v>0.5824462713499088</x:v>
      </x:c>
      <x:c r="G391" s="132" t="n">
        <x:f>IF(B391&lt;(('Assumptions'!$C$47-'Assumptions'!$B$47)/('Assumptions'!$D$47-'Assumptions'!$B$47)),'Assumptions'!$B$47+SQRT(B391*('Assumptions'!$D$47-'Assumptions'!$B$47)*('Assumptions'!$C$47-'Assumptions'!$B$47)),'Assumptions'!$D$47-SQRT((1-B391)*('Assumptions'!$D$47-'Assumptions'!$B$47)*('Assumptions'!$D$47-'Assumptions'!$C$47)))</x:f>
        <x:v>-0.0005254160295933286</x:v>
      </x:c>
      <x:c r="H391" s="132" t="n">
        <x:f>IF(C391&lt;(('Assumptions'!$C$48-'Assumptions'!$B$48)/('Assumptions'!$D$48-'Assumptions'!$B$48)),'Assumptions'!$B$48+SQRT(C391*('Assumptions'!$D$48-'Assumptions'!$B$48)*('Assumptions'!$C$48-'Assumptions'!$B$48)),'Assumptions'!$D$48-SQRT((1-C391)*('Assumptions'!$D$48-'Assumptions'!$B$48)*('Assumptions'!$D$48-'Assumptions'!$C$48)))</x:f>
        <x:v>0.10156058382858466</x:v>
      </x:c>
      <x:c r="I391" s="132" t="n">
        <x:f>IF(D391&lt;(('Assumptions'!$C$49-'Assumptions'!$B$49)/('Assumptions'!$D$49-'Assumptions'!$B$49)),'Assumptions'!$B$49+SQRT(D391*('Assumptions'!$D$49-'Assumptions'!$B$49)*('Assumptions'!$C$49-'Assumptions'!$B$49)),'Assumptions'!$D$49-SQRT((1-D391)*('Assumptions'!$D$49-'Assumptions'!$B$49)*('Assumptions'!$D$49-'Assumptions'!$C$49)))</x:f>
        <x:v>0.096010193680133</x:v>
      </x:c>
      <x:c r="J391" s="132" t="n">
        <x:f>IF(E391&lt;(('Assumptions'!$C$50-'Assumptions'!$B$50)/('Assumptions'!$D$50-'Assumptions'!$B$50)),'Assumptions'!$B$50+SQRT(E391*('Assumptions'!$D$50-'Assumptions'!$B$50)*('Assumptions'!$C$50-'Assumptions'!$B$50)),'Assumptions'!$D$50-SQRT((1-E391)*('Assumptions'!$D$50-'Assumptions'!$B$50)*('Assumptions'!$D$50-'Assumptions'!$C$50)))</x:f>
        <x:v>0.07067956937033835</x:v>
      </x:c>
      <x:c r="K391" s="132" t="n">
        <x:f>IF(F391&lt;(('Assumptions'!$C$51-'Assumptions'!$B$51)/('Assumptions'!$D$51-'Assumptions'!$B$51)),'Assumptions'!$B$51+SQRT(F391*('Assumptions'!$D$51-'Assumptions'!$B$51)*('Assumptions'!$C$51-'Assumptions'!$B$51)),'Assumptions'!$D$51-SQRT((1-F391)*('Assumptions'!$D$51-'Assumptions'!$B$51)*('Assumptions'!$D$51-'Assumptions'!$C$51)))</x:f>
        <x:v>0.07082439659440007</x:v>
      </x:c>
      <x:c r="L391" s="133" t="n">
        <x:f>(('Assumptions'!$B$17*(1+G391)+'Assumptions'!$B$18)*(1-H391-'Assumptions'!$B$20)-SUM('Assumptions'!$B$21:$B$25)*(1+I391))-(('Assumptions'!$B$17*(1+G391)+'Assumptions'!$B$18)*(1-H391-'Assumptions'!$B$20)*'Assumptions'!$B$26)</x:f>
        <x:v>184138.28474925034</x:v>
      </x:c>
      <x:c r="M391" s="133" t="n">
        <x:f>'Assumptions'!$B$10*'Assumptions'!$B$33</x:f>
        <x:v>1950000</x:v>
      </x:c>
      <x:c r="N391" s="133" t="n">
        <x:f>-PMT(K391/12,'Assumptions'!$B$35*12,M391)*12</x:f>
        <x:v>156978.50101649814</x:v>
      </x:c>
      <x:c r="O391" s="133" t="n">
        <x:f>(L391*(1+'Assumptions'!$B$29)^('Assumptions'!$B$14/12)/J391)*(1-'Assumptions'!$B$42)-'Debt Schedule'!$F$9</x:f>
        <x:v>2838992.045476915</x:v>
      </x:c>
      <x:c r="P391" s="132" t="n">
        <x:f>((O391+(L391-N391-'Assumptions'!$B$27-'Assumptions'!$B$28)*('Assumptions'!$B$14/12))/ABS('Monthly Cash Flow'!$S$5))^(1/('Assumptions'!$B$14/12))-1</x:f>
        <x:v>0.1647310234279855</x:v>
      </x:c>
      <x:c r="Q391" s="133" t="n">
        <x:f>-ABS('Monthly Cash Flow'!$S$5)+((L391-N391-'Assumptions'!$B$27-'Assumptions'!$B$28)*(1-(1+'Assumptions'!$B$43)^-('Assumptions'!$B$14/12))/'Assumptions'!$B$43)+(O391/(1+'Assumptions'!$B$43)^('Assumptions'!$B$14/12))</x:f>
        <x:v>419616.17508971645</x:v>
      </x:c>
    </x:row>
    <x:row r="392">
      <x:c r="A392" s="131" t="n">
        <x:f>385</x:f>
        <x:v>385</x:v>
      </x:c>
      <x:c r="B392" s="131" t="n">
        <x:f>MOD(ABS(SIN((A392+1)*12.9898+78.233)*43758.5453),1)</x:f>
        <x:v>0.8320921914091741</x:v>
      </x:c>
      <x:c r="C392" s="131" t="n">
        <x:f>MOD(ABS(SIN((A392+2)*12.9898+78.233)*43758.5453),1)</x:f>
        <x:v>0.8650509635899652</x:v>
      </x:c>
      <x:c r="D392" s="131" t="n">
        <x:f>MOD(ABS(SIN((A392+3)*12.9898+78.233)*43758.5453),1)</x:f>
        <x:v>0.6911273702316976</x:v>
      </x:c>
      <x:c r="E392" s="131" t="n">
        <x:f>MOD(ABS(SIN((A392+4)*12.9898+78.233)*43758.5453),1)</x:f>
        <x:v>0.5824462713499088</x:v>
      </x:c>
      <x:c r="F392" s="131" t="n">
        <x:f>MOD(ABS(SIN((A392+5)*12.9898+78.233)*43758.5453),1)</x:f>
        <x:v>0.7670509679301176</x:v>
      </x:c>
      <x:c r="G392" s="132" t="n">
        <x:f>IF(B392&lt;(('Assumptions'!$C$47-'Assumptions'!$B$47)/('Assumptions'!$D$47-'Assumptions'!$B$47)),'Assumptions'!$B$47+SQRT(B392*('Assumptions'!$D$47-'Assumptions'!$B$47)*('Assumptions'!$C$47-'Assumptions'!$B$47)),'Assumptions'!$D$47-SQRT((1-B392)*('Assumptions'!$D$47-'Assumptions'!$B$47)*('Assumptions'!$D$47-'Assumptions'!$C$47)))</x:f>
        <x:v>0.0481683018081289</x:v>
      </x:c>
      <x:c r="H392" s="132" t="n">
        <x:f>IF(C392&lt;(('Assumptions'!$C$48-'Assumptions'!$B$48)/('Assumptions'!$D$48-'Assumptions'!$B$48)),'Assumptions'!$B$48+SQRT(C392*('Assumptions'!$D$48-'Assumptions'!$B$48)*('Assumptions'!$C$48-'Assumptions'!$B$48)),'Assumptions'!$D$48-SQRT((1-C392)*('Assumptions'!$D$48-'Assumptions'!$B$48)*('Assumptions'!$D$48-'Assumptions'!$C$48)))</x:f>
        <x:v>0.10553913059122993</x:v>
      </x:c>
      <x:c r="I392" s="132" t="n">
        <x:f>IF(D392&lt;(('Assumptions'!$C$49-'Assumptions'!$B$49)/('Assumptions'!$D$49-'Assumptions'!$B$49)),'Assumptions'!$B$49+SQRT(D392*('Assumptions'!$D$49-'Assumptions'!$B$49)*('Assumptions'!$C$49-'Assumptions'!$B$49)),'Assumptions'!$D$49-SQRT((1-D392)*('Assumptions'!$D$49-'Assumptions'!$B$49)*('Assumptions'!$D$49-'Assumptions'!$C$49)))</x:f>
        <x:v>0.06831983837555576</x:v>
      </x:c>
      <x:c r="J392" s="132" t="n">
        <x:f>IF(E392&lt;(('Assumptions'!$C$50-'Assumptions'!$B$50)/('Assumptions'!$D$50-'Assumptions'!$B$50)),'Assumptions'!$B$50+SQRT(E392*('Assumptions'!$D$50-'Assumptions'!$B$50)*('Assumptions'!$C$50-'Assumptions'!$B$50)),'Assumptions'!$D$50-SQRT((1-E392)*('Assumptions'!$D$50-'Assumptions'!$B$50)*('Assumptions'!$D$50-'Assumptions'!$C$50)))</x:f>
        <x:v>0.06916316530610353</x:v>
      </x:c>
      <x:c r="K392" s="132" t="n">
        <x:f>IF(F392&lt;(('Assumptions'!$C$51-'Assumptions'!$B$51)/('Assumptions'!$D$51-'Assumptions'!$B$51)),'Assumptions'!$B$51+SQRT(F392*('Assumptions'!$D$51-'Assumptions'!$B$51)*('Assumptions'!$C$51-'Assumptions'!$B$51)),'Assumptions'!$D$51-SQRT((1-F392)*('Assumptions'!$D$51-'Assumptions'!$B$51)*('Assumptions'!$D$51-'Assumptions'!$C$51)))</x:f>
        <x:v>0.074411953830681</x:v>
      </x:c>
      <x:c r="L392" s="133" t="n">
        <x:f>(('Assumptions'!$B$17*(1+G392)+'Assumptions'!$B$18)*(1-H392-'Assumptions'!$B$20)-SUM('Assumptions'!$B$21:$B$25)*(1+I392))-(('Assumptions'!$B$17*(1+G392)+'Assumptions'!$B$18)*(1-H392-'Assumptions'!$B$20)*'Assumptions'!$B$26)</x:f>
        <x:v>201068.4498854224</x:v>
      </x:c>
      <x:c r="M392" s="133" t="n">
        <x:f>'Assumptions'!$B$10*'Assumptions'!$B$33</x:f>
        <x:v>1950000</x:v>
      </x:c>
      <x:c r="N392" s="133" t="n">
        <x:f>-PMT(K392/12,'Assumptions'!$B$35*12,M392)*12</x:f>
        <x:v>162674.99187092666</x:v>
      </x:c>
      <x:c r="O392" s="133" t="n">
        <x:f>(L392*(1+'Assumptions'!$B$29)^('Assumptions'!$B$14/12)/J392)*(1-'Assumptions'!$B$42)-'Debt Schedule'!$F$9</x:f>
        <x:v>3167984.485316949</x:v>
      </x:c>
      <x:c r="P392" s="132" t="n">
        <x:f>((O392+(L392-N392-'Assumptions'!$B$27-'Assumptions'!$B$28)*('Assumptions'!$B$14/12))/ABS('Monthly Cash Flow'!$S$5))^(1/('Assumptions'!$B$14/12))-1</x:f>
        <x:v>0.1954066845233804</x:v>
      </x:c>
      <x:c r="Q392" s="133" t="n">
        <x:f>-ABS('Monthly Cash Flow'!$S$5)+((L392-N392-'Assumptions'!$B$27-'Assumptions'!$B$28)*(1-(1+'Assumptions'!$B$43)^-('Assumptions'!$B$14/12))/'Assumptions'!$B$43)+(O392/(1+'Assumptions'!$B$43)^('Assumptions'!$B$14/12))</x:f>
        <x:v>666479.0599507273</x:v>
      </x:c>
    </x:row>
    <x:row r="393">
      <x:c r="A393" s="131" t="n">
        <x:f>386</x:f>
        <x:v>386</x:v>
      </x:c>
      <x:c r="B393" s="131" t="n">
        <x:f>MOD(ABS(SIN((A393+1)*12.9898+78.233)*43758.5453),1)</x:f>
        <x:v>0.8650509635899652</x:v>
      </x:c>
      <x:c r="C393" s="131" t="n">
        <x:f>MOD(ABS(SIN((A393+2)*12.9898+78.233)*43758.5453),1)</x:f>
        <x:v>0.6911273702316976</x:v>
      </x:c>
      <x:c r="D393" s="131" t="n">
        <x:f>MOD(ABS(SIN((A393+3)*12.9898+78.233)*43758.5453),1)</x:f>
        <x:v>0.5824462713499088</x:v>
      </x:c>
      <x:c r="E393" s="131" t="n">
        <x:f>MOD(ABS(SIN((A393+4)*12.9898+78.233)*43758.5453),1)</x:f>
        <x:v>0.7670509679301176</x:v>
      </x:c>
      <x:c r="F393" s="131" t="n">
        <x:f>MOD(ABS(SIN((A393+5)*12.9898+78.233)*43758.5453),1)</x:f>
        <x:v>0.8367192500008969</x:v>
      </x:c>
      <x:c r="G393" s="132" t="n">
        <x:f>IF(B393&lt;(('Assumptions'!$C$47-'Assumptions'!$B$47)/('Assumptions'!$D$47-'Assumptions'!$B$47)),'Assumptions'!$B$47+SQRT(B393*('Assumptions'!$D$47-'Assumptions'!$B$47)*('Assumptions'!$C$47-'Assumptions'!$B$47)),'Assumptions'!$D$47-SQRT((1-B393)*('Assumptions'!$D$47-'Assumptions'!$B$47)*('Assumptions'!$D$47-'Assumptions'!$C$47)))</x:f>
        <x:v>0.05353297316848693</x:v>
      </x:c>
      <x:c r="H393" s="132" t="n">
        <x:f>IF(C393&lt;(('Assumptions'!$C$48-'Assumptions'!$B$48)/('Assumptions'!$D$48-'Assumptions'!$B$48)),'Assumptions'!$B$48+SQRT(C393*('Assumptions'!$D$48-'Assumptions'!$B$48)*('Assumptions'!$C$48-'Assumptions'!$B$48)),'Assumptions'!$D$48-SQRT((1-C393)*('Assumptions'!$D$48-'Assumptions'!$B$48)*('Assumptions'!$D$48-'Assumptions'!$C$48)))</x:f>
        <x:v>0.08786479939655875</x:v>
      </x:c>
      <x:c r="I393" s="132" t="n">
        <x:f>IF(D393&lt;(('Assumptions'!$C$49-'Assumptions'!$B$49)/('Assumptions'!$D$49-'Assumptions'!$B$49)),'Assumptions'!$B$49+SQRT(D393*('Assumptions'!$D$49-'Assumptions'!$B$49)*('Assumptions'!$C$49-'Assumptions'!$B$49)),'Assumptions'!$D$49-SQRT((1-D393)*('Assumptions'!$D$49-'Assumptions'!$B$49)*('Assumptions'!$D$49-'Assumptions'!$C$49)))</x:f>
        <x:v>0.055030738979173</x:v>
      </x:c>
      <x:c r="J393" s="132" t="n">
        <x:f>IF(E393&lt;(('Assumptions'!$C$50-'Assumptions'!$B$50)/('Assumptions'!$D$50-'Assumptions'!$B$50)),'Assumptions'!$B$50+SQRT(E393*('Assumptions'!$D$50-'Assumptions'!$B$50)*('Assumptions'!$C$50-'Assumptions'!$B$50)),'Assumptions'!$D$50-SQRT((1-E393)*('Assumptions'!$D$50-'Assumptions'!$B$50)*('Assumptions'!$D$50-'Assumptions'!$C$50)))</x:f>
        <x:v>0.07190574801049199</x:v>
      </x:c>
      <x:c r="K393" s="132" t="n">
        <x:f>IF(F393&lt;(('Assumptions'!$C$51-'Assumptions'!$B$51)/('Assumptions'!$D$51-'Assumptions'!$B$51)),'Assumptions'!$B$51+SQRT(F393*('Assumptions'!$D$51-'Assumptions'!$B$51)*('Assumptions'!$C$51-'Assumptions'!$B$51)),'Assumptions'!$D$51-SQRT((1-F393)*('Assumptions'!$D$51-'Assumptions'!$B$51)*('Assumptions'!$D$51-'Assumptions'!$C$51)))</x:f>
        <x:v>0.0761355281636711</x:v>
      </x:c>
      <x:c r="L393" s="133" t="n">
        <x:f>(('Assumptions'!$B$17*(1+G393)+'Assumptions'!$B$18)*(1-H393-'Assumptions'!$B$20)-SUM('Assumptions'!$B$21:$B$25)*(1+I393))-(('Assumptions'!$B$17*(1+G393)+'Assumptions'!$B$18)*(1-H393-'Assumptions'!$B$20)*'Assumptions'!$B$26)</x:f>
        <x:v>211123.34779474066</x:v>
      </x:c>
      <x:c r="M393" s="133" t="n">
        <x:f>'Assumptions'!$B$10*'Assumptions'!$B$33</x:f>
        <x:v>1950000</x:v>
      </x:c>
      <x:c r="N393" s="133" t="n">
        <x:f>-PMT(K393/12,'Assumptions'!$B$35*12,M393)*12</x:f>
        <x:v>165439.50674158882</x:v>
      </x:c>
      <x:c r="O393" s="133" t="n">
        <x:f>(L393*(1+'Assumptions'!$B$29)^('Assumptions'!$B$14/12)/J393)*(1-'Assumptions'!$B$42)-'Debt Schedule'!$F$9</x:f>
        <x:v>3199533.2852892866</x:v>
      </x:c>
      <x:c r="P393" s="132" t="n">
        <x:f>((O393+(L393-N393-'Assumptions'!$B$27-'Assumptions'!$B$28)*('Assumptions'!$B$14/12))/ABS('Monthly Cash Flow'!$S$5))^(1/('Assumptions'!$B$14/12))-1</x:f>
        <x:v>0.2005078822145936</x:v>
      </x:c>
      <x:c r="Q393" s="133" t="n">
        <x:f>-ABS('Monthly Cash Flow'!$S$5)+((L393-N393-'Assumptions'!$B$27-'Assumptions'!$B$28)*(1-(1+'Assumptions'!$B$43)^-('Assumptions'!$B$14/12))/'Assumptions'!$B$43)+(O393/(1+'Assumptions'!$B$43)^('Assumptions'!$B$14/12))</x:f>
        <x:v>713704.6701373372</x:v>
      </x:c>
    </x:row>
    <x:row r="394">
      <x:c r="A394" s="131" t="n">
        <x:f>387</x:f>
        <x:v>387</x:v>
      </x:c>
      <x:c r="B394" s="131" t="n">
        <x:f>MOD(ABS(SIN((A394+1)*12.9898+78.233)*43758.5453),1)</x:f>
        <x:v>0.6911273702316976</x:v>
      </x:c>
      <x:c r="C394" s="131" t="n">
        <x:f>MOD(ABS(SIN((A394+2)*12.9898+78.233)*43758.5453),1)</x:f>
        <x:v>0.5824462713499088</x:v>
      </x:c>
      <x:c r="D394" s="131" t="n">
        <x:f>MOD(ABS(SIN((A394+3)*12.9898+78.233)*43758.5453),1)</x:f>
        <x:v>0.7670509679301176</x:v>
      </x:c>
      <x:c r="E394" s="131" t="n">
        <x:f>MOD(ABS(SIN((A394+4)*12.9898+78.233)*43758.5453),1)</x:f>
        <x:v>0.8367192500008969</x:v>
      </x:c>
      <x:c r="F394" s="131" t="n">
        <x:f>MOD(ABS(SIN((A394+5)*12.9898+78.233)*43758.5453),1)</x:f>
        <x:v>0.33180350634575007</x:v>
      </x:c>
      <x:c r="G394" s="132" t="n">
        <x:f>IF(B394&lt;(('Assumptions'!$C$47-'Assumptions'!$B$47)/('Assumptions'!$D$47-'Assumptions'!$B$47)),'Assumptions'!$B$47+SQRT(B394*('Assumptions'!$D$47-'Assumptions'!$B$47)*('Assumptions'!$C$47-'Assumptions'!$B$47)),'Assumptions'!$D$47-SQRT((1-B394)*('Assumptions'!$D$47-'Assumptions'!$B$47)*('Assumptions'!$D$47-'Assumptions'!$C$47)))</x:f>
        <x:v>0.029700909847332743</x:v>
      </x:c>
      <x:c r="H394" s="132" t="n">
        <x:f>IF(C394&lt;(('Assumptions'!$C$48-'Assumptions'!$B$48)/('Assumptions'!$D$48-'Assumptions'!$B$48)),'Assumptions'!$B$48+SQRT(C394*('Assumptions'!$D$48-'Assumptions'!$B$48)*('Assumptions'!$C$48-'Assumptions'!$B$48)),'Assumptions'!$D$48-SQRT((1-C394)*('Assumptions'!$D$48-'Assumptions'!$B$48)*('Assumptions'!$D$48-'Assumptions'!$C$48)))</x:f>
        <x:v>0.07938257006338192</x:v>
      </x:c>
      <x:c r="I394" s="132" t="n">
        <x:f>IF(D394&lt;(('Assumptions'!$C$49-'Assumptions'!$B$49)/('Assumptions'!$D$49-'Assumptions'!$B$49)),'Assumptions'!$B$49+SQRT(D394*('Assumptions'!$D$49-'Assumptions'!$B$49)*('Assumptions'!$C$49-'Assumptions'!$B$49)),'Assumptions'!$D$49-SQRT((1-D394)*('Assumptions'!$D$49-'Assumptions'!$B$49)*('Assumptions'!$D$49-'Assumptions'!$C$49)))</x:f>
        <x:v>0.07906552958744628</x:v>
      </x:c>
      <x:c r="J394" s="132" t="n">
        <x:f>IF(E394&lt;(('Assumptions'!$C$50-'Assumptions'!$B$50)/('Assumptions'!$D$50-'Assumptions'!$B$50)),'Assumptions'!$B$50+SQRT(E394*('Assumptions'!$D$50-'Assumptions'!$B$50)*('Assumptions'!$C$50-'Assumptions'!$B$50)),'Assumptions'!$D$50-SQRT((1-E394)*('Assumptions'!$D$50-'Assumptions'!$B$50)*('Assumptions'!$D$50-'Assumptions'!$C$50)))</x:f>
        <x:v>0.07322337023755557</x:v>
      </x:c>
      <x:c r="K394" s="132" t="n">
        <x:f>IF(F394&lt;(('Assumptions'!$C$51-'Assumptions'!$B$51)/('Assumptions'!$D$51-'Assumptions'!$B$51)),'Assumptions'!$B$51+SQRT(F394*('Assumptions'!$D$51-'Assumptions'!$B$51)*('Assumptions'!$C$51-'Assumptions'!$B$51)),'Assumptions'!$D$51-SQRT((1-F394)*('Assumptions'!$D$51-'Assumptions'!$B$51)*('Assumptions'!$D$51-'Assumptions'!$C$51)))</x:f>
        <x:v>0.06705227534386868</x:v>
      </x:c>
      <x:c r="L394" s="133" t="n">
        <x:f>(('Assumptions'!$B$17*(1+G394)+'Assumptions'!$B$18)*(1-H394-'Assumptions'!$B$20)-SUM('Assumptions'!$B$21:$B$25)*(1+I394))-(('Assumptions'!$B$17*(1+G394)+'Assumptions'!$B$18)*(1-H394-'Assumptions'!$B$20)*'Assumptions'!$B$26)</x:f>
        <x:v>203829.75128332217</x:v>
      </x:c>
      <x:c r="M394" s="133" t="n">
        <x:f>'Assumptions'!$B$10*'Assumptions'!$B$33</x:f>
        <x:v>1950000</x:v>
      </x:c>
      <x:c r="N394" s="133" t="n">
        <x:f>-PMT(K394/12,'Assumptions'!$B$35*12,M394)*12</x:f>
        <x:v>151076.19644661463</x:v>
      </x:c>
      <x:c r="O394" s="133" t="n">
        <x:f>(L394*(1+'Assumptions'!$B$29)^('Assumptions'!$B$14/12)/J394)*(1-'Assumptions'!$B$42)-'Debt Schedule'!$F$9</x:f>
        <x:v>3033415.0523137837</x:v>
      </x:c>
      <x:c r="P394" s="132" t="n">
        <x:f>((O394+(L394-N394-'Assumptions'!$B$27-'Assumptions'!$B$28)*('Assumptions'!$B$14/12))/ABS('Monthly Cash Flow'!$S$5))^(1/('Assumptions'!$B$14/12))-1</x:f>
        <x:v>0.19061940783637343</x:v>
      </x:c>
      <x:c r="Q394" s="133" t="n">
        <x:f>-ABS('Monthly Cash Flow'!$S$5)+((L394-N394-'Assumptions'!$B$27-'Assumptions'!$B$28)*(1-(1+'Assumptions'!$B$43)^-('Assumptions'!$B$14/12))/'Assumptions'!$B$43)+(O394/(1+'Assumptions'!$B$43)^('Assumptions'!$B$14/12))</x:f>
        <x:v>637358.0946081465</x:v>
      </x:c>
    </x:row>
    <x:row r="395">
      <x:c r="A395" s="131" t="n">
        <x:f>388</x:f>
        <x:v>388</x:v>
      </x:c>
      <x:c r="B395" s="131" t="n">
        <x:f>MOD(ABS(SIN((A395+1)*12.9898+78.233)*43758.5453),1)</x:f>
        <x:v>0.5824462713499088</x:v>
      </x:c>
      <x:c r="C395" s="131" t="n">
        <x:f>MOD(ABS(SIN((A395+2)*12.9898+78.233)*43758.5453),1)</x:f>
        <x:v>0.7670509679301176</x:v>
      </x:c>
      <x:c r="D395" s="131" t="n">
        <x:f>MOD(ABS(SIN((A395+3)*12.9898+78.233)*43758.5453),1)</x:f>
        <x:v>0.8367192500008969</x:v>
      </x:c>
      <x:c r="E395" s="131" t="n">
        <x:f>MOD(ABS(SIN((A395+4)*12.9898+78.233)*43758.5453),1)</x:f>
        <x:v>0.33180350634575007</x:v>
      </x:c>
      <x:c r="F395" s="131" t="n">
        <x:f>MOD(ABS(SIN((A395+5)*12.9898+78.233)*43758.5453),1)</x:f>
        <x:v>0.4721735868770338</x:v>
      </x:c>
      <x:c r="G395" s="132" t="n">
        <x:f>IF(B395&lt;(('Assumptions'!$C$47-'Assumptions'!$B$47)/('Assumptions'!$D$47-'Assumptions'!$B$47)),'Assumptions'!$B$47+SQRT(B395*('Assumptions'!$D$47-'Assumptions'!$B$47)*('Assumptions'!$C$47-'Assumptions'!$B$47)),'Assumptions'!$D$47-SQRT((1-B395)*('Assumptions'!$D$47-'Assumptions'!$B$47)*('Assumptions'!$D$47-'Assumptions'!$C$47)))</x:f>
        <x:v>0.01823159692906888</x:v>
      </x:c>
      <x:c r="H395" s="132" t="n">
        <x:f>IF(C395&lt;(('Assumptions'!$C$48-'Assumptions'!$B$48)/('Assumptions'!$D$48-'Assumptions'!$B$48)),'Assumptions'!$B$48+SQRT(C395*('Assumptions'!$D$48-'Assumptions'!$B$48)*('Assumptions'!$C$48-'Assumptions'!$B$48)),'Assumptions'!$D$48-SQRT((1-C395)*('Assumptions'!$D$48-'Assumptions'!$B$48)*('Assumptions'!$D$48-'Assumptions'!$C$48)))</x:f>
        <x:v>0.09472361010178744</x:v>
      </x:c>
      <x:c r="I395" s="132" t="n">
        <x:f>IF(D395&lt;(('Assumptions'!$C$49-'Assumptions'!$B$49)/('Assumptions'!$D$49-'Assumptions'!$B$49)),'Assumptions'!$B$49+SQRT(D395*('Assumptions'!$D$49-'Assumptions'!$B$49)*('Assumptions'!$C$49-'Assumptions'!$B$49)),'Assumptions'!$D$49-SQRT((1-D395)*('Assumptions'!$D$49-'Assumptions'!$B$49)*('Assumptions'!$D$49-'Assumptions'!$C$49)))</x:f>
        <x:v>0.09061259224397289</x:v>
      </x:c>
      <x:c r="J395" s="132" t="n">
        <x:f>IF(E395&lt;(('Assumptions'!$C$50-'Assumptions'!$B$50)/('Assumptions'!$D$50-'Assumptions'!$B$50)),'Assumptions'!$B$50+SQRT(E395*('Assumptions'!$D$50-'Assumptions'!$B$50)*('Assumptions'!$C$50-'Assumptions'!$B$50)),'Assumptions'!$D$50-SQRT((1-E395)*('Assumptions'!$D$50-'Assumptions'!$B$50)*('Assumptions'!$D$50-'Assumptions'!$C$50)))</x:f>
        <x:v>0.06614035814812058</x:v>
      </x:c>
      <x:c r="K395" s="132" t="n">
        <x:f>IF(F395&lt;(('Assumptions'!$C$51-'Assumptions'!$B$51)/('Assumptions'!$D$51-'Assumptions'!$B$51)),'Assumptions'!$B$51+SQRT(F395*('Assumptions'!$D$51-'Assumptions'!$B$51)*('Assumptions'!$C$51-'Assumptions'!$B$51)),'Assumptions'!$D$51-SQRT((1-F395)*('Assumptions'!$D$51-'Assumptions'!$B$51)*('Assumptions'!$D$51-'Assumptions'!$C$51)))</x:f>
        <x:v>0.06906210612046161</x:v>
      </x:c>
      <x:c r="L395" s="133" t="n">
        <x:f>(('Assumptions'!$B$17*(1+G395)+'Assumptions'!$B$18)*(1-H395-'Assumptions'!$B$20)-SUM('Assumptions'!$B$21:$B$25)*(1+I395))-(('Assumptions'!$B$17*(1+G395)+'Assumptions'!$B$18)*(1-H395-'Assumptions'!$B$20)*'Assumptions'!$B$26)</x:f>
        <x:v>193101.7029413452</x:v>
      </x:c>
      <x:c r="M395" s="133" t="n">
        <x:f>'Assumptions'!$B$10*'Assumptions'!$B$33</x:f>
        <x:v>1950000</x:v>
      </x:c>
      <x:c r="N395" s="133" t="n">
        <x:f>-PMT(K395/12,'Assumptions'!$B$35*12,M395)*12</x:f>
        <x:v>154209.64924106406</x:v>
      </x:c>
      <x:c r="O395" s="133" t="n">
        <x:f>(L395*(1+'Assumptions'!$B$29)^('Assumptions'!$B$14/12)/J395)*(1-'Assumptions'!$B$42)-'Debt Schedule'!$F$9</x:f>
        <x:v>3181511.8021654687</x:v>
      </x:c>
      <x:c r="P395" s="132" t="n">
        <x:f>((O395+(L395-N395-'Assumptions'!$B$27-'Assumptions'!$B$28)*('Assumptions'!$B$14/12))/ABS('Monthly Cash Flow'!$S$5))^(1/('Assumptions'!$B$14/12))-1</x:f>
        <x:v>0.1966163263775067</x:v>
      </x:c>
      <x:c r="Q395" s="133" t="n">
        <x:f>-ABS('Monthly Cash Flow'!$S$5)+((L395-N395-'Assumptions'!$B$27-'Assumptions'!$B$28)*(1-(1+'Assumptions'!$B$43)^-('Assumptions'!$B$14/12))/'Assumptions'!$B$43)+(O395/(1+'Assumptions'!$B$43)^('Assumptions'!$B$14/12))</x:f>
        <x:v>676768.5293547099</x:v>
      </x:c>
    </x:row>
    <x:row r="396">
      <x:c r="A396" s="131" t="n">
        <x:f>389</x:f>
        <x:v>389</x:v>
      </x:c>
      <x:c r="B396" s="131" t="n">
        <x:f>MOD(ABS(SIN((A396+1)*12.9898+78.233)*43758.5453),1)</x:f>
        <x:v>0.7670509679301176</x:v>
      </x:c>
      <x:c r="C396" s="131" t="n">
        <x:f>MOD(ABS(SIN((A396+2)*12.9898+78.233)*43758.5453),1)</x:f>
        <x:v>0.8367192500008969</x:v>
      </x:c>
      <x:c r="D396" s="131" t="n">
        <x:f>MOD(ABS(SIN((A396+3)*12.9898+78.233)*43758.5453),1)</x:f>
        <x:v>0.33180350634575007</x:v>
      </x:c>
      <x:c r="E396" s="131" t="n">
        <x:f>MOD(ABS(SIN((A396+4)*12.9898+78.233)*43758.5453),1)</x:f>
        <x:v>0.4721735868770338</x:v>
      </x:c>
      <x:c r="F396" s="131" t="n">
        <x:f>MOD(ABS(SIN((A396+5)*12.9898+78.233)*43758.5453),1)</x:f>
        <x:v>0.9671800979110685</x:v>
      </x:c>
      <x:c r="G396" s="132" t="n">
        <x:f>IF(B396&lt;(('Assumptions'!$C$47-'Assumptions'!$B$47)/('Assumptions'!$D$47-'Assumptions'!$B$47)),'Assumptions'!$B$47+SQRT(B396*('Assumptions'!$D$47-'Assumptions'!$B$47)*('Assumptions'!$C$47-'Assumptions'!$B$47)),'Assumptions'!$D$47-SQRT((1-B396)*('Assumptions'!$D$47-'Assumptions'!$B$47)*('Assumptions'!$D$47-'Assumptions'!$C$47)))</x:f>
        <x:v>0.03894932831558594</x:v>
      </x:c>
      <x:c r="H396" s="132" t="n">
        <x:f>IF(C396&lt;(('Assumptions'!$C$48-'Assumptions'!$B$48)/('Assumptions'!$D$48-'Assumptions'!$B$48)),'Assumptions'!$B$48+SQRT(C396*('Assumptions'!$D$48-'Assumptions'!$B$48)*('Assumptions'!$C$48-'Assumptions'!$B$48)),'Assumptions'!$D$48-SQRT((1-C396)*('Assumptions'!$D$48-'Assumptions'!$B$48)*('Assumptions'!$D$48-'Assumptions'!$C$48)))</x:f>
        <x:v>0.10209392397000044</x:v>
      </x:c>
      <x:c r="I396" s="132" t="n">
        <x:f>IF(D396&lt;(('Assumptions'!$C$49-'Assumptions'!$B$49)/('Assumptions'!$D$49-'Assumptions'!$B$49)),'Assumptions'!$B$49+SQRT(D396*('Assumptions'!$D$49-'Assumptions'!$B$49)*('Assumptions'!$C$49-'Assumptions'!$B$49)),'Assumptions'!$D$49-SQRT((1-D396)*('Assumptions'!$D$49-'Assumptions'!$B$49)*('Assumptions'!$D$49-'Assumptions'!$C$49)))</x:f>
        <x:v>0.029862157232546344</x:v>
      </x:c>
      <x:c r="J396" s="132" t="n">
        <x:f>IF(E396&lt;(('Assumptions'!$C$50-'Assumptions'!$B$50)/('Assumptions'!$D$50-'Assumptions'!$B$50)),'Assumptions'!$B$50+SQRT(E396*('Assumptions'!$D$50-'Assumptions'!$B$50)*('Assumptions'!$C$50-'Assumptions'!$B$50)),'Assumptions'!$D$50-SQRT((1-E396)*('Assumptions'!$D$50-'Assumptions'!$B$50)*('Assumptions'!$D$50-'Assumptions'!$C$50)))</x:f>
        <x:v>0.06781594572029351</x:v>
      </x:c>
      <x:c r="K396" s="132" t="n">
        <x:f>IF(F396&lt;(('Assumptions'!$C$51-'Assumptions'!$B$51)/('Assumptions'!$D$51-'Assumptions'!$B$51)),'Assumptions'!$B$51+SQRT(F396*('Assumptions'!$D$51-'Assumptions'!$B$51)*('Assumptions'!$C$51-'Assumptions'!$B$51)),'Assumptions'!$D$51-SQRT((1-F396)*('Assumptions'!$D$51-'Assumptions'!$B$51)*('Assumptions'!$D$51-'Assumptions'!$C$51)))</x:f>
        <x:v>0.08102576071677885</x:v>
      </x:c>
      <x:c r="L396" s="133" t="n">
        <x:f>(('Assumptions'!$B$17*(1+G396)+'Assumptions'!$B$18)*(1-H396-'Assumptions'!$B$20)-SUM('Assumptions'!$B$21:$B$25)*(1+I396))-(('Assumptions'!$B$17*(1+G396)+'Assumptions'!$B$18)*(1-H396-'Assumptions'!$B$20)*'Assumptions'!$B$26)</x:f>
        <x:v>204392.72918332674</x:v>
      </x:c>
      <x:c r="M396" s="133" t="n">
        <x:f>'Assumptions'!$B$10*'Assumptions'!$B$33</x:f>
        <x:v>1950000</x:v>
      </x:c>
      <x:c r="N396" s="133" t="n">
        <x:f>-PMT(K396/12,'Assumptions'!$B$35*12,M396)*12</x:f>
        <x:v>173377.12819164575</x:v>
      </x:c>
      <x:c r="O396" s="133" t="n">
        <x:f>(L396*(1+'Assumptions'!$B$29)^('Assumptions'!$B$14/12)/J396)*(1-'Assumptions'!$B$42)-'Debt Schedule'!$F$9</x:f>
        <x:v>3284336.1253302097</x:v>
      </x:c>
      <x:c r="P396" s="132" t="n">
        <x:f>((O396+(L396-N396-'Assumptions'!$B$27-'Assumptions'!$B$28)*('Assumptions'!$B$14/12))/ABS('Monthly Cash Flow'!$S$5))^(1/('Assumptions'!$B$14/12))-1</x:f>
        <x:v>0.201359213664418</x:v>
      </x:c>
      <x:c r="Q396" s="133" t="n">
        <x:f>-ABS('Monthly Cash Flow'!$S$5)+((L396-N396-'Assumptions'!$B$27-'Assumptions'!$B$28)*(1-(1+'Assumptions'!$B$43)^-('Assumptions'!$B$14/12))/'Assumptions'!$B$43)+(O396/(1+'Assumptions'!$B$43)^('Assumptions'!$B$14/12))</x:f>
        <x:v>710756.3914191902</x:v>
      </x:c>
    </x:row>
    <x:row r="397">
      <x:c r="A397" s="131" t="n">
        <x:f>390</x:f>
        <x:v>390</x:v>
      </x:c>
      <x:c r="B397" s="131" t="n">
        <x:f>MOD(ABS(SIN((A397+1)*12.9898+78.233)*43758.5453),1)</x:f>
        <x:v>0.8367192500008969</x:v>
      </x:c>
      <x:c r="C397" s="131" t="n">
        <x:f>MOD(ABS(SIN((A397+2)*12.9898+78.233)*43758.5453),1)</x:f>
        <x:v>0.33180350634575007</x:v>
      </x:c>
      <x:c r="D397" s="131" t="n">
        <x:f>MOD(ABS(SIN((A397+3)*12.9898+78.233)*43758.5453),1)</x:f>
        <x:v>0.4721735868770338</x:v>
      </x:c>
      <x:c r="E397" s="131" t="n">
        <x:f>MOD(ABS(SIN((A397+4)*12.9898+78.233)*43758.5453),1)</x:f>
        <x:v>0.9671800979110685</x:v>
      </x:c>
      <x:c r="F397" s="131" t="n">
        <x:f>MOD(ABS(SIN((A397+5)*12.9898+78.233)*43758.5453),1)</x:f>
        <x:v>0.21470031918943278</x:v>
      </x:c>
      <x:c r="G397" s="132" t="n">
        <x:f>IF(B397&lt;(('Assumptions'!$C$47-'Assumptions'!$B$47)/('Assumptions'!$D$47-'Assumptions'!$B$47)),'Assumptions'!$B$47+SQRT(B397*('Assumptions'!$D$47-'Assumptions'!$B$47)*('Assumptions'!$C$47-'Assumptions'!$B$47)),'Assumptions'!$D$47-SQRT((1-B397)*('Assumptions'!$D$47-'Assumptions'!$B$47)*('Assumptions'!$D$47-'Assumptions'!$C$47)))</x:f>
        <x:v>0.04888745750810619</x:v>
      </x:c>
      <x:c r="H397" s="132" t="n">
        <x:f>IF(C397&lt;(('Assumptions'!$C$48-'Assumptions'!$B$48)/('Assumptions'!$D$48-'Assumptions'!$B$48)),'Assumptions'!$B$48+SQRT(C397*('Assumptions'!$D$48-'Assumptions'!$B$48)*('Assumptions'!$C$48-'Assumptions'!$B$48)),'Assumptions'!$D$48-SQRT((1-C397)*('Assumptions'!$D$48-'Assumptions'!$B$48)*('Assumptions'!$D$48-'Assumptions'!$C$48)))</x:f>
        <x:v>0.06331799986856498</x:v>
      </x:c>
      <x:c r="I397" s="132" t="n">
        <x:f>IF(D397&lt;(('Assumptions'!$C$49-'Assumptions'!$B$49)/('Assumptions'!$D$49-'Assumptions'!$B$49)),'Assumptions'!$B$49+SQRT(D397*('Assumptions'!$D$49-'Assumptions'!$B$49)*('Assumptions'!$C$49-'Assumptions'!$B$49)),'Assumptions'!$D$49-SQRT((1-D397)*('Assumptions'!$D$49-'Assumptions'!$B$49)*('Assumptions'!$D$49-'Assumptions'!$C$49)))</x:f>
        <x:v>0.04322429806619828</x:v>
      </x:c>
      <x:c r="J397" s="132" t="n">
        <x:f>IF(E397&lt;(('Assumptions'!$C$50-'Assumptions'!$B$50)/('Assumptions'!$D$50-'Assumptions'!$B$50)),'Assumptions'!$B$50+SQRT(E397*('Assumptions'!$D$50-'Assumptions'!$B$50)*('Assumptions'!$C$50-'Assumptions'!$B$50)),'Assumptions'!$D$50-SQRT((1-E397)*('Assumptions'!$D$50-'Assumptions'!$B$50)*('Assumptions'!$D$50-'Assumptions'!$C$50)))</x:f>
        <x:v>0.07696181016680788</x:v>
      </x:c>
      <x:c r="K397" s="132" t="n">
        <x:f>IF(F397&lt;(('Assumptions'!$C$51-'Assumptions'!$B$51)/('Assumptions'!$D$51-'Assumptions'!$B$51)),'Assumptions'!$B$51+SQRT(F397*('Assumptions'!$D$51-'Assumptions'!$B$51)*('Assumptions'!$C$51-'Assumptions'!$B$51)),'Assumptions'!$D$51-SQRT((1-F397)*('Assumptions'!$D$51-'Assumptions'!$B$51)*('Assumptions'!$D$51-'Assumptions'!$C$51)))</x:f>
        <x:v>0.06518391747594247</x:v>
      </x:c>
      <x:c r="L397" s="133" t="n">
        <x:f>(('Assumptions'!$B$17*(1+G397)+'Assumptions'!$B$18)*(1-H397-'Assumptions'!$B$20)-SUM('Assumptions'!$B$21:$B$25)*(1+I397))-(('Assumptions'!$B$17*(1+G397)+'Assumptions'!$B$18)*(1-H397-'Assumptions'!$B$20)*'Assumptions'!$B$26)</x:f>
        <x:v>220484.8633097057</x:v>
      </x:c>
      <x:c r="M397" s="133" t="n">
        <x:f>'Assumptions'!$B$10*'Assumptions'!$B$33</x:f>
        <x:v>1950000</x:v>
      </x:c>
      <x:c r="N397" s="133" t="n">
        <x:f>-PMT(K397/12,'Assumptions'!$B$35*12,M397)*12</x:f>
        <x:v>148187.06200663807</x:v>
      </x:c>
      <x:c r="O397" s="133" t="n">
        <x:f>(L397*(1+'Assumptions'!$B$29)^('Assumptions'!$B$14/12)/J397)*(1-'Assumptions'!$B$42)-'Debt Schedule'!$F$9</x:f>
        <x:v>3121889.1829744405</x:v>
      </x:c>
      <x:c r="P397" s="132" t="n">
        <x:f>((O397+(L397-N397-'Assumptions'!$B$27-'Assumptions'!$B$28)*('Assumptions'!$B$14/12))/ABS('Monthly Cash Flow'!$S$5))^(1/('Assumptions'!$B$14/12))-1</x:f>
        <x:v>0.20460252962633252</x:v>
      </x:c>
      <x:c r="Q397" s="133" t="n">
        <x:f>-ABS('Monthly Cash Flow'!$S$5)+((L397-N397-'Assumptions'!$B$27-'Assumptions'!$B$28)*(1-(1+'Assumptions'!$B$43)^-('Assumptions'!$B$14/12))/'Assumptions'!$B$43)+(O397/(1+'Assumptions'!$B$43)^('Assumptions'!$B$14/12))</x:f>
        <x:v>766381.6397972056</x:v>
      </x:c>
    </x:row>
    <x:row r="398">
      <x:c r="A398" s="131" t="n">
        <x:f>391</x:f>
        <x:v>391</x:v>
      </x:c>
      <x:c r="B398" s="131" t="n">
        <x:f>MOD(ABS(SIN((A398+1)*12.9898+78.233)*43758.5453),1)</x:f>
        <x:v>0.33180350634575007</x:v>
      </x:c>
      <x:c r="C398" s="131" t="n">
        <x:f>MOD(ABS(SIN((A398+2)*12.9898+78.233)*43758.5453),1)</x:f>
        <x:v>0.4721735868770338</x:v>
      </x:c>
      <x:c r="D398" s="131" t="n">
        <x:f>MOD(ABS(SIN((A398+3)*12.9898+78.233)*43758.5453),1)</x:f>
        <x:v>0.9671800979110685</x:v>
      </x:c>
      <x:c r="E398" s="131" t="n">
        <x:f>MOD(ABS(SIN((A398+4)*12.9898+78.233)*43758.5453),1)</x:f>
        <x:v>0.21470031918943278</x:v>
      </x:c>
      <x:c r="F398" s="131" t="n">
        <x:f>MOD(ABS(SIN((A398+5)*12.9898+78.233)*43758.5453),1)</x:f>
        <x:v>0.7336698855360737</x:v>
      </x:c>
      <x:c r="G398" s="132" t="n">
        <x:f>IF(B398&lt;(('Assumptions'!$C$47-'Assumptions'!$B$47)/('Assumptions'!$D$47-'Assumptions'!$B$47)),'Assumptions'!$B$47+SQRT(B398*('Assumptions'!$D$47-'Assumptions'!$B$47)*('Assumptions'!$C$47-'Assumptions'!$B$47)),'Assumptions'!$D$47-SQRT((1-B398)*('Assumptions'!$D$47-'Assumptions'!$B$47)*('Assumptions'!$D$47-'Assumptions'!$C$47)))</x:f>
        <x:v>-0.010762764765497118</x:v>
      </x:c>
      <x:c r="H398" s="132" t="n">
        <x:f>IF(C398&lt;(('Assumptions'!$C$48-'Assumptions'!$B$48)/('Assumptions'!$D$48-'Assumptions'!$B$48)),'Assumptions'!$B$48+SQRT(C398*('Assumptions'!$D$48-'Assumptions'!$B$48)*('Assumptions'!$C$48-'Assumptions'!$B$48)),'Assumptions'!$D$48-SQRT((1-C398)*('Assumptions'!$D$48-'Assumptions'!$B$48)*('Assumptions'!$D$48-'Assumptions'!$C$48)))</x:f>
        <x:v>0.07184669901257826</x:v>
      </x:c>
      <x:c r="I398" s="132" t="n">
        <x:f>IF(D398&lt;(('Assumptions'!$C$49-'Assumptions'!$B$49)/('Assumptions'!$D$49-'Assumptions'!$B$49)),'Assumptions'!$B$49+SQRT(D398*('Assumptions'!$D$49-'Assumptions'!$B$49)*('Assumptions'!$C$49-'Assumptions'!$B$49)),'Assumptions'!$D$49-SQRT((1-D398)*('Assumptions'!$D$49-'Assumptions'!$B$49)*('Assumptions'!$D$49-'Assumptions'!$C$49)))</x:f>
        <x:v>0.12337463831004505</x:v>
      </x:c>
      <x:c r="J398" s="132" t="n">
        <x:f>IF(E398&lt;(('Assumptions'!$C$50-'Assumptions'!$B$50)/('Assumptions'!$D$50-'Assumptions'!$B$50)),'Assumptions'!$B$50+SQRT(E398*('Assumptions'!$D$50-'Assumptions'!$B$50)*('Assumptions'!$C$50-'Assumptions'!$B$50)),'Assumptions'!$D$50-SQRT((1-E398)*('Assumptions'!$D$50-'Assumptions'!$B$50)*('Assumptions'!$D$50-'Assumptions'!$C$50)))</x:f>
        <x:v>0.06445036486938796</x:v>
      </x:c>
      <x:c r="K398" s="132" t="n">
        <x:f>IF(F398&lt;(('Assumptions'!$C$51-'Assumptions'!$B$51)/('Assumptions'!$D$51-'Assumptions'!$B$51)),'Assumptions'!$B$51+SQRT(F398*('Assumptions'!$D$51-'Assumptions'!$B$51)*('Assumptions'!$C$51-'Assumptions'!$B$51)),'Assumptions'!$D$51-SQRT((1-F398)*('Assumptions'!$D$51-'Assumptions'!$B$51)*('Assumptions'!$D$51-'Assumptions'!$C$51)))</x:f>
        <x:v>0.07367872058529759</x:v>
      </x:c>
      <x:c r="L398" s="133" t="n">
        <x:f>(('Assumptions'!$B$17*(1+G398)+'Assumptions'!$B$18)*(1-H398-'Assumptions'!$B$20)-SUM('Assumptions'!$B$21:$B$25)*(1+I398))-(('Assumptions'!$B$17*(1+G398)+'Assumptions'!$B$18)*(1-H398-'Assumptions'!$B$20)*'Assumptions'!$B$26)</x:f>
        <x:v>188219.09185542027</x:v>
      </x:c>
      <x:c r="M398" s="133" t="n">
        <x:f>'Assumptions'!$B$10*'Assumptions'!$B$33</x:f>
        <x:v>1950000</x:v>
      </x:c>
      <x:c r="N398" s="133" t="n">
        <x:f>-PMT(K398/12,'Assumptions'!$B$35*12,M398)*12</x:f>
        <x:v>161504.32371980505</x:v>
      </x:c>
      <x:c r="O398" s="133" t="n">
        <x:f>(L398*(1+'Assumptions'!$B$29)^('Assumptions'!$B$14/12)/J398)*(1-'Assumptions'!$B$42)-'Debt Schedule'!$F$9</x:f>
        <x:v>3182381.7147251167</x:v>
      </x:c>
      <x:c r="P398" s="132" t="n">
        <x:f>((O398+(L398-N398-'Assumptions'!$B$27-'Assumptions'!$B$28)*('Assumptions'!$B$14/12))/ABS('Monthly Cash Flow'!$S$5))^(1/('Assumptions'!$B$14/12))-1</x:f>
        <x:v>0.1920592441421063</x:v>
      </x:c>
      <x:c r="Q398" s="133" t="n">
        <x:f>-ABS('Monthly Cash Flow'!$S$5)+((L398-N398-'Assumptions'!$B$27-'Assumptions'!$B$28)*(1-(1+'Assumptions'!$B$43)^-('Assumptions'!$B$14/12))/'Assumptions'!$B$43)+(O398/(1+'Assumptions'!$B$43)^('Assumptions'!$B$14/12))</x:f>
        <x:v>631147.1836063482</x:v>
      </x:c>
    </x:row>
    <x:row r="399">
      <x:c r="A399" s="131" t="n">
        <x:f>392</x:f>
        <x:v>392</x:v>
      </x:c>
      <x:c r="B399" s="131" t="n">
        <x:f>MOD(ABS(SIN((A399+1)*12.9898+78.233)*43758.5453),1)</x:f>
        <x:v>0.4721735868770338</x:v>
      </x:c>
      <x:c r="C399" s="131" t="n">
        <x:f>MOD(ABS(SIN((A399+2)*12.9898+78.233)*43758.5453),1)</x:f>
        <x:v>0.9671800979110685</x:v>
      </x:c>
      <x:c r="D399" s="131" t="n">
        <x:f>MOD(ABS(SIN((A399+3)*12.9898+78.233)*43758.5453),1)</x:f>
        <x:v>0.21470031918943278</x:v>
      </x:c>
      <x:c r="E399" s="131" t="n">
        <x:f>MOD(ABS(SIN((A399+4)*12.9898+78.233)*43758.5453),1)</x:f>
        <x:v>0.7336698855360737</x:v>
      </x:c>
      <x:c r="F399" s="131" t="n">
        <x:f>MOD(ABS(SIN((A399+5)*12.9898+78.233)*43758.5453),1)</x:f>
        <x:v>0.6431399149514618</x:v>
      </x:c>
      <x:c r="G399" s="132" t="n">
        <x:f>IF(B399&lt;(('Assumptions'!$C$47-'Assumptions'!$B$47)/('Assumptions'!$D$47-'Assumptions'!$B$47)),'Assumptions'!$B$47+SQRT(B399*('Assumptions'!$D$47-'Assumptions'!$B$47)*('Assumptions'!$C$47-'Assumptions'!$B$47)),'Assumptions'!$D$47-SQRT((1-B399)*('Assumptions'!$D$47-'Assumptions'!$B$47)*('Assumptions'!$D$47-'Assumptions'!$C$47)))</x:f>
        <x:v>0.006452647149090718</x:v>
      </x:c>
      <x:c r="H399" s="132" t="n">
        <x:f>IF(C399&lt;(('Assumptions'!$C$48-'Assumptions'!$B$48)/('Assumptions'!$D$48-'Assumptions'!$B$48)),'Assumptions'!$B$48+SQRT(C399*('Assumptions'!$D$48-'Assumptions'!$B$48)*('Assumptions'!$C$48-'Assumptions'!$B$48)),'Assumptions'!$D$48-SQRT((1-C399)*('Assumptions'!$D$48-'Assumptions'!$B$48)*('Assumptions'!$D$48-'Assumptions'!$C$48)))</x:f>
        <x:v>0.1230054379761467</x:v>
      </x:c>
      <x:c r="I399" s="132" t="n">
        <x:f>IF(D399&lt;(('Assumptions'!$C$49-'Assumptions'!$B$49)/('Assumptions'!$D$49-'Assumptions'!$B$49)),'Assumptions'!$B$49+SQRT(D399*('Assumptions'!$D$49-'Assumptions'!$B$49)*('Assumptions'!$C$49-'Assumptions'!$B$49)),'Assumptions'!$D$49-SQRT((1-D399)*('Assumptions'!$D$49-'Assumptions'!$B$49)*('Assumptions'!$D$49-'Assumptions'!$C$49)))</x:f>
        <x:v>0.018153540339687108</x:v>
      </x:c>
      <x:c r="J399" s="132" t="n">
        <x:f>IF(E399&lt;(('Assumptions'!$C$50-'Assumptions'!$B$50)/('Assumptions'!$D$50-'Assumptions'!$B$50)),'Assumptions'!$B$50+SQRT(E399*('Assumptions'!$D$50-'Assumptions'!$B$50)*('Assumptions'!$C$50-'Assumptions'!$B$50)),'Assumptions'!$D$50-SQRT((1-E399)*('Assumptions'!$D$50-'Assumptions'!$B$50)*('Assumptions'!$D$50-'Assumptions'!$C$50)))</x:f>
        <x:v>0.07134521261422447</x:v>
      </x:c>
      <x:c r="K399" s="132" t="n">
        <x:f>IF(F399&lt;(('Assumptions'!$C$51-'Assumptions'!$B$51)/('Assumptions'!$D$51-'Assumptions'!$B$51)),'Assumptions'!$B$51+SQRT(F399*('Assumptions'!$D$51-'Assumptions'!$B$51)*('Assumptions'!$C$51-'Assumptions'!$B$51)),'Assumptions'!$D$51-SQRT((1-F399)*('Assumptions'!$D$51-'Assumptions'!$B$51)*('Assumptions'!$D$51-'Assumptions'!$C$51)))</x:f>
        <x:v>0.0718950804684039</x:v>
      </x:c>
      <x:c r="L399" s="133" t="n">
        <x:f>(('Assumptions'!$B$17*(1+G399)+'Assumptions'!$B$18)*(1-H399-'Assumptions'!$B$20)-SUM('Assumptions'!$B$21:$B$25)*(1+I399))-(('Assumptions'!$B$17*(1+G399)+'Assumptions'!$B$18)*(1-H399-'Assumptions'!$B$20)*'Assumptions'!$B$26)</x:f>
        <x:v>188261.06867658618</x:v>
      </x:c>
      <x:c r="M399" s="133" t="n">
        <x:f>'Assumptions'!$B$10*'Assumptions'!$B$33</x:f>
        <x:v>1950000</x:v>
      </x:c>
      <x:c r="N399" s="133" t="n">
        <x:f>-PMT(K399/12,'Assumptions'!$B$35*12,M399)*12</x:f>
        <x:v>158670.27506155134</x:v>
      </x:c>
      <x:c r="O399" s="133" t="n">
        <x:f>(L399*(1+'Assumptions'!$B$29)^('Assumptions'!$B$14/12)/J399)*(1-'Assumptions'!$B$42)-'Debt Schedule'!$F$9</x:f>
        <x:v>2875475.4248061394</x:v>
      </x:c>
      <x:c r="P399" s="132" t="n">
        <x:f>((O399+(L399-N399-'Assumptions'!$B$27-'Assumptions'!$B$28)*('Assumptions'!$B$14/12))/ABS('Monthly Cash Flow'!$S$5))^(1/('Assumptions'!$B$14/12))-1</x:f>
        <x:v>0.16878593132988762</x:v>
      </x:c>
      <x:c r="Q399" s="133" t="n">
        <x:f>-ABS('Monthly Cash Flow'!$S$5)+((L399-N399-'Assumptions'!$B$27-'Assumptions'!$B$28)*(1-(1+'Assumptions'!$B$43)^-('Assumptions'!$B$14/12))/'Assumptions'!$B$43)+(O399/(1+'Assumptions'!$B$43)^('Assumptions'!$B$14/12))</x:f>
        <x:v>451484.92335054604</x:v>
      </x:c>
    </x:row>
    <x:row r="400">
      <x:c r="A400" s="131" t="n">
        <x:f>393</x:f>
        <x:v>393</x:v>
      </x:c>
      <x:c r="B400" s="131" t="n">
        <x:f>MOD(ABS(SIN((A400+1)*12.9898+78.233)*43758.5453),1)</x:f>
        <x:v>0.9671800979110685</x:v>
      </x:c>
      <x:c r="C400" s="131" t="n">
        <x:f>MOD(ABS(SIN((A400+2)*12.9898+78.233)*43758.5453),1)</x:f>
        <x:v>0.21470031918943278</x:v>
      </x:c>
      <x:c r="D400" s="131" t="n">
        <x:f>MOD(ABS(SIN((A400+3)*12.9898+78.233)*43758.5453),1)</x:f>
        <x:v>0.7336698855360737</x:v>
      </x:c>
      <x:c r="E400" s="131" t="n">
        <x:f>MOD(ABS(SIN((A400+4)*12.9898+78.233)*43758.5453),1)</x:f>
        <x:v>0.6431399149514618</x:v>
      </x:c>
      <x:c r="F400" s="131" t="n">
        <x:f>MOD(ABS(SIN((A400+5)*12.9898+78.233)*43758.5453),1)</x:f>
        <x:v>0.6947206984987133</x:v>
      </x:c>
      <x:c r="G400" s="132" t="n">
        <x:f>IF(B400&lt;(('Assumptions'!$C$47-'Assumptions'!$B$47)/('Assumptions'!$D$47-'Assumptions'!$B$47)),'Assumptions'!$B$47+SQRT(B400*('Assumptions'!$D$47-'Assumptions'!$B$47)*('Assumptions'!$C$47-'Assumptions'!$B$47)),'Assumptions'!$D$47-SQRT((1-B400)*('Assumptions'!$D$47-'Assumptions'!$B$47)*('Assumptions'!$D$47-'Assumptions'!$C$47)))</x:f>
        <x:v>0.07708453724179012</x:v>
      </x:c>
      <x:c r="H400" s="132" t="n">
        <x:f>IF(C400&lt;(('Assumptions'!$C$48-'Assumptions'!$B$48)/('Assumptions'!$D$48-'Assumptions'!$B$48)),'Assumptions'!$B$48+SQRT(C400*('Assumptions'!$D$48-'Assumptions'!$B$48)*('Assumptions'!$C$48-'Assumptions'!$B$48)),'Assumptions'!$D$48-SQRT((1-C400)*('Assumptions'!$D$48-'Assumptions'!$B$48)*('Assumptions'!$D$48-'Assumptions'!$C$48)))</x:f>
        <x:v>0.056617870938997505</x:v>
      </x:c>
      <x:c r="I400" s="132" t="n">
        <x:f>IF(D400&lt;(('Assumptions'!$C$49-'Assumptions'!$B$49)/('Assumptions'!$D$49-'Assumptions'!$B$49)),'Assumptions'!$B$49+SQRT(D400*('Assumptions'!$D$49-'Assumptions'!$B$49)*('Assumptions'!$C$49-'Assumptions'!$B$49)),'Assumptions'!$D$49-SQRT((1-D400)*('Assumptions'!$D$49-'Assumptions'!$B$49)*('Assumptions'!$D$49-'Assumptions'!$C$49)))</x:f>
        <x:v>0.0741532434943932</x:v>
      </x:c>
      <x:c r="J400" s="132" t="n">
        <x:f>IF(E400&lt;(('Assumptions'!$C$50-'Assumptions'!$B$50)/('Assumptions'!$D$50-'Assumptions'!$B$50)),'Assumptions'!$B$50+SQRT(E400*('Assumptions'!$D$50-'Assumptions'!$B$50)*('Assumptions'!$C$50-'Assumptions'!$B$50)),'Assumptions'!$D$50-SQRT((1-E400)*('Assumptions'!$D$50-'Assumptions'!$B$50)*('Assumptions'!$D$50-'Assumptions'!$C$50)))</x:f>
        <x:v>0.06998167185005895</x:v>
      </x:c>
      <x:c r="K400" s="132" t="n">
        <x:f>IF(F400&lt;(('Assumptions'!$C$51-'Assumptions'!$B$51)/('Assumptions'!$D$51-'Assumptions'!$B$51)),'Assumptions'!$B$51+SQRT(F400*('Assumptions'!$D$51-'Assumptions'!$B$51)*('Assumptions'!$C$51-'Assumptions'!$B$51)),'Assumptions'!$D$51-SQRT((1-F400)*('Assumptions'!$D$51-'Assumptions'!$B$51)*('Assumptions'!$D$51-'Assumptions'!$C$51)))</x:f>
        <x:v>0.0728791228103122</x:v>
      </x:c>
      <x:c r="L400" s="133" t="n">
        <x:f>(('Assumptions'!$B$17*(1+G400)+'Assumptions'!$B$18)*(1-H400-'Assumptions'!$B$20)-SUM('Assumptions'!$B$21:$B$25)*(1+I400))-(('Assumptions'!$B$17*(1+G400)+'Assumptions'!$B$18)*(1-H400-'Assumptions'!$B$20)*'Assumptions'!$B$26)</x:f>
        <x:v>228228.08658456246</x:v>
      </x:c>
      <x:c r="M400" s="133" t="n">
        <x:f>'Assumptions'!$B$10*'Assumptions'!$B$33</x:f>
        <x:v>1950000</x:v>
      </x:c>
      <x:c r="N400" s="133" t="n">
        <x:f>-PMT(K400/12,'Assumptions'!$B$35*12,M400)*12</x:f>
        <x:v>160231.4196245725</x:v>
      </x:c>
      <x:c r="O400" s="133" t="n">
        <x:f>(L400*(1+'Assumptions'!$B$29)^('Assumptions'!$B$14/12)/J400)*(1-'Assumptions'!$B$42)-'Debt Schedule'!$F$9</x:f>
        <x:v>3553847.214584581</x:v>
      </x:c>
      <x:c r="P400" s="132" t="n">
        <x:f>((O400+(L400-N400-'Assumptions'!$B$27-'Assumptions'!$B$28)*('Assumptions'!$B$14/12))/ABS('Monthly Cash Flow'!$S$5))^(1/('Assumptions'!$B$14/12))-1</x:f>
        <x:v>0.23331775242457264</x:v>
      </x:c>
      <x:c r="Q400" s="133" t="n">
        <x:f>-ABS('Monthly Cash Flow'!$S$5)+((L400-N400-'Assumptions'!$B$27-'Assumptions'!$B$28)*(1-(1+'Assumptions'!$B$43)^-('Assumptions'!$B$14/12))/'Assumptions'!$B$43)+(O400/(1+'Assumptions'!$B$43)^('Assumptions'!$B$14/12))</x:f>
        <x:v>1018288.9091294152</x:v>
      </x:c>
    </x:row>
    <x:row r="401">
      <x:c r="A401" s="131" t="n">
        <x:f>394</x:f>
        <x:v>394</x:v>
      </x:c>
      <x:c r="B401" s="131" t="n">
        <x:f>MOD(ABS(SIN((A401+1)*12.9898+78.233)*43758.5453),1)</x:f>
        <x:v>0.21470031918943278</x:v>
      </x:c>
      <x:c r="C401" s="131" t="n">
        <x:f>MOD(ABS(SIN((A401+2)*12.9898+78.233)*43758.5453),1)</x:f>
        <x:v>0.7336698855360737</x:v>
      </x:c>
      <x:c r="D401" s="131" t="n">
        <x:f>MOD(ABS(SIN((A401+3)*12.9898+78.233)*43758.5453),1)</x:f>
        <x:v>0.6431399149514618</x:v>
      </x:c>
      <x:c r="E401" s="131" t="n">
        <x:f>MOD(ABS(SIN((A401+4)*12.9898+78.233)*43758.5453),1)</x:f>
        <x:v>0.6947206984987133</x:v>
      </x:c>
      <x:c r="F401" s="131" t="n">
        <x:f>MOD(ABS(SIN((A401+5)*12.9898+78.233)*43758.5453),1)</x:f>
        <x:v>0.44287257104588207</x:v>
      </x:c>
      <x:c r="G401" s="132" t="n">
        <x:f>IF(B401&lt;(('Assumptions'!$C$47-'Assumptions'!$B$47)/('Assumptions'!$D$47-'Assumptions'!$B$47)),'Assumptions'!$B$47+SQRT(B401*('Assumptions'!$D$47-'Assumptions'!$B$47)*('Assumptions'!$C$47-'Assumptions'!$B$47)),'Assumptions'!$D$47-SQRT((1-B401)*('Assumptions'!$D$47-'Assumptions'!$B$47)*('Assumptions'!$D$47-'Assumptions'!$C$47)))</x:f>
        <x:v>-0.0282169402954542</x:v>
      </x:c>
      <x:c r="H401" s="132" t="n">
        <x:f>IF(C401&lt;(('Assumptions'!$C$48-'Assumptions'!$B$48)/('Assumptions'!$D$48-'Assumptions'!$B$48)),'Assumptions'!$B$48+SQRT(C401*('Assumptions'!$D$48-'Assumptions'!$B$48)*('Assumptions'!$C$48-'Assumptions'!$B$48)),'Assumptions'!$D$48-SQRT((1-C401)*('Assumptions'!$D$48-'Assumptions'!$B$48)*('Assumptions'!$D$48-'Assumptions'!$C$48)))</x:f>
        <x:v>0.09158817285742511</x:v>
      </x:c>
      <x:c r="I401" s="132" t="n">
        <x:f>IF(D401&lt;(('Assumptions'!$C$49-'Assumptions'!$B$49)/('Assumptions'!$D$49-'Assumptions'!$B$49)),'Assumptions'!$B$49+SQRT(D401*('Assumptions'!$D$49-'Assumptions'!$B$49)*('Assumptions'!$C$49-'Assumptions'!$B$49)),'Assumptions'!$D$49-SQRT((1-D401)*('Assumptions'!$D$49-'Assumptions'!$B$49)*('Assumptions'!$D$49-'Assumptions'!$C$49)))</x:f>
        <x:v>0.06220377094061258</x:v>
      </x:c>
      <x:c r="J401" s="132" t="n">
        <x:f>IF(E401&lt;(('Assumptions'!$C$50-'Assumptions'!$B$50)/('Assumptions'!$D$50-'Assumptions'!$B$50)),'Assumptions'!$B$50+SQRT(E401*('Assumptions'!$D$50-'Assumptions'!$B$50)*('Assumptions'!$C$50-'Assumptions'!$B$50)),'Assumptions'!$D$50-SQRT((1-E401)*('Assumptions'!$D$50-'Assumptions'!$B$50)*('Assumptions'!$D$50-'Assumptions'!$C$50)))</x:f>
        <x:v>0.07073394347377285</x:v>
      </x:c>
      <x:c r="K401" s="132" t="n">
        <x:f>IF(F401&lt;(('Assumptions'!$C$51-'Assumptions'!$B$51)/('Assumptions'!$D$51-'Assumptions'!$B$51)),'Assumptions'!$B$51+SQRT(F401*('Assumptions'!$D$51-'Assumptions'!$B$51)*('Assumptions'!$C$51-'Assumptions'!$B$51)),'Assumptions'!$D$51-SQRT((1-F401)*('Assumptions'!$D$51-'Assumptions'!$B$51)*('Assumptions'!$D$51-'Assumptions'!$C$51)))</x:f>
        <x:v>0.06862570382629626</x:v>
      </x:c>
      <x:c r="L401" s="133" t="n">
        <x:f>(('Assumptions'!$B$17*(1+G401)+'Assumptions'!$B$18)*(1-H401-'Assumptions'!$B$20)-SUM('Assumptions'!$B$21:$B$25)*(1+I401))-(('Assumptions'!$B$17*(1+G401)+'Assumptions'!$B$18)*(1-H401-'Assumptions'!$B$20)*'Assumptions'!$B$26)</x:f>
        <x:v>183416.8990891599</x:v>
      </x:c>
      <x:c r="M401" s="133" t="n">
        <x:f>'Assumptions'!$B$10*'Assumptions'!$B$33</x:f>
        <x:v>1950000</x:v>
      </x:c>
      <x:c r="N401" s="133" t="n">
        <x:f>-PMT(K401/12,'Assumptions'!$B$35*12,M401)*12</x:f>
        <x:v>153527.04872368457</x:v>
      </x:c>
      <x:c r="O401" s="133" t="n">
        <x:f>(L401*(1+'Assumptions'!$B$29)^('Assumptions'!$B$14/12)/J401)*(1-'Assumptions'!$B$42)-'Debt Schedule'!$F$9</x:f>
        <x:v>2825696.1047636005</x:v>
      </x:c>
      <x:c r="P401" s="132" t="n">
        <x:f>((O401+(L401-N401-'Assumptions'!$B$27-'Assumptions'!$B$28)*('Assumptions'!$B$14/12))/ABS('Monthly Cash Flow'!$S$5))^(1/('Assumptions'!$B$14/12))-1</x:f>
        <x:v>0.16476077347408435</x:v>
      </x:c>
      <x:c r="Q401" s="133" t="n">
        <x:f>-ABS('Monthly Cash Flow'!$S$5)+((L401-N401-'Assumptions'!$B$27-'Assumptions'!$B$28)*(1-(1+'Assumptions'!$B$43)^-('Assumptions'!$B$14/12))/'Assumptions'!$B$43)+(O401/(1+'Assumptions'!$B$43)^('Assumptions'!$B$14/12))</x:f>
        <x:v>421709.5424616197</x:v>
      </x:c>
    </x:row>
    <x:row r="402">
      <x:c r="A402" s="131" t="n">
        <x:f>395</x:f>
        <x:v>395</x:v>
      </x:c>
      <x:c r="B402" s="131" t="n">
        <x:f>MOD(ABS(SIN((A402+1)*12.9898+78.233)*43758.5453),1)</x:f>
        <x:v>0.7336698855360737</x:v>
      </x:c>
      <x:c r="C402" s="131" t="n">
        <x:f>MOD(ABS(SIN((A402+2)*12.9898+78.233)*43758.5453),1)</x:f>
        <x:v>0.6431399149514618</x:v>
      </x:c>
      <x:c r="D402" s="131" t="n">
        <x:f>MOD(ABS(SIN((A402+3)*12.9898+78.233)*43758.5453),1)</x:f>
        <x:v>0.6947206984987133</x:v>
      </x:c>
      <x:c r="E402" s="131" t="n">
        <x:f>MOD(ABS(SIN((A402+4)*12.9898+78.233)*43758.5453),1)</x:f>
        <x:v>0.44287257104588207</x:v>
      </x:c>
      <x:c r="F402" s="131" t="n">
        <x:f>MOD(ABS(SIN((A402+5)*12.9898+78.233)*43758.5453),1)</x:f>
        <x:v>0.7119995470202412</x:v>
      </x:c>
      <x:c r="G402" s="132" t="n">
        <x:f>IF(B402&lt;(('Assumptions'!$C$47-'Assumptions'!$B$47)/('Assumptions'!$D$47-'Assumptions'!$B$47)),'Assumptions'!$B$47+SQRT(B402*('Assumptions'!$D$47-'Assumptions'!$B$47)*('Assumptions'!$C$47-'Assumptions'!$B$47)),'Assumptions'!$D$47-SQRT((1-B402)*('Assumptions'!$D$47-'Assumptions'!$B$47)*('Assumptions'!$D$47-'Assumptions'!$C$47)))</x:f>
        <x:v>0.03472150559776352</x:v>
      </x:c>
      <x:c r="H402" s="132" t="n">
        <x:f>IF(C402&lt;(('Assumptions'!$C$48-'Assumptions'!$B$48)/('Assumptions'!$D$48-'Assumptions'!$B$48)),'Assumptions'!$B$48+SQRT(C402*('Assumptions'!$D$48-'Assumptions'!$B$48)*('Assumptions'!$C$48-'Assumptions'!$B$48)),'Assumptions'!$D$48-SQRT((1-C402)*('Assumptions'!$D$48-'Assumptions'!$B$48)*('Assumptions'!$D$48-'Assumptions'!$C$48)))</x:f>
        <x:v>0.08396100689317182</x:v>
      </x:c>
      <x:c r="I402" s="132" t="n">
        <x:f>IF(D402&lt;(('Assumptions'!$C$49-'Assumptions'!$B$49)/('Assumptions'!$D$49-'Assumptions'!$B$49)),'Assumptions'!$B$49+SQRT(D402*('Assumptions'!$D$49-'Assumptions'!$B$49)*('Assumptions'!$C$49-'Assumptions'!$B$49)),'Assumptions'!$D$49-SQRT((1-D402)*('Assumptions'!$D$49-'Assumptions'!$B$49)*('Assumptions'!$D$49-'Assumptions'!$C$49)))</x:f>
        <x:v>0.06879634914347882</x:v>
      </x:c>
      <x:c r="J402" s="132" t="n">
        <x:f>IF(E402&lt;(('Assumptions'!$C$50-'Assumptions'!$B$50)/('Assumptions'!$D$50-'Assumptions'!$B$50)),'Assumptions'!$B$50+SQRT(E402*('Assumptions'!$D$50-'Assumptions'!$B$50)*('Assumptions'!$C$50-'Assumptions'!$B$50)),'Assumptions'!$D$50-SQRT((1-E402)*('Assumptions'!$D$50-'Assumptions'!$B$50)*('Assumptions'!$D$50-'Assumptions'!$C$50)))</x:f>
        <x:v>0.06748230076111332</x:v>
      </x:c>
      <x:c r="K402" s="132" t="n">
        <x:f>IF(F402&lt;(('Assumptions'!$C$51-'Assumptions'!$B$51)/('Assumptions'!$D$51-'Assumptions'!$B$51)),'Assumptions'!$B$51+SQRT(F402*('Assumptions'!$D$51-'Assumptions'!$B$51)*('Assumptions'!$C$51-'Assumptions'!$B$51)),'Assumptions'!$D$51-SQRT((1-F402)*('Assumptions'!$D$51-'Assumptions'!$B$51)*('Assumptions'!$D$51-'Assumptions'!$C$51)))</x:f>
        <x:v>0.07322714061935212</x:v>
      </x:c>
      <x:c r="L402" s="133" t="n">
        <x:f>(('Assumptions'!$B$17*(1+G402)+'Assumptions'!$B$18)*(1-H402-'Assumptions'!$B$20)-SUM('Assumptions'!$B$21:$B$25)*(1+I402))-(('Assumptions'!$B$17*(1+G402)+'Assumptions'!$B$18)*(1-H402-'Assumptions'!$B$20)*'Assumptions'!$B$26)</x:f>
        <x:v>204987.33334928803</x:v>
      </x:c>
      <x:c r="M402" s="133" t="n">
        <x:f>'Assumptions'!$B$10*'Assumptions'!$B$33</x:f>
        <x:v>1950000</x:v>
      </x:c>
      <x:c r="N402" s="133" t="n">
        <x:f>-PMT(K402/12,'Assumptions'!$B$35*12,M402)*12</x:f>
        <x:v>160784.9604309188</x:v>
      </x:c>
      <x:c r="O402" s="133" t="n">
        <x:f>(L402*(1+'Assumptions'!$B$29)^('Assumptions'!$B$14/12)/J402)*(1-'Assumptions'!$B$42)-'Debt Schedule'!$F$9</x:f>
        <x:v>3310176.2762324177</x:v>
      </x:c>
      <x:c r="P402" s="132" t="n">
        <x:f>((O402+(L402-N402-'Assumptions'!$B$27-'Assumptions'!$B$28)*('Assumptions'!$B$14/12))/ABS('Monthly Cash Flow'!$S$5))^(1/('Assumptions'!$B$14/12))-1</x:f>
        <x:v>0.20809036700531625</x:v>
      </x:c>
      <x:c r="Q402" s="133" t="n">
        <x:f>-ABS('Monthly Cash Flow'!$S$5)+((L402-N402-'Assumptions'!$B$27-'Assumptions'!$B$28)*(1-(1+'Assumptions'!$B$43)^-('Assumptions'!$B$14/12))/'Assumptions'!$B$43)+(O402/(1+'Assumptions'!$B$43)^('Assumptions'!$B$14/12))</x:f>
        <x:v>776789.3326563342</x:v>
      </x:c>
    </x:row>
    <x:row r="403">
      <x:c r="A403" s="131" t="n">
        <x:f>396</x:f>
        <x:v>396</x:v>
      </x:c>
      <x:c r="B403" s="131" t="n">
        <x:f>MOD(ABS(SIN((A403+1)*12.9898+78.233)*43758.5453),1)</x:f>
        <x:v>0.6431399149514618</x:v>
      </x:c>
      <x:c r="C403" s="131" t="n">
        <x:f>MOD(ABS(SIN((A403+2)*12.9898+78.233)*43758.5453),1)</x:f>
        <x:v>0.6947206984987133</x:v>
      </x:c>
      <x:c r="D403" s="131" t="n">
        <x:f>MOD(ABS(SIN((A403+3)*12.9898+78.233)*43758.5453),1)</x:f>
        <x:v>0.44287257104588207</x:v>
      </x:c>
      <x:c r="E403" s="131" t="n">
        <x:f>MOD(ABS(SIN((A403+4)*12.9898+78.233)*43758.5453),1)</x:f>
        <x:v>0.7119995470202412</x:v>
      </x:c>
      <x:c r="F403" s="131" t="n">
        <x:f>MOD(ABS(SIN((A403+5)*12.9898+78.233)*43758.5453),1)</x:f>
        <x:v>0.38928924581068713</x:v>
      </x:c>
      <x:c r="G403" s="132" t="n">
        <x:f>IF(B403&lt;(('Assumptions'!$C$47-'Assumptions'!$B$47)/('Assumptions'!$D$47-'Assumptions'!$B$47)),'Assumptions'!$B$47+SQRT(B403*('Assumptions'!$D$47-'Assumptions'!$B$47)*('Assumptions'!$C$47-'Assumptions'!$B$47)),'Assumptions'!$D$47-SQRT((1-B403)*('Assumptions'!$D$47-'Assumptions'!$B$47)*('Assumptions'!$D$47-'Assumptions'!$C$47)))</x:f>
        <x:v>0.024437037109595744</x:v>
      </x:c>
      <x:c r="H403" s="132" t="n">
        <x:f>IF(C403&lt;(('Assumptions'!$C$48-'Assumptions'!$B$48)/('Assumptions'!$D$48-'Assumptions'!$B$48)),'Assumptions'!$B$48+SQRT(C403*('Assumptions'!$D$48-'Assumptions'!$B$48)*('Assumptions'!$C$48-'Assumptions'!$B$48)),'Assumptions'!$D$48-SQRT((1-C403)*('Assumptions'!$D$48-'Assumptions'!$B$48)*('Assumptions'!$D$48-'Assumptions'!$C$48)))</x:f>
        <x:v>0.08816894894745697</x:v>
      </x:c>
      <x:c r="I403" s="132" t="n">
        <x:f>IF(D403&lt;(('Assumptions'!$C$49-'Assumptions'!$B$49)/('Assumptions'!$D$49-'Assumptions'!$B$49)),'Assumptions'!$B$49+SQRT(D403*('Assumptions'!$D$49-'Assumptions'!$B$49)*('Assumptions'!$C$49-'Assumptions'!$B$49)),'Assumptions'!$D$49-SQRT((1-D403)*('Assumptions'!$D$49-'Assumptions'!$B$49)*('Assumptions'!$D$49-'Assumptions'!$C$49)))</x:f>
        <x:v>0.04030062686866005</x:v>
      </x:c>
      <x:c r="J403" s="132" t="n">
        <x:f>IF(E403&lt;(('Assumptions'!$C$50-'Assumptions'!$B$50)/('Assumptions'!$D$50-'Assumptions'!$B$50)),'Assumptions'!$B$50+SQRT(E403*('Assumptions'!$D$50-'Assumptions'!$B$50)*('Assumptions'!$C$50-'Assumptions'!$B$50)),'Assumptions'!$D$50-SQRT((1-E403)*('Assumptions'!$D$50-'Assumptions'!$B$50)*('Assumptions'!$D$50-'Assumptions'!$C$50)))</x:f>
        <x:v>0.07099999292219406</x:v>
      </x:c>
      <x:c r="K403" s="132" t="n">
        <x:f>IF(F403&lt;(('Assumptions'!$C$51-'Assumptions'!$B$51)/('Assumptions'!$D$51-'Assumptions'!$B$51)),'Assumptions'!$B$51+SQRT(F403*('Assumptions'!$D$51-'Assumptions'!$B$51)*('Assumptions'!$C$51-'Assumptions'!$B$51)),'Assumptions'!$D$51-SQRT((1-F403)*('Assumptions'!$D$51-'Assumptions'!$B$51)*('Assumptions'!$D$51-'Assumptions'!$C$51)))</x:f>
        <x:v>0.06785635539176087</x:v>
      </x:c>
      <x:c r="L403" s="133" t="n">
        <x:f>(('Assumptions'!$B$17*(1+G403)+'Assumptions'!$B$18)*(1-H403-'Assumptions'!$B$20)-SUM('Assumptions'!$B$21:$B$25)*(1+I403))-(('Assumptions'!$B$17*(1+G403)+'Assumptions'!$B$18)*(1-H403-'Assumptions'!$B$20)*'Assumptions'!$B$26)</x:f>
        <x:v>203794.93287491132</x:v>
      </x:c>
      <x:c r="M403" s="133" t="n">
        <x:f>'Assumptions'!$B$10*'Assumptions'!$B$33</x:f>
        <x:v>1950000</x:v>
      </x:c>
      <x:c r="N403" s="133" t="n">
        <x:f>-PMT(K403/12,'Assumptions'!$B$35*12,M403)*12</x:f>
        <x:v>152326.6615382405</x:v>
      </x:c>
      <x:c r="O403" s="133" t="n">
        <x:f>(L403*(1+'Assumptions'!$B$29)^('Assumptions'!$B$14/12)/J403)*(1-'Assumptions'!$B$42)-'Debt Schedule'!$F$9</x:f>
        <x:v>3127872.582601873</x:v>
      </x:c>
      <x:c r="P403" s="132" t="n">
        <x:f>((O403+(L403-N403-'Assumptions'!$B$27-'Assumptions'!$B$28)*('Assumptions'!$B$14/12))/ABS('Monthly Cash Flow'!$S$5))^(1/('Assumptions'!$B$14/12))-1</x:f>
        <x:v>0.1973119320508976</x:v>
      </x:c>
      <x:c r="Q403" s="133" t="n">
        <x:f>-ABS('Monthly Cash Flow'!$S$5)+((L403-N403-'Assumptions'!$B$27-'Assumptions'!$B$28)*(1-(1+'Assumptions'!$B$43)^-('Assumptions'!$B$14/12))/'Assumptions'!$B$43)+(O403/(1+'Assumptions'!$B$43)^('Assumptions'!$B$14/12))</x:f>
        <x:v>691136.5536006491</x:v>
      </x:c>
    </x:row>
    <x:row r="404">
      <x:c r="A404" s="131" t="n">
        <x:f>397</x:f>
        <x:v>397</x:v>
      </x:c>
      <x:c r="B404" s="131" t="n">
        <x:f>MOD(ABS(SIN((A404+1)*12.9898+78.233)*43758.5453),1)</x:f>
        <x:v>0.6947206984987133</x:v>
      </x:c>
      <x:c r="C404" s="131" t="n">
        <x:f>MOD(ABS(SIN((A404+2)*12.9898+78.233)*43758.5453),1)</x:f>
        <x:v>0.44287257104588207</x:v>
      </x:c>
      <x:c r="D404" s="131" t="n">
        <x:f>MOD(ABS(SIN((A404+3)*12.9898+78.233)*43758.5453),1)</x:f>
        <x:v>0.7119995470202412</x:v>
      </x:c>
      <x:c r="E404" s="131" t="n">
        <x:f>MOD(ABS(SIN((A404+4)*12.9898+78.233)*43758.5453),1)</x:f>
        <x:v>0.38928924581068713</x:v>
      </x:c>
      <x:c r="F404" s="131" t="n">
        <x:f>MOD(ABS(SIN((A404+5)*12.9898+78.233)*43758.5453),1)</x:f>
        <x:v>0.2708218550669699</x:v>
      </x:c>
      <x:c r="G404" s="132" t="n">
        <x:f>IF(B404&lt;(('Assumptions'!$C$47-'Assumptions'!$B$47)/('Assumptions'!$D$47-'Assumptions'!$B$47)),'Assumptions'!$B$47+SQRT(B404*('Assumptions'!$D$47-'Assumptions'!$B$47)*('Assumptions'!$C$47-'Assumptions'!$B$47)),'Assumptions'!$D$47-SQRT((1-B404)*('Assumptions'!$D$47-'Assumptions'!$B$47)*('Assumptions'!$D$47-'Assumptions'!$C$47)))</x:f>
        <x:v>0.03011102501810041</x:v>
      </x:c>
      <x:c r="H404" s="132" t="n">
        <x:f>IF(C404&lt;(('Assumptions'!$C$48-'Assumptions'!$B$48)/('Assumptions'!$D$48-'Assumptions'!$B$48)),'Assumptions'!$B$48+SQRT(C404*('Assumptions'!$D$48-'Assumptions'!$B$48)*('Assumptions'!$C$48-'Assumptions'!$B$48)),'Assumptions'!$D$48-SQRT((1-C404)*('Assumptions'!$D$48-'Assumptions'!$B$48)*('Assumptions'!$D$48-'Assumptions'!$C$48)))</x:f>
        <x:v>0.06998056430678523</x:v>
      </x:c>
      <x:c r="I404" s="132" t="n">
        <x:f>IF(D404&lt;(('Assumptions'!$C$49-'Assumptions'!$B$49)/('Assumptions'!$D$49-'Assumptions'!$B$49)),'Assumptions'!$B$49+SQRT(D404*('Assumptions'!$D$49-'Assumptions'!$B$49)*('Assumptions'!$C$49-'Assumptions'!$B$49)),'Assumptions'!$D$49-SQRT((1-D404)*('Assumptions'!$D$49-'Assumptions'!$B$49)*('Assumptions'!$D$49-'Assumptions'!$C$49)))</x:f>
        <x:v>0.07112788969247247</x:v>
      </x:c>
      <x:c r="J404" s="132" t="n">
        <x:f>IF(E404&lt;(('Assumptions'!$C$50-'Assumptions'!$B$50)/('Assumptions'!$D$50-'Assumptions'!$B$50)),'Assumptions'!$B$50+SQRT(E404*('Assumptions'!$D$50-'Assumptions'!$B$50)*('Assumptions'!$C$50-'Assumptions'!$B$50)),'Assumptions'!$D$50-SQRT((1-E404)*('Assumptions'!$D$50-'Assumptions'!$B$50)*('Assumptions'!$D$50-'Assumptions'!$C$50)))</x:f>
        <x:v>0.06685895722329174</x:v>
      </x:c>
      <x:c r="K404" s="132" t="n">
        <x:f>IF(F404&lt;(('Assumptions'!$C$51-'Assumptions'!$B$51)/('Assumptions'!$D$51-'Assumptions'!$B$51)),'Assumptions'!$B$51+SQRT(F404*('Assumptions'!$D$51-'Assumptions'!$B$51)*('Assumptions'!$C$51-'Assumptions'!$B$51)),'Assumptions'!$D$51-SQRT((1-F404)*('Assumptions'!$D$51-'Assumptions'!$B$51)*('Assumptions'!$D$51-'Assumptions'!$C$51)))</x:f>
        <x:v>0.06612994844384465</x:v>
      </x:c>
      <x:c r="L404" s="133" t="n">
        <x:f>(('Assumptions'!$B$17*(1+G404)+'Assumptions'!$B$18)*(1-H404-'Assumptions'!$B$20)-SUM('Assumptions'!$B$21:$B$25)*(1+I404))-(('Assumptions'!$B$17*(1+G404)+'Assumptions'!$B$18)*(1-H404-'Assumptions'!$B$20)*'Assumptions'!$B$26)</x:f>
        <x:v>208468.6016046769</x:v>
      </x:c>
      <x:c r="M404" s="133" t="n">
        <x:f>'Assumptions'!$B$10*'Assumptions'!$B$33</x:f>
        <x:v>1950000</x:v>
      </x:c>
      <x:c r="N404" s="133" t="n">
        <x:f>-PMT(K404/12,'Assumptions'!$B$35*12,M404)*12</x:f>
        <x:v>149647.06475579558</x:v>
      </x:c>
      <x:c r="O404" s="133" t="n">
        <x:f>(L404*(1+'Assumptions'!$B$29)^('Assumptions'!$B$14/12)/J404)*(1-'Assumptions'!$B$42)-'Debt Schedule'!$F$9</x:f>
        <x:v>3397778.2465022425</x:v>
      </x:c>
      <x:c r="P404" s="132" t="n">
        <x:f>((O404+(L404-N404-'Assumptions'!$B$27-'Assumptions'!$B$28)*('Assumptions'!$B$14/12))/ABS('Monthly Cash Flow'!$S$5))^(1/('Assumptions'!$B$14/12))-1</x:f>
        <x:v>0.21952750198266124</x:v>
      </x:c>
      <x:c r="Q404" s="133" t="n">
        <x:f>-ABS('Monthly Cash Flow'!$S$5)+((L404-N404-'Assumptions'!$B$27-'Assumptions'!$B$28)*(1-(1+'Assumptions'!$B$43)^-('Assumptions'!$B$14/12))/'Assumptions'!$B$43)+(O404/(1+'Assumptions'!$B$43)^('Assumptions'!$B$14/12))</x:f>
        <x:v>886601.3971464611</x:v>
      </x:c>
    </x:row>
    <x:row r="405">
      <x:c r="A405" s="131" t="n">
        <x:f>398</x:f>
        <x:v>398</x:v>
      </x:c>
      <x:c r="B405" s="131" t="n">
        <x:f>MOD(ABS(SIN((A405+1)*12.9898+78.233)*43758.5453),1)</x:f>
        <x:v>0.44287257104588207</x:v>
      </x:c>
      <x:c r="C405" s="131" t="n">
        <x:f>MOD(ABS(SIN((A405+2)*12.9898+78.233)*43758.5453),1)</x:f>
        <x:v>0.7119995470202412</x:v>
      </x:c>
      <x:c r="D405" s="131" t="n">
        <x:f>MOD(ABS(SIN((A405+3)*12.9898+78.233)*43758.5453),1)</x:f>
        <x:v>0.38928924581068713</x:v>
      </x:c>
      <x:c r="E405" s="131" t="n">
        <x:f>MOD(ABS(SIN((A405+4)*12.9898+78.233)*43758.5453),1)</x:f>
        <x:v>0.2708218550669699</x:v>
      </x:c>
      <x:c r="F405" s="131" t="n">
        <x:f>MOD(ABS(SIN((A405+5)*12.9898+78.233)*43758.5453),1)</x:f>
        <x:v>0.7026119141446543</x:v>
      </x:c>
      <x:c r="G405" s="132" t="n">
        <x:f>IF(B405&lt;(('Assumptions'!$C$47-'Assumptions'!$B$47)/('Assumptions'!$D$47-'Assumptions'!$B$47)),'Assumptions'!$B$47+SQRT(B405*('Assumptions'!$D$47-'Assumptions'!$B$47)*('Assumptions'!$C$47-'Assumptions'!$B$47)),'Assumptions'!$D$47-SQRT((1-B405)*('Assumptions'!$D$47-'Assumptions'!$B$47)*('Assumptions'!$D$47-'Assumptions'!$C$47)))</x:f>
        <x:v>0.0030967589456679795</x:v>
      </x:c>
      <x:c r="H405" s="132" t="n">
        <x:f>IF(C405&lt;(('Assumptions'!$C$48-'Assumptions'!$B$48)/('Assumptions'!$D$48-'Assumptions'!$B$48)),'Assumptions'!$B$48+SQRT(C405*('Assumptions'!$D$48-'Assumptions'!$B$48)*('Assumptions'!$C$48-'Assumptions'!$B$48)),'Assumptions'!$D$48-SQRT((1-C405)*('Assumptions'!$D$48-'Assumptions'!$B$48)*('Assumptions'!$D$48-'Assumptions'!$C$48)))</x:f>
        <x:v>0.08965713569708336</x:v>
      </x:c>
      <x:c r="I405" s="132" t="n">
        <x:f>IF(D405&lt;(('Assumptions'!$C$49-'Assumptions'!$B$49)/('Assumptions'!$D$49-'Assumptions'!$B$49)),'Assumptions'!$B$49+SQRT(D405*('Assumptions'!$D$49-'Assumptions'!$B$49)*('Assumptions'!$C$49-'Assumptions'!$B$49)),'Assumptions'!$D$49-SQRT((1-D405)*('Assumptions'!$D$49-'Assumptions'!$B$49)*('Assumptions'!$D$49-'Assumptions'!$C$49)))</x:f>
        <x:v>0.03514638756012435</x:v>
      </x:c>
      <x:c r="J405" s="132" t="n">
        <x:f>IF(E405&lt;(('Assumptions'!$C$50-'Assumptions'!$B$50)/('Assumptions'!$D$50-'Assumptions'!$B$50)),'Assumptions'!$B$50+SQRT(E405*('Assumptions'!$D$50-'Assumptions'!$B$50)*('Assumptions'!$C$50-'Assumptions'!$B$50)),'Assumptions'!$D$50-SQRT((1-E405)*('Assumptions'!$D$50-'Assumptions'!$B$50)*('Assumptions'!$D$50-'Assumptions'!$C$50)))</x:f>
        <x:v>0.06530608207682115</x:v>
      </x:c>
      <x:c r="K405" s="132" t="n">
        <x:f>IF(F405&lt;(('Assumptions'!$C$51-'Assumptions'!$B$51)/('Assumptions'!$D$51-'Assumptions'!$B$51)),'Assumptions'!$B$51+SQRT(F405*('Assumptions'!$D$51-'Assumptions'!$B$51)*('Assumptions'!$C$51-'Assumptions'!$B$51)),'Assumptions'!$D$51-SQRT((1-F405)*('Assumptions'!$D$51-'Assumptions'!$B$51)*('Assumptions'!$D$51-'Assumptions'!$C$51)))</x:f>
        <x:v>0.07303680576443378</x:v>
      </x:c>
      <x:c r="L405" s="133" t="n">
        <x:f>(('Assumptions'!$B$17*(1+G405)+'Assumptions'!$B$18)*(1-H405-'Assumptions'!$B$20)-SUM('Assumptions'!$B$21:$B$25)*(1+I405))-(('Assumptions'!$B$17*(1+G405)+'Assumptions'!$B$18)*(1-H405-'Assumptions'!$B$20)*'Assumptions'!$B$26)</x:f>
        <x:v>197251.5566151817</x:v>
      </x:c>
      <x:c r="M405" s="133" t="n">
        <x:f>'Assumptions'!$B$10*'Assumptions'!$B$33</x:f>
        <x:v>1950000</x:v>
      </x:c>
      <x:c r="N405" s="133" t="n">
        <x:f>-PMT(K405/12,'Assumptions'!$B$35*12,M405)*12</x:f>
        <x:v>160482.13095492698</x:v>
      </x:c>
      <x:c r="O405" s="133" t="n">
        <x:f>(L405*(1+'Assumptions'!$B$29)^('Assumptions'!$B$14/12)/J405)*(1-'Assumptions'!$B$42)-'Debt Schedule'!$F$9</x:f>
        <x:v>3291400.9219614747</x:v>
      </x:c>
      <x:c r="P405" s="132" t="n">
        <x:f>((O405+(L405-N405-'Assumptions'!$B$27-'Assumptions'!$B$28)*('Assumptions'!$B$14/12))/ABS('Monthly Cash Flow'!$S$5))^(1/('Assumptions'!$B$14/12))-1</x:f>
        <x:v>0.20400538240124755</x:v>
      </x:c>
      <x:c r="Q405" s="133" t="n">
        <x:f>-ABS('Monthly Cash Flow'!$S$5)+((L405-N405-'Assumptions'!$B$27-'Assumptions'!$B$28)*(1-(1+'Assumptions'!$B$43)^-('Assumptions'!$B$14/12))/'Assumptions'!$B$43)+(O405/(1+'Assumptions'!$B$43)^('Assumptions'!$B$14/12))</x:f>
        <x:v>736954.5967177446</x:v>
      </x:c>
    </x:row>
    <x:row r="406">
      <x:c r="A406" s="131" t="n">
        <x:f>399</x:f>
        <x:v>399</x:v>
      </x:c>
      <x:c r="B406" s="131" t="n">
        <x:f>MOD(ABS(SIN((A406+1)*12.9898+78.233)*43758.5453),1)</x:f>
        <x:v>0.7119995470202412</x:v>
      </x:c>
      <x:c r="C406" s="131" t="n">
        <x:f>MOD(ABS(SIN((A406+2)*12.9898+78.233)*43758.5453),1)</x:f>
        <x:v>0.38928924581068713</x:v>
      </x:c>
      <x:c r="D406" s="131" t="n">
        <x:f>MOD(ABS(SIN((A406+3)*12.9898+78.233)*43758.5453),1)</x:f>
        <x:v>0.2708218550669699</x:v>
      </x:c>
      <x:c r="E406" s="131" t="n">
        <x:f>MOD(ABS(SIN((A406+4)*12.9898+78.233)*43758.5453),1)</x:f>
        <x:v>0.7026119141446543</x:v>
      </x:c>
      <x:c r="F406" s="131" t="n">
        <x:f>MOD(ABS(SIN((A406+5)*12.9898+78.233)*43758.5453),1)</x:f>
        <x:v>0.9387513262117864</x:v>
      </x:c>
      <x:c r="G406" s="132" t="n">
        <x:f>IF(B406&lt;(('Assumptions'!$C$47-'Assumptions'!$B$47)/('Assumptions'!$D$47-'Assumptions'!$B$47)),'Assumptions'!$B$47+SQRT(B406*('Assumptions'!$D$47-'Assumptions'!$B$47)*('Assumptions'!$C$47-'Assumptions'!$B$47)),'Assumptions'!$D$47-SQRT((1-B406)*('Assumptions'!$D$47-'Assumptions'!$B$47)*('Assumptions'!$D$47-'Assumptions'!$C$47)))</x:f>
        <x:v>0.03211769562193589</x:v>
      </x:c>
      <x:c r="H406" s="132" t="n">
        <x:f>IF(C406&lt;(('Assumptions'!$C$48-'Assumptions'!$B$48)/('Assumptions'!$D$48-'Assumptions'!$B$48)),'Assumptions'!$B$48+SQRT(C406*('Assumptions'!$D$48-'Assumptions'!$B$48)*('Assumptions'!$C$48-'Assumptions'!$B$48)),'Assumptions'!$D$48-SQRT((1-C406)*('Assumptions'!$D$48-'Assumptions'!$B$48)*('Assumptions'!$D$48-'Assumptions'!$C$48)))</x:f>
        <x:v>0.06669069201754832</x:v>
      </x:c>
      <x:c r="I406" s="132" t="n">
        <x:f>IF(D406&lt;(('Assumptions'!$C$49-'Assumptions'!$B$49)/('Assumptions'!$D$49-'Assumptions'!$B$49)),'Assumptions'!$B$49+SQRT(D406*('Assumptions'!$D$49-'Assumptions'!$B$49)*('Assumptions'!$C$49-'Assumptions'!$B$49)),'Assumptions'!$D$49-SQRT((1-D406)*('Assumptions'!$D$49-'Assumptions'!$B$49)*('Assumptions'!$D$49-'Assumptions'!$C$49)))</x:f>
        <x:v>0.024082123060427965</x:v>
      </x:c>
      <x:c r="J406" s="132" t="n">
        <x:f>IF(E406&lt;(('Assumptions'!$C$50-'Assumptions'!$B$50)/('Assumptions'!$D$50-'Assumptions'!$B$50)),'Assumptions'!$B$50+SQRT(E406*('Assumptions'!$D$50-'Assumptions'!$B$50)*('Assumptions'!$C$50-'Assumptions'!$B$50)),'Assumptions'!$D$50-SQRT((1-E406)*('Assumptions'!$D$50-'Assumptions'!$B$50)*('Assumptions'!$D$50-'Assumptions'!$C$50)))</x:f>
        <x:v>0.07085448748583131</x:v>
      </x:c>
      <x:c r="K406" s="132" t="n">
        <x:f>IF(F406&lt;(('Assumptions'!$C$51-'Assumptions'!$B$51)/('Assumptions'!$D$51-'Assumptions'!$B$51)),'Assumptions'!$B$51+SQRT(F406*('Assumptions'!$D$51-'Assumptions'!$B$51)*('Assumptions'!$C$51-'Assumptions'!$B$51)),'Assumptions'!$D$51-SQRT((1-F406)*('Assumptions'!$D$51-'Assumptions'!$B$51)*('Assumptions'!$D$51-'Assumptions'!$C$51)))</x:f>
        <x:v>0.07957082655825237</x:v>
      </x:c>
      <x:c r="L406" s="133" t="n">
        <x:f>(('Assumptions'!$B$17*(1+G406)+'Assumptions'!$B$18)*(1-H406-'Assumptions'!$B$20)-SUM('Assumptions'!$B$21:$B$25)*(1+I406))-(('Assumptions'!$B$17*(1+G406)+'Assumptions'!$B$18)*(1-H406-'Assumptions'!$B$20)*'Assumptions'!$B$26)</x:f>
        <x:v>216264.75264039417</x:v>
      </x:c>
      <x:c r="M406" s="133" t="n">
        <x:f>'Assumptions'!$B$10*'Assumptions'!$B$33</x:f>
        <x:v>1950000</x:v>
      </x:c>
      <x:c r="N406" s="133" t="n">
        <x:f>-PMT(K406/12,'Assumptions'!$B$35*12,M406)*12</x:f>
        <x:v>171001.33395061782</x:v>
      </x:c>
      <x:c r="O406" s="133" t="n">
        <x:f>(L406*(1+'Assumptions'!$B$29)^('Assumptions'!$B$14/12)/J406)*(1-'Assumptions'!$B$42)-'Debt Schedule'!$F$9</x:f>
        <x:v>3326077.4585771</x:v>
      </x:c>
      <x:c r="P406" s="132" t="n">
        <x:f>((O406+(L406-N406-'Assumptions'!$B$27-'Assumptions'!$B$28)*('Assumptions'!$B$14/12))/ABS('Monthly Cash Flow'!$S$5))^(1/('Assumptions'!$B$14/12))-1</x:f>
        <x:v>0.20962461070411154</x:v>
      </x:c>
      <x:c r="Q406" s="133" t="n">
        <x:f>-ABS('Monthly Cash Flow'!$S$5)+((L406-N406-'Assumptions'!$B$27-'Assumptions'!$B$28)*(1-(1+'Assumptions'!$B$43)^-('Assumptions'!$B$14/12))/'Assumptions'!$B$43)+(O406/(1+'Assumptions'!$B$43)^('Assumptions'!$B$14/12))</x:f>
        <x:v>790684.914107986</x:v>
      </x:c>
    </x:row>
    <x:row r="407">
      <x:c r="A407" s="131" t="n">
        <x:f>400</x:f>
        <x:v>400</x:v>
      </x:c>
      <x:c r="B407" s="131" t="n">
        <x:f>MOD(ABS(SIN((A407+1)*12.9898+78.233)*43758.5453),1)</x:f>
        <x:v>0.38928924581068713</x:v>
      </x:c>
      <x:c r="C407" s="131" t="n">
        <x:f>MOD(ABS(SIN((A407+2)*12.9898+78.233)*43758.5453),1)</x:f>
        <x:v>0.2708218550669699</x:v>
      </x:c>
      <x:c r="D407" s="131" t="n">
        <x:f>MOD(ABS(SIN((A407+3)*12.9898+78.233)*43758.5453),1)</x:f>
        <x:v>0.7026119141446543</x:v>
      </x:c>
      <x:c r="E407" s="131" t="n">
        <x:f>MOD(ABS(SIN((A407+4)*12.9898+78.233)*43758.5453),1)</x:f>
        <x:v>0.9387513262117864</x:v>
      </x:c>
      <x:c r="F407" s="131" t="n">
        <x:f>MOD(ABS(SIN((A407+5)*12.9898+78.233)*43758.5453),1)</x:f>
        <x:v>0.18089368455548538</x:v>
      </x:c>
      <x:c r="G407" s="132" t="n">
        <x:f>IF(B407&lt;(('Assumptions'!$C$47-'Assumptions'!$B$47)/('Assumptions'!$D$47-'Assumptions'!$B$47)),'Assumptions'!$B$47+SQRT(B407*('Assumptions'!$D$47-'Assumptions'!$B$47)*('Assumptions'!$C$47-'Assumptions'!$B$47)),'Assumptions'!$D$47-SQRT((1-B407)*('Assumptions'!$D$47-'Assumptions'!$B$47)*('Assumptions'!$D$47-'Assumptions'!$C$47)))</x:f>
        <x:v>-0.003341105430195973</x:v>
      </x:c>
      <x:c r="H407" s="132" t="n">
        <x:f>IF(C407&lt;(('Assumptions'!$C$48-'Assumptions'!$B$48)/('Assumptions'!$D$48-'Assumptions'!$B$48)),'Assumptions'!$B$48+SQRT(C407*('Assumptions'!$D$48-'Assumptions'!$B$48)*('Assumptions'!$C$48-'Assumptions'!$B$48)),'Assumptions'!$D$48-SQRT((1-C407)*('Assumptions'!$D$48-'Assumptions'!$B$48)*('Assumptions'!$D$48-'Assumptions'!$C$48)))</x:f>
        <x:v>0.059895018342877804</x:v>
      </x:c>
      <x:c r="I407" s="132" t="n">
        <x:f>IF(D407&lt;(('Assumptions'!$C$49-'Assumptions'!$B$49)/('Assumptions'!$D$49-'Assumptions'!$B$49)),'Assumptions'!$B$49+SQRT(D407*('Assumptions'!$D$49-'Assumptions'!$B$49)*('Assumptions'!$C$49-'Assumptions'!$B$49)),'Assumptions'!$D$49-SQRT((1-D407)*('Assumptions'!$D$49-'Assumptions'!$B$49)*('Assumptions'!$D$49-'Assumptions'!$C$49)))</x:f>
        <x:v>0.06985274393670443</x:v>
      </x:c>
      <x:c r="J407" s="132" t="n">
        <x:f>IF(E407&lt;(('Assumptions'!$C$50-'Assumptions'!$B$50)/('Assumptions'!$D$50-'Assumptions'!$B$50)),'Assumptions'!$B$50+SQRT(E407*('Assumptions'!$D$50-'Assumptions'!$B$50)*('Assumptions'!$C$50-'Assumptions'!$B$50)),'Assumptions'!$D$50-SQRT((1-E407)*('Assumptions'!$D$50-'Assumptions'!$B$50)*('Assumptions'!$D$50-'Assumptions'!$C$50)))</x:f>
        <x:v>0.07584955550537836</x:v>
      </x:c>
      <x:c r="K407" s="132" t="n">
        <x:f>IF(F407&lt;(('Assumptions'!$C$51-'Assumptions'!$B$51)/('Assumptions'!$D$51-'Assumptions'!$B$51)),'Assumptions'!$B$51+SQRT(F407*('Assumptions'!$D$51-'Assumptions'!$B$51)*('Assumptions'!$C$51-'Assumptions'!$B$51)),'Assumptions'!$D$51-SQRT((1-F407)*('Assumptions'!$D$51-'Assumptions'!$B$51)*('Assumptions'!$D$51-'Assumptions'!$C$51)))</x:f>
        <x:v>0.0645530676483895</x:v>
      </x:c>
      <x:c r="L407" s="133" t="n">
        <x:f>(('Assumptions'!$B$17*(1+G407)+'Assumptions'!$B$18)*(1-H407-'Assumptions'!$B$20)-SUM('Assumptions'!$B$21:$B$25)*(1+I407))-(('Assumptions'!$B$17*(1+G407)+'Assumptions'!$B$18)*(1-H407-'Assumptions'!$B$20)*'Assumptions'!$B$26)</x:f>
        <x:v>201641.07077274972</x:v>
      </x:c>
      <x:c r="M407" s="133" t="n">
        <x:f>'Assumptions'!$B$10*'Assumptions'!$B$33</x:f>
        <x:v>1950000</x:v>
      </x:c>
      <x:c r="N407" s="133" t="n">
        <x:f>-PMT(K407/12,'Assumptions'!$B$35*12,M407)*12</x:f>
        <x:v>147216.80351476674</x:v>
      </x:c>
      <x:c r="O407" s="133" t="n">
        <x:f>(L407*(1+'Assumptions'!$B$29)^('Assumptions'!$B$14/12)/J407)*(1-'Assumptions'!$B$42)-'Debt Schedule'!$F$9</x:f>
        <x:v>2896942.8793251533</x:v>
      </x:c>
      <x:c r="P407" s="132" t="n">
        <x:f>((O407+(L407-N407-'Assumptions'!$B$27-'Assumptions'!$B$28)*('Assumptions'!$B$14/12))/ABS('Monthly Cash Flow'!$S$5))^(1/('Assumptions'!$B$14/12))-1</x:f>
        <x:v>0.18060197984840776</x:v>
      </x:c>
      <x:c r="Q407" s="133" t="n">
        <x:f>-ABS('Monthly Cash Flow'!$S$5)+((L407-N407-'Assumptions'!$B$27-'Assumptions'!$B$28)*(1-(1+'Assumptions'!$B$43)^-('Assumptions'!$B$14/12))/'Assumptions'!$B$43)+(O407/(1+'Assumptions'!$B$43)^('Assumptions'!$B$14/12))</x:f>
        <x:v>558952.9269373454</x:v>
      </x:c>
    </x:row>
    <x:row r="408">
      <x:c r="A408" s="131" t="n">
        <x:f>401</x:f>
        <x:v>401</x:v>
      </x:c>
      <x:c r="B408" s="131" t="n">
        <x:f>MOD(ABS(SIN((A408+1)*12.9898+78.233)*43758.5453),1)</x:f>
        <x:v>0.2708218550669699</x:v>
      </x:c>
      <x:c r="C408" s="131" t="n">
        <x:f>MOD(ABS(SIN((A408+2)*12.9898+78.233)*43758.5453),1)</x:f>
        <x:v>0.7026119141446543</x:v>
      </x:c>
      <x:c r="D408" s="131" t="n">
        <x:f>MOD(ABS(SIN((A408+3)*12.9898+78.233)*43758.5453),1)</x:f>
        <x:v>0.9387513262117864</x:v>
      </x:c>
      <x:c r="E408" s="131" t="n">
        <x:f>MOD(ABS(SIN((A408+4)*12.9898+78.233)*43758.5453),1)</x:f>
        <x:v>0.18089368455548538</x:v>
      </x:c>
      <x:c r="F408" s="131" t="n">
        <x:f>MOD(ABS(SIN((A408+5)*12.9898+78.233)*43758.5453),1)</x:f>
        <x:v>0.02593719017022522</x:v>
      </x:c>
      <x:c r="G408" s="132" t="n">
        <x:f>IF(B408&lt;(('Assumptions'!$C$47-'Assumptions'!$B$47)/('Assumptions'!$D$47-'Assumptions'!$B$47)),'Assumptions'!$B$47+SQRT(B408*('Assumptions'!$D$47-'Assumptions'!$B$47)*('Assumptions'!$C$47-'Assumptions'!$B$47)),'Assumptions'!$D$47-SQRT((1-B408)*('Assumptions'!$D$47-'Assumptions'!$B$47)*('Assumptions'!$D$47-'Assumptions'!$C$47)))</x:f>
        <x:v>-0.01937913097958273</x:v>
      </x:c>
      <x:c r="H408" s="132" t="n">
        <x:f>IF(C408&lt;(('Assumptions'!$C$48-'Assumptions'!$B$48)/('Assumptions'!$D$48-'Assumptions'!$B$48)),'Assumptions'!$B$48+SQRT(C408*('Assumptions'!$D$48-'Assumptions'!$B$48)*('Assumptions'!$C$48-'Assumptions'!$B$48)),'Assumptions'!$D$48-SQRT((1-C408)*('Assumptions'!$D$48-'Assumptions'!$B$48)*('Assumptions'!$D$48-'Assumptions'!$C$48)))</x:f>
        <x:v>0.0888432296218082</x:v>
      </x:c>
      <x:c r="I408" s="132" t="n">
        <x:f>IF(D408&lt;(('Assumptions'!$C$49-'Assumptions'!$B$49)/('Assumptions'!$D$49-'Assumptions'!$B$49)),'Assumptions'!$B$49+SQRT(D408*('Assumptions'!$D$49-'Assumptions'!$B$49)*('Assumptions'!$C$49-'Assumptions'!$B$49)),'Assumptions'!$D$49-SQRT((1-D408)*('Assumptions'!$D$49-'Assumptions'!$B$49)*('Assumptions'!$D$49-'Assumptions'!$C$49)))</x:f>
        <x:v>0.11362732682596158</x:v>
      </x:c>
      <x:c r="J408" s="132" t="n">
        <x:f>IF(E408&lt;(('Assumptions'!$C$50-'Assumptions'!$B$50)/('Assumptions'!$D$50-'Assumptions'!$B$50)),'Assumptions'!$B$50+SQRT(E408*('Assumptions'!$D$50-'Assumptions'!$B$50)*('Assumptions'!$C$50-'Assumptions'!$B$50)),'Assumptions'!$D$50-SQRT((1-E408)*('Assumptions'!$D$50-'Assumptions'!$B$50)*('Assumptions'!$D$50-'Assumptions'!$C$50)))</x:f>
        <x:v>0.06387973973019152</x:v>
      </x:c>
      <x:c r="K408" s="132" t="n">
        <x:f>IF(F408&lt;(('Assumptions'!$C$51-'Assumptions'!$B$51)/('Assumptions'!$D$51-'Assumptions'!$B$51)),'Assumptions'!$B$51+SQRT(F408*('Assumptions'!$D$51-'Assumptions'!$B$51)*('Assumptions'!$C$51-'Assumptions'!$B$51)),'Assumptions'!$D$51-SQRT((1-F408)*('Assumptions'!$D$51-'Assumptions'!$B$51)*('Assumptions'!$D$51-'Assumptions'!$C$51)))</x:f>
        <x:v>0.060170716626078466</x:v>
      </x:c>
      <x:c r="L408" s="133" t="n">
        <x:f>(('Assumptions'!$B$17*(1+G408)+'Assumptions'!$B$18)*(1-H408-'Assumptions'!$B$20)-SUM('Assumptions'!$B$21:$B$25)*(1+I408))-(('Assumptions'!$B$17*(1+G408)+'Assumptions'!$B$18)*(1-H408-'Assumptions'!$B$20)*'Assumptions'!$B$26)</x:f>
        <x:v>180659.29336894292</x:v>
      </x:c>
      <x:c r="M408" s="133" t="n">
        <x:f>'Assumptions'!$B$10*'Assumptions'!$B$33</x:f>
        <x:v>1950000</x:v>
      </x:c>
      <x:c r="N408" s="133" t="n">
        <x:f>-PMT(K408/12,'Assumptions'!$B$35*12,M408)*12</x:f>
        <x:v>140551.7572847355</x:v>
      </x:c>
      <x:c r="O408" s="133" t="n">
        <x:f>(L408*(1+'Assumptions'!$B$29)^('Assumptions'!$B$14/12)/J408)*(1-'Assumptions'!$B$42)-'Debt Schedule'!$F$9</x:f>
        <x:v>3081847.512379412</x:v>
      </x:c>
      <x:c r="P408" s="132" t="n">
        <x:f>((O408+(L408-N408-'Assumptions'!$B$27-'Assumptions'!$B$28)*('Assumptions'!$B$14/12))/ABS('Monthly Cash Flow'!$S$5))^(1/('Assumptions'!$B$14/12))-1</x:f>
        <x:v>0.18947952567320714</x:v>
      </x:c>
      <x:c r="Q408" s="133" t="n">
        <x:f>-ABS('Monthly Cash Flow'!$S$5)+((L408-N408-'Assumptions'!$B$27-'Assumptions'!$B$28)*(1-(1+'Assumptions'!$B$43)^-('Assumptions'!$B$14/12))/'Assumptions'!$B$43)+(O408/(1+'Assumptions'!$B$43)^('Assumptions'!$B$14/12))</x:f>
        <x:v>619492.4812184374</x:v>
      </x:c>
    </x:row>
    <x:row r="409">
      <x:c r="A409" s="131" t="n">
        <x:f>402</x:f>
        <x:v>402</x:v>
      </x:c>
      <x:c r="B409" s="131" t="n">
        <x:f>MOD(ABS(SIN((A409+1)*12.9898+78.233)*43758.5453),1)</x:f>
        <x:v>0.7026119141446543</x:v>
      </x:c>
      <x:c r="C409" s="131" t="n">
        <x:f>MOD(ABS(SIN((A409+2)*12.9898+78.233)*43758.5453),1)</x:f>
        <x:v>0.9387513262117864</x:v>
      </x:c>
      <x:c r="D409" s="131" t="n">
        <x:f>MOD(ABS(SIN((A409+3)*12.9898+78.233)*43758.5453),1)</x:f>
        <x:v>0.18089368455548538</x:v>
      </x:c>
      <x:c r="E409" s="131" t="n">
        <x:f>MOD(ABS(SIN((A409+4)*12.9898+78.233)*43758.5453),1)</x:f>
        <x:v>0.02593719017022522</x:v>
      </x:c>
      <x:c r="F409" s="131" t="n">
        <x:f>MOD(ABS(SIN((A409+5)*12.9898+78.233)*43758.5453),1)</x:f>
        <x:v>0.4278580656791746</x:v>
      </x:c>
      <x:c r="G409" s="132" t="n">
        <x:f>IF(B409&lt;(('Assumptions'!$C$47-'Assumptions'!$B$47)/('Assumptions'!$D$47-'Assumptions'!$B$47)),'Assumptions'!$B$47+SQRT(B409*('Assumptions'!$D$47-'Assumptions'!$B$47)*('Assumptions'!$C$47-'Assumptions'!$B$47)),'Assumptions'!$D$47-SQRT((1-B409)*('Assumptions'!$D$47-'Assumptions'!$B$47)*('Assumptions'!$D$47-'Assumptions'!$C$47)))</x:f>
        <x:v>0.03102022489391887</x:v>
      </x:c>
      <x:c r="H409" s="132" t="n">
        <x:f>IF(C409&lt;(('Assumptions'!$C$48-'Assumptions'!$B$48)/('Assumptions'!$D$48-'Assumptions'!$B$48)),'Assumptions'!$B$48+SQRT(C409*('Assumptions'!$D$48-'Assumptions'!$B$48)*('Assumptions'!$C$48-'Assumptions'!$B$48)),'Assumptions'!$D$48-SQRT((1-C409)*('Assumptions'!$D$48-'Assumptions'!$B$48)*('Assumptions'!$D$48-'Assumptions'!$C$48)))</x:f>
        <x:v>0.11678387781440924</x:v>
      </x:c>
      <x:c r="I409" s="132" t="n">
        <x:f>IF(D409&lt;(('Assumptions'!$C$49-'Assumptions'!$B$49)/('Assumptions'!$D$49-'Assumptions'!$B$49)),'Assumptions'!$B$49+SQRT(D409*('Assumptions'!$D$49-'Assumptions'!$B$49)*('Assumptions'!$C$49-'Assumptions'!$B$49)),'Assumptions'!$D$49-SQRT((1-D409)*('Assumptions'!$D$49-'Assumptions'!$B$49)*('Assumptions'!$D$49-'Assumptions'!$C$49)))</x:f>
        <x:v>0.014200133407029913</x:v>
      </x:c>
      <x:c r="J409" s="132" t="n">
        <x:f>IF(E409&lt;(('Assumptions'!$C$50-'Assumptions'!$B$50)/('Assumptions'!$D$50-'Assumptions'!$B$50)),'Assumptions'!$B$50+SQRT(E409*('Assumptions'!$D$50-'Assumptions'!$B$50)*('Assumptions'!$C$50-'Assumptions'!$B$50)),'Assumptions'!$D$50-SQRT((1-E409)*('Assumptions'!$D$50-'Assumptions'!$B$50)*('Assumptions'!$D$50-'Assumptions'!$C$50)))</x:f>
        <x:v>0.05991575408274532</x:v>
      </x:c>
      <x:c r="K409" s="132" t="n">
        <x:f>IF(F409&lt;(('Assumptions'!$C$51-'Assumptions'!$B$51)/('Assumptions'!$D$51-'Assumptions'!$B$51)),'Assumptions'!$B$51+SQRT(F409*('Assumptions'!$D$51-'Assumptions'!$B$51)*('Assumptions'!$C$51-'Assumptions'!$B$51)),'Assumptions'!$D$51-SQRT((1-F409)*('Assumptions'!$D$51-'Assumptions'!$B$51)*('Assumptions'!$D$51-'Assumptions'!$C$51)))</x:f>
        <x:v>0.0684065282146292</x:v>
      </x:c>
      <x:c r="L409" s="133" t="n">
        <x:f>(('Assumptions'!$B$17*(1+G409)+'Assumptions'!$B$18)*(1-H409-'Assumptions'!$B$20)-SUM('Assumptions'!$B$21:$B$25)*(1+I409))-(('Assumptions'!$B$17*(1+G409)+'Assumptions'!$B$18)*(1-H409-'Assumptions'!$B$20)*'Assumptions'!$B$26)</x:f>
        <x:v>198444.84139517765</x:v>
      </x:c>
      <x:c r="M409" s="133" t="n">
        <x:f>'Assumptions'!$B$10*'Assumptions'!$B$33</x:f>
        <x:v>1950000</x:v>
      </x:c>
      <x:c r="N409" s="133" t="n">
        <x:f>-PMT(K409/12,'Assumptions'!$B$35*12,M409)*12</x:f>
        <x:v>153184.68679340376</x:v>
      </x:c>
      <x:c r="O409" s="133" t="n">
        <x:f>(L409*(1+'Assumptions'!$B$29)^('Assumptions'!$B$14/12)/J409)*(1-'Assumptions'!$B$42)-'Debt Schedule'!$F$9</x:f>
        <x:v>3609215.064219653</x:v>
      </x:c>
      <x:c r="P409" s="132" t="n">
        <x:f>((O409+(L409-N409-'Assumptions'!$B$27-'Assumptions'!$B$28)*('Assumptions'!$B$14/12))/ABS('Monthly Cash Flow'!$S$5))^(1/('Assumptions'!$B$14/12))-1</x:f>
        <x:v>0.22939883494922397</x:v>
      </x:c>
      <x:c r="Q409" s="133" t="n">
        <x:f>-ABS('Monthly Cash Flow'!$S$5)+((L409-N409-'Assumptions'!$B$27-'Assumptions'!$B$28)*(1-(1+'Assumptions'!$B$43)^-('Assumptions'!$B$14/12))/'Assumptions'!$B$43)+(O409/(1+'Assumptions'!$B$43)^('Assumptions'!$B$14/12))</x:f>
        <x:v>966478.7173497472</x:v>
      </x:c>
    </x:row>
    <x:row r="410">
      <x:c r="A410" s="131" t="n">
        <x:f>403</x:f>
        <x:v>403</x:v>
      </x:c>
      <x:c r="B410" s="131" t="n">
        <x:f>MOD(ABS(SIN((A410+1)*12.9898+78.233)*43758.5453),1)</x:f>
        <x:v>0.9387513262117864</x:v>
      </x:c>
      <x:c r="C410" s="131" t="n">
        <x:f>MOD(ABS(SIN((A410+2)*12.9898+78.233)*43758.5453),1)</x:f>
        <x:v>0.18089368455548538</x:v>
      </x:c>
      <x:c r="D410" s="131" t="n">
        <x:f>MOD(ABS(SIN((A410+3)*12.9898+78.233)*43758.5453),1)</x:f>
        <x:v>0.02593719017022522</x:v>
      </x:c>
      <x:c r="E410" s="131" t="n">
        <x:f>MOD(ABS(SIN((A410+4)*12.9898+78.233)*43758.5453),1)</x:f>
        <x:v>0.4278580656791746</x:v>
      </x:c>
      <x:c r="F410" s="131" t="n">
        <x:f>MOD(ABS(SIN((A410+5)*12.9898+78.233)*43758.5453),1)</x:f>
        <x:v>0.6737153523390589</x:v>
      </x:c>
      <x:c r="G410" s="132" t="n">
        <x:f>IF(B410&lt;(('Assumptions'!$C$47-'Assumptions'!$B$47)/('Assumptions'!$D$47-'Assumptions'!$B$47)),'Assumptions'!$B$47+SQRT(B410*('Assumptions'!$D$47-'Assumptions'!$B$47)*('Assumptions'!$C$47-'Assumptions'!$B$47)),'Assumptions'!$D$47-SQRT((1-B410)*('Assumptions'!$D$47-'Assumptions'!$B$47)*('Assumptions'!$D$47-'Assumptions'!$C$47)))</x:f>
        <x:v>0.06869538723108976</x:v>
      </x:c>
      <x:c r="H410" s="132" t="n">
        <x:f>IF(C410&lt;(('Assumptions'!$C$48-'Assumptions'!$B$48)/('Assumptions'!$D$48-'Assumptions'!$B$48)),'Assumptions'!$B$48+SQRT(C410*('Assumptions'!$D$48-'Assumptions'!$B$48)*('Assumptions'!$C$48-'Assumptions'!$B$48)),'Assumptions'!$D$48-SQRT((1-C410)*('Assumptions'!$D$48-'Assumptions'!$B$48)*('Assumptions'!$D$48-'Assumptions'!$C$48)))</x:f>
        <x:v>0.05443254303246188</x:v>
      </x:c>
      <x:c r="I410" s="132" t="n">
        <x:f>IF(D410&lt;(('Assumptions'!$C$49-'Assumptions'!$B$49)/('Assumptions'!$D$49-'Assumptions'!$B$49)),'Assumptions'!$B$49+SQRT(D410*('Assumptions'!$D$49-'Assumptions'!$B$49)*('Assumptions'!$C$49-'Assumptions'!$B$49)),'Assumptions'!$D$49-SQRT((1-D410)*('Assumptions'!$D$49-'Assumptions'!$B$49)*('Assumptions'!$D$49-'Assumptions'!$C$49)))</x:f>
        <x:v>-0.013263164760372634</x:v>
      </x:c>
      <x:c r="J410" s="132" t="n">
        <x:f>IF(E410&lt;(('Assumptions'!$C$50-'Assumptions'!$B$50)/('Assumptions'!$D$50-'Assumptions'!$B$50)),'Assumptions'!$B$50+SQRT(E410*('Assumptions'!$D$50-'Assumptions'!$B$50)*('Assumptions'!$C$50-'Assumptions'!$B$50)),'Assumptions'!$D$50-SQRT((1-E410)*('Assumptions'!$D$50-'Assumptions'!$B$50)*('Assumptions'!$D$50-'Assumptions'!$C$50)))</x:f>
        <x:v>0.06731162905830701</x:v>
      </x:c>
      <x:c r="K410" s="132" t="n">
        <x:f>IF(F410&lt;(('Assumptions'!$C$51-'Assumptions'!$B$51)/('Assumptions'!$D$51-'Assumptions'!$B$51)),'Assumptions'!$B$51+SQRT(F410*('Assumptions'!$D$51-'Assumptions'!$B$51)*('Assumptions'!$C$51-'Assumptions'!$B$51)),'Assumptions'!$D$51-SQRT((1-F410)*('Assumptions'!$D$51-'Assumptions'!$B$51)*('Assumptions'!$D$51-'Assumptions'!$C$51)))</x:f>
        <x:v>0.07246905882677492</x:v>
      </x:c>
      <x:c r="L410" s="133" t="n">
        <x:f>(('Assumptions'!$B$17*(1+G410)+'Assumptions'!$B$18)*(1-H410-'Assumptions'!$B$20)-SUM('Assumptions'!$B$21:$B$25)*(1+I410))-(('Assumptions'!$B$17*(1+G410)+'Assumptions'!$B$18)*(1-H410-'Assumptions'!$B$20)*'Assumptions'!$B$26)</x:f>
        <x:v>237381.30225976038</x:v>
      </x:c>
      <x:c r="M410" s="133" t="n">
        <x:f>'Assumptions'!$B$10*'Assumptions'!$B$33</x:f>
        <x:v>1950000</x:v>
      </x:c>
      <x:c r="N410" s="133" t="n">
        <x:f>-PMT(K410/12,'Assumptions'!$B$35*12,M410)*12</x:f>
        <x:v>159580.1439096026</x:v>
      </x:c>
      <x:c r="O410" s="133" t="n">
        <x:f>(L410*(1+'Assumptions'!$B$29)^('Assumptions'!$B$14/12)/J410)*(1-'Assumptions'!$B$42)-'Debt Schedule'!$F$9</x:f>
        <x:v>3842999.994001625</x:v>
      </x:c>
      <x:c r="P410" s="132" t="n">
        <x:f>((O410+(L410-N410-'Assumptions'!$B$27-'Assumptions'!$B$28)*('Assumptions'!$B$14/12))/ABS('Monthly Cash Flow'!$S$5))^(1/('Assumptions'!$B$14/12))-1</x:f>
        <x:v>0.25511586258010177</x:v>
      </x:c>
      <x:c r="Q410" s="133" t="n">
        <x:f>-ABS('Monthly Cash Flow'!$S$5)+((L410-N410-'Assumptions'!$B$27-'Assumptions'!$B$28)*(1-(1+'Assumptions'!$B$43)^-('Assumptions'!$B$14/12))/'Assumptions'!$B$43)+(O410/(1+'Assumptions'!$B$43)^('Assumptions'!$B$14/12))</x:f>
        <x:v>1234996.7717339057</x:v>
      </x:c>
    </x:row>
    <x:row r="411">
      <x:c r="A411" s="131" t="n">
        <x:f>404</x:f>
        <x:v>404</x:v>
      </x:c>
      <x:c r="B411" s="131" t="n">
        <x:f>MOD(ABS(SIN((A411+1)*12.9898+78.233)*43758.5453),1)</x:f>
        <x:v>0.18089368455548538</x:v>
      </x:c>
      <x:c r="C411" s="131" t="n">
        <x:f>MOD(ABS(SIN((A411+2)*12.9898+78.233)*43758.5453),1)</x:f>
        <x:v>0.02593719017022522</x:v>
      </x:c>
      <x:c r="D411" s="131" t="n">
        <x:f>MOD(ABS(SIN((A411+3)*12.9898+78.233)*43758.5453),1)</x:f>
        <x:v>0.4278580656791746</x:v>
      </x:c>
      <x:c r="E411" s="131" t="n">
        <x:f>MOD(ABS(SIN((A411+4)*12.9898+78.233)*43758.5453),1)</x:f>
        <x:v>0.6737153523390589</x:v>
      </x:c>
      <x:c r="F411" s="131" t="n">
        <x:f>MOD(ABS(SIN((A411+5)*12.9898+78.233)*43758.5453),1)</x:f>
        <x:v>0.7823463828349304</x:v>
      </x:c>
      <x:c r="G411" s="132" t="n">
        <x:f>IF(B411&lt;(('Assumptions'!$C$47-'Assumptions'!$B$47)/('Assumptions'!$D$47-'Assumptions'!$B$47)),'Assumptions'!$B$47+SQRT(B411*('Assumptions'!$D$47-'Assumptions'!$B$47)*('Assumptions'!$C$47-'Assumptions'!$B$47)),'Assumptions'!$D$47-SQRT((1-B411)*('Assumptions'!$D$47-'Assumptions'!$B$47)*('Assumptions'!$D$47-'Assumptions'!$C$47)))</x:f>
        <x:v>-0.034110331391547816</x:v>
      </x:c>
      <x:c r="H411" s="132" t="n">
        <x:f>IF(C411&lt;(('Assumptions'!$C$48-'Assumptions'!$B$48)/('Assumptions'!$D$48-'Assumptions'!$B$48)),'Assumptions'!$B$48+SQRT(C411*('Assumptions'!$D$48-'Assumptions'!$B$48)*('Assumptions'!$C$48-'Assumptions'!$B$48)),'Assumptions'!$D$48-SQRT((1-C411)*('Assumptions'!$D$48-'Assumptions'!$B$48)*('Assumptions'!$D$48-'Assumptions'!$C$48)))</x:f>
        <x:v>0.039251633777973666</x:v>
      </x:c>
      <x:c r="I411" s="132" t="n">
        <x:f>IF(D411&lt;(('Assumptions'!$C$49-'Assumptions'!$B$49)/('Assumptions'!$D$49-'Assumptions'!$B$49)),'Assumptions'!$B$49+SQRT(D411*('Assumptions'!$D$49-'Assumptions'!$B$49)*('Assumptions'!$C$49-'Assumptions'!$B$49)),'Assumptions'!$D$49-SQRT((1-D411)*('Assumptions'!$D$49-'Assumptions'!$B$49)*('Assumptions'!$D$49-'Assumptions'!$C$49)))</x:f>
        <x:v>0.038832262857743535</x:v>
      </x:c>
      <x:c r="J411" s="132" t="n">
        <x:f>IF(E411&lt;(('Assumptions'!$C$50-'Assumptions'!$B$50)/('Assumptions'!$D$50-'Assumptions'!$B$50)),'Assumptions'!$B$50+SQRT(E411*('Assumptions'!$D$50-'Assumptions'!$B$50)*('Assumptions'!$C$50-'Assumptions'!$B$50)),'Assumptions'!$D$50-SQRT((1-E411)*('Assumptions'!$D$50-'Assumptions'!$B$50)*('Assumptions'!$D$50-'Assumptions'!$C$50)))</x:f>
        <x:v>0.0704204615374936</x:v>
      </x:c>
      <x:c r="K411" s="132" t="n">
        <x:f>IF(F411&lt;(('Assumptions'!$C$51-'Assumptions'!$B$51)/('Assumptions'!$D$51-'Assumptions'!$B$51)),'Assumptions'!$B$51+SQRT(F411*('Assumptions'!$D$51-'Assumptions'!$B$51)*('Assumptions'!$C$51-'Assumptions'!$B$51)),'Assumptions'!$D$51-SQRT((1-F411)*('Assumptions'!$D$51-'Assumptions'!$B$51)*('Assumptions'!$D$51-'Assumptions'!$C$51)))</x:f>
        <x:v>0.07476546028095599</x:v>
      </x:c>
      <x:c r="L411" s="133" t="n">
        <x:f>(('Assumptions'!$B$17*(1+G411)+'Assumptions'!$B$18)*(1-H411-'Assumptions'!$B$20)-SUM('Assumptions'!$B$21:$B$25)*(1+I411))-(('Assumptions'!$B$17*(1+G411)+'Assumptions'!$B$18)*(1-H411-'Assumptions'!$B$20)*'Assumptions'!$B$26)</x:f>
        <x:v>202906.77587404504</x:v>
      </x:c>
      <x:c r="M411" s="133" t="n">
        <x:f>'Assumptions'!$B$10*'Assumptions'!$B$33</x:f>
        <x:v>1950000</x:v>
      </x:c>
      <x:c r="N411" s="133" t="n">
        <x:f>-PMT(K411/12,'Assumptions'!$B$35*12,M411)*12</x:f>
        <x:v>163240.55171714182</x:v>
      </x:c>
      <x:c r="O411" s="133" t="n">
        <x:f>(L411*(1+'Assumptions'!$B$29)^('Assumptions'!$B$14/12)/J411)*(1-'Assumptions'!$B$42)-'Debt Schedule'!$F$9</x:f>
        <x:v>3139869.9476944106</x:v>
      </x:c>
      <x:c r="P411" s="132" t="n">
        <x:f>((O411+(L411-N411-'Assumptions'!$B$27-'Assumptions'!$B$28)*('Assumptions'!$B$14/12))/ABS('Monthly Cash Flow'!$S$5))^(1/('Assumptions'!$B$14/12))-1</x:f>
        <x:v>0.19375648049106386</x:v>
      </x:c>
      <x:c r="Q411" s="133" t="n">
        <x:f>-ABS('Monthly Cash Flow'!$S$5)+((L411-N411-'Assumptions'!$B$27-'Assumptions'!$B$28)*(1-(1+'Assumptions'!$B$43)^-('Assumptions'!$B$14/12))/'Assumptions'!$B$43)+(O411/(1+'Assumptions'!$B$43)^('Assumptions'!$B$14/12))</x:f>
        <x:v>653846.9291061338</x:v>
      </x:c>
    </x:row>
    <x:row r="412">
      <x:c r="A412" s="131" t="n">
        <x:f>405</x:f>
        <x:v>405</x:v>
      </x:c>
      <x:c r="B412" s="131" t="n">
        <x:f>MOD(ABS(SIN((A412+1)*12.9898+78.233)*43758.5453),1)</x:f>
        <x:v>0.02593719017022522</x:v>
      </x:c>
      <x:c r="C412" s="131" t="n">
        <x:f>MOD(ABS(SIN((A412+2)*12.9898+78.233)*43758.5453),1)</x:f>
        <x:v>0.4278580656791746</x:v>
      </x:c>
      <x:c r="D412" s="131" t="n">
        <x:f>MOD(ABS(SIN((A412+3)*12.9898+78.233)*43758.5453),1)</x:f>
        <x:v>0.6737153523390589</x:v>
      </x:c>
      <x:c r="E412" s="131" t="n">
        <x:f>MOD(ABS(SIN((A412+4)*12.9898+78.233)*43758.5453),1)</x:f>
        <x:v>0.7823463828349304</x:v>
      </x:c>
      <x:c r="F412" s="131" t="n">
        <x:f>MOD(ABS(SIN((A412+5)*12.9898+78.233)*43758.5453),1)</x:f>
        <x:v>0.3697900193656096</x:v>
      </x:c>
      <x:c r="G412" s="132" t="n">
        <x:f>IF(B412&lt;(('Assumptions'!$C$47-'Assumptions'!$B$47)/('Assumptions'!$D$47-'Assumptions'!$B$47)),'Assumptions'!$B$47+SQRT(B412*('Assumptions'!$D$47-'Assumptions'!$B$47)*('Assumptions'!$C$47-'Assumptions'!$B$47)),'Assumptions'!$D$47-SQRT((1-B412)*('Assumptions'!$D$47-'Assumptions'!$B$47)*('Assumptions'!$D$47-'Assumptions'!$C$47)))</x:f>
        <x:v>-0.07505019911731949</x:v>
      </x:c>
      <x:c r="H412" s="132" t="n">
        <x:f>IF(C412&lt;(('Assumptions'!$C$48-'Assumptions'!$B$48)/('Assumptions'!$D$48-'Assumptions'!$B$48)),'Assumptions'!$B$48+SQRT(C412*('Assumptions'!$D$48-'Assumptions'!$B$48)*('Assumptions'!$C$48-'Assumptions'!$B$48)),'Assumptions'!$D$48-SQRT((1-C412)*('Assumptions'!$D$48-'Assumptions'!$B$48)*('Assumptions'!$D$48-'Assumptions'!$C$48)))</x:f>
        <x:v>0.06904332996804836</x:v>
      </x:c>
      <x:c r="I412" s="132" t="n">
        <x:f>IF(D412&lt;(('Assumptions'!$C$49-'Assumptions'!$B$49)/('Assumptions'!$D$49-'Assumptions'!$B$49)),'Assumptions'!$B$49+SQRT(D412*('Assumptions'!$D$49-'Assumptions'!$B$49)*('Assumptions'!$C$49-'Assumptions'!$B$49)),'Assumptions'!$D$49-SQRT((1-D412)*('Assumptions'!$D$49-'Assumptions'!$B$49)*('Assumptions'!$D$49-'Assumptions'!$C$49)))</x:f>
        <x:v>0.0660491310975501</x:v>
      </x:c>
      <x:c r="J412" s="132" t="n">
        <x:f>IF(E412&lt;(('Assumptions'!$C$50-'Assumptions'!$B$50)/('Assumptions'!$D$50-'Assumptions'!$B$50)),'Assumptions'!$B$50+SQRT(E412*('Assumptions'!$D$50-'Assumptions'!$B$50)*('Assumptions'!$C$50-'Assumptions'!$B$50)),'Assumptions'!$D$50-SQRT((1-E412)*('Assumptions'!$D$50-'Assumptions'!$B$50)*('Assumptions'!$D$50-'Assumptions'!$C$50)))</x:f>
        <x:v>0.07217599336479859</x:v>
      </x:c>
      <x:c r="K412" s="132" t="n">
        <x:f>IF(F412&lt;(('Assumptions'!$C$51-'Assumptions'!$B$51)/('Assumptions'!$D$51-'Assumptions'!$B$51)),'Assumptions'!$B$51+SQRT(F412*('Assumptions'!$D$51-'Assumptions'!$B$51)*('Assumptions'!$C$51-'Assumptions'!$B$51)),'Assumptions'!$D$51-SQRT((1-F412)*('Assumptions'!$D$51-'Assumptions'!$B$51)*('Assumptions'!$D$51-'Assumptions'!$C$51)))</x:f>
        <x:v>0.06758481831331352</x:v>
      </x:c>
      <x:c r="L412" s="133" t="n">
        <x:f>(('Assumptions'!$B$17*(1+G412)+'Assumptions'!$B$18)*(1-H412-'Assumptions'!$B$20)-SUM('Assumptions'!$B$21:$B$25)*(1+I412))-(('Assumptions'!$B$17*(1+G412)+'Assumptions'!$B$18)*(1-H412-'Assumptions'!$B$20)*'Assumptions'!$B$26)</x:f>
        <x:v>175987.39150883377</x:v>
      </x:c>
      <x:c r="M412" s="133" t="n">
        <x:f>'Assumptions'!$B$10*'Assumptions'!$B$33</x:f>
        <x:v>1950000</x:v>
      </x:c>
      <x:c r="N412" s="133" t="n">
        <x:f>-PMT(K412/12,'Assumptions'!$B$35*12,M412)*12</x:f>
        <x:v>151903.9087333225</x:v>
      </x:c>
      <x:c r="O412" s="133" t="n">
        <x:f>(L412*(1+'Assumptions'!$B$29)^('Assumptions'!$B$14/12)/J412)*(1-'Assumptions'!$B$42)-'Debt Schedule'!$F$9</x:f>
        <x:v>2657068.5655518114</x:v>
      </x:c>
      <x:c r="P412" s="132" t="n">
        <x:f>((O412+(L412-N412-'Assumptions'!$B$27-'Assumptions'!$B$28)*('Assumptions'!$B$14/12))/ABS('Monthly Cash Flow'!$S$5))^(1/('Assumptions'!$B$14/12))-1</x:f>
        <x:v>0.14767481481738143</x:v>
      </x:c>
      <x:c r="Q412" s="133" t="n">
        <x:f>-ABS('Monthly Cash Flow'!$S$5)+((L412-N412-'Assumptions'!$B$27-'Assumptions'!$B$28)*(1-(1+'Assumptions'!$B$43)^-('Assumptions'!$B$14/12))/'Assumptions'!$B$43)+(O412/(1+'Assumptions'!$B$43)^('Assumptions'!$B$14/12))</x:f>
        <x:v>294994.40627166815</x:v>
      </x:c>
    </x:row>
    <x:row r="413">
      <x:c r="A413" s="131" t="n">
        <x:f>406</x:f>
        <x:v>406</x:v>
      </x:c>
      <x:c r="B413" s="131" t="n">
        <x:f>MOD(ABS(SIN((A413+1)*12.9898+78.233)*43758.5453),1)</x:f>
        <x:v>0.4278580656791746</x:v>
      </x:c>
      <x:c r="C413" s="131" t="n">
        <x:f>MOD(ABS(SIN((A413+2)*12.9898+78.233)*43758.5453),1)</x:f>
        <x:v>0.6737153523390589</x:v>
      </x:c>
      <x:c r="D413" s="131" t="n">
        <x:f>MOD(ABS(SIN((A413+3)*12.9898+78.233)*43758.5453),1)</x:f>
        <x:v>0.7823463828349304</x:v>
      </x:c>
      <x:c r="E413" s="131" t="n">
        <x:f>MOD(ABS(SIN((A413+4)*12.9898+78.233)*43758.5453),1)</x:f>
        <x:v>0.3697900193656096</x:v>
      </x:c>
      <x:c r="F413" s="131" t="n">
        <x:f>MOD(ABS(SIN((A413+5)*12.9898+78.233)*43758.5453),1)</x:f>
        <x:v>0.7796219009833294</x:v>
      </x:c>
      <x:c r="G413" s="132" t="n">
        <x:f>IF(B413&lt;(('Assumptions'!$C$47-'Assumptions'!$B$47)/('Assumptions'!$D$47-'Assumptions'!$B$47)),'Assumptions'!$B$47+SQRT(B413*('Assumptions'!$D$47-'Assumptions'!$B$47)*('Assumptions'!$C$47-'Assumptions'!$B$47)),'Assumptions'!$D$47-SQRT((1-B413)*('Assumptions'!$D$47-'Assumptions'!$B$47)*('Assumptions'!$D$47-'Assumptions'!$C$47)))</x:f>
        <x:v>0.0013340691786340453</x:v>
      </x:c>
      <x:c r="H413" s="132" t="n">
        <x:f>IF(C413&lt;(('Assumptions'!$C$48-'Assumptions'!$B$48)/('Assumptions'!$D$48-'Assumptions'!$B$48)),'Assumptions'!$B$48+SQRT(C413*('Assumptions'!$D$48-'Assumptions'!$B$48)*('Assumptions'!$C$48-'Assumptions'!$B$48)),'Assumptions'!$D$48-SQRT((1-C413)*('Assumptions'!$D$48-'Assumptions'!$B$48)*('Assumptions'!$D$48-'Assumptions'!$C$48)))</x:f>
        <x:v>0.08641544159539727</x:v>
      </x:c>
      <x:c r="I413" s="132" t="n">
        <x:f>IF(D413&lt;(('Assumptions'!$C$49-'Assumptions'!$B$49)/('Assumptions'!$D$49-'Assumptions'!$B$49)),'Assumptions'!$B$49+SQRT(D413*('Assumptions'!$D$49-'Assumptions'!$B$49)*('Assumptions'!$C$49-'Assumptions'!$B$49)),'Assumptions'!$D$49-SQRT((1-D413)*('Assumptions'!$D$49-'Assumptions'!$B$49)*('Assumptions'!$D$49-'Assumptions'!$C$49)))</x:f>
        <x:v>0.08143384121328143</x:v>
      </x:c>
      <x:c r="J413" s="132" t="n">
        <x:f>IF(E413&lt;(('Assumptions'!$C$50-'Assumptions'!$B$50)/('Assumptions'!$D$50-'Assumptions'!$B$50)),'Assumptions'!$B$50+SQRT(E413*('Assumptions'!$D$50-'Assumptions'!$B$50)*('Assumptions'!$C$50-'Assumptions'!$B$50)),'Assumptions'!$D$50-SQRT((1-E413)*('Assumptions'!$D$50-'Assumptions'!$B$50)*('Assumptions'!$D$50-'Assumptions'!$C$50)))</x:f>
        <x:v>0.06662155438273884</x:v>
      </x:c>
      <x:c r="K413" s="132" t="n">
        <x:f>IF(F413&lt;(('Assumptions'!$C$51-'Assumptions'!$B$51)/('Assumptions'!$D$51-'Assumptions'!$B$51)),'Assumptions'!$B$51+SQRT(F413*('Assumptions'!$D$51-'Assumptions'!$B$51)*('Assumptions'!$C$51-'Assumptions'!$B$51)),'Assumptions'!$D$51-SQRT((1-F413)*('Assumptions'!$D$51-'Assumptions'!$B$51)*('Assumptions'!$D$51-'Assumptions'!$C$51)))</x:f>
        <x:v>0.07470160400102169</x:v>
      </x:c>
      <x:c r="L413" s="133" t="n">
        <x:f>(('Assumptions'!$B$17*(1+G413)+'Assumptions'!$B$18)*(1-H413-'Assumptions'!$B$20)-SUM('Assumptions'!$B$21:$B$25)*(1+I413))-(('Assumptions'!$B$17*(1+G413)+'Assumptions'!$B$18)*(1-H413-'Assumptions'!$B$20)*'Assumptions'!$B$26)</x:f>
        <x:v>192048.7021144063</x:v>
      </x:c>
      <x:c r="M413" s="133" t="n">
        <x:f>'Assumptions'!$B$10*'Assumptions'!$B$33</x:f>
        <x:v>1950000</x:v>
      </x:c>
      <x:c r="N413" s="133" t="n">
        <x:f>-PMT(K413/12,'Assumptions'!$B$35*12,M413)*12</x:f>
        <x:v>163138.33530314337</x:v>
      </x:c>
      <x:c r="O413" s="133" t="n">
        <x:f>(L413*(1+'Assumptions'!$B$29)^('Assumptions'!$B$14/12)/J413)*(1-'Assumptions'!$B$42)-'Debt Schedule'!$F$9</x:f>
        <x:v>3141308.5212638895</x:v>
      </x:c>
      <x:c r="P413" s="132" t="n">
        <x:f>((O413+(L413-N413-'Assumptions'!$B$27-'Assumptions'!$B$28)*('Assumptions'!$B$14/12))/ABS('Monthly Cash Flow'!$S$5))^(1/('Assumptions'!$B$14/12))-1</x:f>
        <x:v>0.18974761493004122</x:v>
      </x:c>
      <x:c r="Q413" s="133" t="n">
        <x:f>-ABS('Monthly Cash Flow'!$S$5)+((L413-N413-'Assumptions'!$B$27-'Assumptions'!$B$28)*(1-(1+'Assumptions'!$B$43)^-('Assumptions'!$B$14/12))/'Assumptions'!$B$43)+(O413/(1+'Assumptions'!$B$43)^('Assumptions'!$B$14/12))</x:f>
        <x:v>613967.0083907146</x:v>
      </x:c>
    </x:row>
    <x:row r="414">
      <x:c r="A414" s="131" t="n">
        <x:f>407</x:f>
        <x:v>407</x:v>
      </x:c>
      <x:c r="B414" s="131" t="n">
        <x:f>MOD(ABS(SIN((A414+1)*12.9898+78.233)*43758.5453),1)</x:f>
        <x:v>0.6737153523390589</x:v>
      </x:c>
      <x:c r="C414" s="131" t="n">
        <x:f>MOD(ABS(SIN((A414+2)*12.9898+78.233)*43758.5453),1)</x:f>
        <x:v>0.7823463828349304</x:v>
      </x:c>
      <x:c r="D414" s="131" t="n">
        <x:f>MOD(ABS(SIN((A414+3)*12.9898+78.233)*43758.5453),1)</x:f>
        <x:v>0.3697900193656096</x:v>
      </x:c>
      <x:c r="E414" s="131" t="n">
        <x:f>MOD(ABS(SIN((A414+4)*12.9898+78.233)*43758.5453),1)</x:f>
        <x:v>0.7796219009833294</x:v>
      </x:c>
      <x:c r="F414" s="131" t="n">
        <x:f>MOD(ABS(SIN((A414+5)*12.9898+78.233)*43758.5453),1)</x:f>
        <x:v>0.10058134014980169</x:v>
      </x:c>
      <x:c r="G414" s="132" t="n">
        <x:f>IF(B414&lt;(('Assumptions'!$C$47-'Assumptions'!$B$47)/('Assumptions'!$D$47-'Assumptions'!$B$47)),'Assumptions'!$B$47+SQRT(B414*('Assumptions'!$D$47-'Assumptions'!$B$47)*('Assumptions'!$C$47-'Assumptions'!$B$47)),'Assumptions'!$D$47-SQRT((1-B414)*('Assumptions'!$D$47-'Assumptions'!$B$47)*('Assumptions'!$D$47-'Assumptions'!$C$47)))</x:f>
        <x:v>0.027746596186926542</x:v>
      </x:c>
      <x:c r="H414" s="132" t="n">
        <x:f>IF(C414&lt;(('Assumptions'!$C$48-'Assumptions'!$B$48)/('Assumptions'!$D$48-'Assumptions'!$B$48)),'Assumptions'!$B$48+SQRT(C414*('Assumptions'!$D$48-'Assumptions'!$B$48)*('Assumptions'!$C$48-'Assumptions'!$B$48)),'Assumptions'!$D$48-SQRT((1-C414)*('Assumptions'!$D$48-'Assumptions'!$B$48)*('Assumptions'!$D$48-'Assumptions'!$C$48)))</x:f>
        <x:v>0.09623526726858014</x:v>
      </x:c>
      <x:c r="I414" s="132" t="n">
        <x:f>IF(D414&lt;(('Assumptions'!$C$49-'Assumptions'!$B$49)/('Assumptions'!$D$49-'Assumptions'!$B$49)),'Assumptions'!$B$49+SQRT(D414*('Assumptions'!$D$49-'Assumptions'!$B$49)*('Assumptions'!$C$49-'Assumptions'!$B$49)),'Assumptions'!$D$49-SQRT((1-D414)*('Assumptions'!$D$49-'Assumptions'!$B$49)*('Assumptions'!$D$49-'Assumptions'!$C$49)))</x:f>
        <x:v>0.033327228619086824</x:v>
      </x:c>
      <x:c r="J414" s="132" t="n">
        <x:f>IF(E414&lt;(('Assumptions'!$C$50-'Assumptions'!$B$50)/('Assumptions'!$D$50-'Assumptions'!$B$50)),'Assumptions'!$B$50+SQRT(E414*('Assumptions'!$D$50-'Assumptions'!$B$50)*('Assumptions'!$C$50-'Assumptions'!$B$50)),'Assumptions'!$D$50-SQRT((1-E414)*('Assumptions'!$D$50-'Assumptions'!$B$50)*('Assumptions'!$D$50-'Assumptions'!$C$50)))</x:f>
        <x:v>0.07212717710421233</x:v>
      </x:c>
      <x:c r="K414" s="132" t="n">
        <x:f>IF(F414&lt;(('Assumptions'!$C$51-'Assumptions'!$B$51)/('Assumptions'!$D$51-'Assumptions'!$B$51)),'Assumptions'!$B$51+SQRT(F414*('Assumptions'!$D$51-'Assumptions'!$B$51)*('Assumptions'!$C$51-'Assumptions'!$B$51)),'Assumptions'!$D$51-SQRT((1-F414)*('Assumptions'!$D$51-'Assumptions'!$B$51)*('Assumptions'!$D$51-'Assumptions'!$C$51)))</x:f>
        <x:v>0.06275926501910634</x:v>
      </x:c>
      <x:c r="L414" s="133" t="n">
        <x:f>(('Assumptions'!$B$17*(1+G414)+'Assumptions'!$B$18)*(1-H414-'Assumptions'!$B$20)-SUM('Assumptions'!$B$21:$B$25)*(1+I414))-(('Assumptions'!$B$17*(1+G414)+'Assumptions'!$B$18)*(1-H414-'Assumptions'!$B$20)*'Assumptions'!$B$26)</x:f>
        <x:v>202700.62531324703</x:v>
      </x:c>
      <x:c r="M414" s="133" t="n">
        <x:f>'Assumptions'!$B$10*'Assumptions'!$B$33</x:f>
        <x:v>1950000</x:v>
      </x:c>
      <x:c r="N414" s="133" t="n">
        <x:f>-PMT(K414/12,'Assumptions'!$B$35*12,M414)*12</x:f>
        <x:v>144472.6305621851</x:v>
      </x:c>
      <x:c r="O414" s="133" t="n">
        <x:f>(L414*(1+'Assumptions'!$B$29)^('Assumptions'!$B$14/12)/J414)*(1-'Assumptions'!$B$42)-'Debt Schedule'!$F$9</x:f>
        <x:v>3062457.92296428</x:v>
      </x:c>
      <x:c r="P414" s="132" t="n">
        <x:f>((O414+(L414-N414-'Assumptions'!$B$27-'Assumptions'!$B$28)*('Assumptions'!$B$14/12))/ABS('Monthly Cash Flow'!$S$5))^(1/('Assumptions'!$B$14/12))-1</x:f>
        <x:v>0.19492556417745677</x:v>
      </x:c>
      <x:c r="Q414" s="133" t="n">
        <x:f>-ABS('Monthly Cash Flow'!$S$5)+((L414-N414-'Assumptions'!$B$27-'Assumptions'!$B$28)*(1-(1+'Assumptions'!$B$43)^-('Assumptions'!$B$14/12))/'Assumptions'!$B$43)+(O414/(1+'Assumptions'!$B$43)^('Assumptions'!$B$14/12))</x:f>
        <x:v>676143.8666751445</x:v>
      </x:c>
    </x:row>
    <x:row r="415">
      <x:c r="A415" s="131" t="n">
        <x:f>408</x:f>
        <x:v>408</x:v>
      </x:c>
      <x:c r="B415" s="131" t="n">
        <x:f>MOD(ABS(SIN((A415+1)*12.9898+78.233)*43758.5453),1)</x:f>
        <x:v>0.7823463828349304</x:v>
      </x:c>
      <x:c r="C415" s="131" t="n">
        <x:f>MOD(ABS(SIN((A415+2)*12.9898+78.233)*43758.5453),1)</x:f>
        <x:v>0.3697900193656096</x:v>
      </x:c>
      <x:c r="D415" s="131" t="n">
        <x:f>MOD(ABS(SIN((A415+3)*12.9898+78.233)*43758.5453),1)</x:f>
        <x:v>0.7796219009833294</x:v>
      </x:c>
      <x:c r="E415" s="131" t="n">
        <x:f>MOD(ABS(SIN((A415+4)*12.9898+78.233)*43758.5453),1)</x:f>
        <x:v>0.10058134014980169</x:v>
      </x:c>
      <x:c r="F415" s="131" t="n">
        <x:f>MOD(ABS(SIN((A415+5)*12.9898+78.233)*43758.5453),1)</x:f>
        <x:v>0.8965137147461064</x:v>
      </x:c>
      <x:c r="G415" s="132" t="n">
        <x:f>IF(B415&lt;(('Assumptions'!$C$47-'Assumptions'!$B$47)/('Assumptions'!$D$47-'Assumptions'!$B$47)),'Assumptions'!$B$47+SQRT(B415*('Assumptions'!$D$47-'Assumptions'!$B$47)*('Assumptions'!$C$47-'Assumptions'!$B$47)),'Assumptions'!$D$47-SQRT((1-B415)*('Assumptions'!$D$47-'Assumptions'!$B$47)*('Assumptions'!$D$47-'Assumptions'!$C$47)))</x:f>
        <x:v>0.04098764642347237</x:v>
      </x:c>
      <x:c r="H415" s="132" t="n">
        <x:f>IF(C415&lt;(('Assumptions'!$C$48-'Assumptions'!$B$48)/('Assumptions'!$D$48-'Assumptions'!$B$48)),'Assumptions'!$B$48+SQRT(C415*('Assumptions'!$D$48-'Assumptions'!$B$48)*('Assumptions'!$C$48-'Assumptions'!$B$48)),'Assumptions'!$D$48-SQRT((1-C415)*('Assumptions'!$D$48-'Assumptions'!$B$48)*('Assumptions'!$D$48-'Assumptions'!$C$48)))</x:f>
        <x:v>0.06552955062857056</x:v>
      </x:c>
      <x:c r="I415" s="132" t="n">
        <x:f>IF(D415&lt;(('Assumptions'!$C$49-'Assumptions'!$B$49)/('Assumptions'!$D$49-'Assumptions'!$B$49)),'Assumptions'!$B$49+SQRT(D415*('Assumptions'!$D$49-'Assumptions'!$B$49)*('Assumptions'!$C$49-'Assumptions'!$B$49)),'Assumptions'!$D$49-SQRT((1-D415)*('Assumptions'!$D$49-'Assumptions'!$B$49)*('Assumptions'!$D$49-'Assumptions'!$C$49)))</x:f>
        <x:v>0.08100603693974316</x:v>
      </x:c>
      <x:c r="J415" s="132" t="n">
        <x:f>IF(E415&lt;(('Assumptions'!$C$50-'Assumptions'!$B$50)/('Assumptions'!$D$50-'Assumptions'!$B$50)),'Assumptions'!$B$50+SQRT(E415*('Assumptions'!$D$50-'Assumptions'!$B$50)*('Assumptions'!$C$50-'Assumptions'!$B$50)),'Assumptions'!$D$50-SQRT((1-E415)*('Assumptions'!$D$50-'Assumptions'!$B$50)*('Assumptions'!$D$50-'Assumptions'!$C$50)))</x:f>
        <x:v>0.06225718420220464</x:v>
      </x:c>
      <x:c r="K415" s="132" t="n">
        <x:f>IF(F415&lt;(('Assumptions'!$C$51-'Assumptions'!$B$51)/('Assumptions'!$D$51-'Assumptions'!$B$51)),'Assumptions'!$B$51+SQRT(F415*('Assumptions'!$D$51-'Assumptions'!$B$51)*('Assumptions'!$C$51-'Assumptions'!$B$51)),'Assumptions'!$D$51-SQRT((1-F415)*('Assumptions'!$D$51-'Assumptions'!$B$51)*('Assumptions'!$D$51-'Assumptions'!$C$51)))</x:f>
        <x:v>0.07794289189692859</x:v>
      </x:c>
      <x:c r="L415" s="133" t="n">
        <x:f>(('Assumptions'!$B$17*(1+G415)+'Assumptions'!$B$18)*(1-H415-'Assumptions'!$B$20)-SUM('Assumptions'!$B$21:$B$25)*(1+I415))-(('Assumptions'!$B$17*(1+G415)+'Assumptions'!$B$18)*(1-H415-'Assumptions'!$B$20)*'Assumptions'!$B$26)</x:f>
        <x:v>212360.50556242713</x:v>
      </x:c>
      <x:c r="M415" s="133" t="n">
        <x:f>'Assumptions'!$B$10*'Assumptions'!$B$33</x:f>
        <x:v>1950000</x:v>
      </x:c>
      <x:c r="N415" s="133" t="n">
        <x:f>-PMT(K415/12,'Assumptions'!$B$35*12,M415)*12</x:f>
        <x:v>168357.19691505295</x:v>
      </x:c>
      <x:c r="O415" s="133" t="n">
        <x:f>(L415*(1+'Assumptions'!$B$29)^('Assumptions'!$B$14/12)/J415)*(1-'Assumptions'!$B$42)-'Debt Schedule'!$F$9</x:f>
        <x:v>3717048.7190993484</x:v>
      </x:c>
      <x:c r="P415" s="132" t="n">
        <x:f>((O415+(L415-N415-'Assumptions'!$B$27-'Assumptions'!$B$28)*('Assumptions'!$B$14/12))/ABS('Monthly Cash Flow'!$S$5))^(1/('Assumptions'!$B$14/12))-1</x:f>
        <x:v>0.23619142148344552</x:v>
      </x:c>
      <x:c r="Q415" s="133" t="n">
        <x:f>-ABS('Monthly Cash Flow'!$S$5)+((L415-N415-'Assumptions'!$B$27-'Assumptions'!$B$28)*(1-(1+'Assumptions'!$B$43)^-('Assumptions'!$B$14/12))/'Assumptions'!$B$43)+(O415/(1+'Assumptions'!$B$43)^('Assumptions'!$B$14/12))</x:f>
        <x:v>1028670.4979928294</x:v>
      </x:c>
    </x:row>
    <x:row r="416">
      <x:c r="A416" s="131" t="n">
        <x:f>409</x:f>
        <x:v>409</x:v>
      </x:c>
      <x:c r="B416" s="131" t="n">
        <x:f>MOD(ABS(SIN((A416+1)*12.9898+78.233)*43758.5453),1)</x:f>
        <x:v>0.3697900193656096</x:v>
      </x:c>
      <x:c r="C416" s="131" t="n">
        <x:f>MOD(ABS(SIN((A416+2)*12.9898+78.233)*43758.5453),1)</x:f>
        <x:v>0.7796219009833294</x:v>
      </x:c>
      <x:c r="D416" s="131" t="n">
        <x:f>MOD(ABS(SIN((A416+3)*12.9898+78.233)*43758.5453),1)</x:f>
        <x:v>0.10058134014980169</x:v>
      </x:c>
      <x:c r="E416" s="131" t="n">
        <x:f>MOD(ABS(SIN((A416+4)*12.9898+78.233)*43758.5453),1)</x:f>
        <x:v>0.8965137147461064</x:v>
      </x:c>
      <x:c r="F416" s="131" t="n">
        <x:f>MOD(ABS(SIN((A416+5)*12.9898+78.233)*43758.5453),1)</x:f>
        <x:v>0.26053791244339664</x:v>
      </x:c>
      <x:c r="G416" s="132" t="n">
        <x:f>IF(B416&lt;(('Assumptions'!$C$47-'Assumptions'!$B$47)/('Assumptions'!$D$47-'Assumptions'!$B$47)),'Assumptions'!$B$47+SQRT(B416*('Assumptions'!$D$47-'Assumptions'!$B$47)*('Assumptions'!$C$47-'Assumptions'!$B$47)),'Assumptions'!$D$47-SQRT((1-B416)*('Assumptions'!$D$47-'Assumptions'!$B$47)*('Assumptions'!$D$47-'Assumptions'!$C$47)))</x:f>
        <x:v>-0.005792991424339172</x:v>
      </x:c>
      <x:c r="H416" s="132" t="n">
        <x:f>IF(C416&lt;(('Assumptions'!$C$48-'Assumptions'!$B$48)/('Assumptions'!$D$48-'Assumptions'!$B$48)),'Assumptions'!$B$48+SQRT(C416*('Assumptions'!$D$48-'Assumptions'!$B$48)*('Assumptions'!$C$48-'Assumptions'!$B$48)),'Assumptions'!$D$48-SQRT((1-C416)*('Assumptions'!$D$48-'Assumptions'!$B$48)*('Assumptions'!$D$48-'Assumptions'!$C$48)))</x:f>
        <x:v>0.09596220632971378</x:v>
      </x:c>
      <x:c r="I416" s="132" t="n">
        <x:f>IF(D416&lt;(('Assumptions'!$C$49-'Assumptions'!$B$49)/('Assumptions'!$D$49-'Assumptions'!$B$49)),'Assumptions'!$B$49+SQRT(D416*('Assumptions'!$D$49-'Assumptions'!$B$49)*('Assumptions'!$C$49-'Assumptions'!$B$49)),'Assumptions'!$D$49-SQRT((1-D416)*('Assumptions'!$D$49-'Assumptions'!$B$49)*('Assumptions'!$D$49-'Assumptions'!$C$49)))</x:f>
        <x:v>0.002958738956729795</x:v>
      </x:c>
      <x:c r="J416" s="132" t="n">
        <x:f>IF(E416&lt;(('Assumptions'!$C$50-'Assumptions'!$B$50)/('Assumptions'!$D$50-'Assumptions'!$B$50)),'Assumptions'!$B$50+SQRT(E416*('Assumptions'!$D$50-'Assumptions'!$B$50)*('Assumptions'!$C$50-'Assumptions'!$B$50)),'Assumptions'!$D$50-SQRT((1-E416)*('Assumptions'!$D$50-'Assumptions'!$B$50)*('Assumptions'!$D$50-'Assumptions'!$C$50)))</x:f>
        <x:v>0.07460504701339692</x:v>
      </x:c>
      <x:c r="K416" s="132" t="n">
        <x:f>IF(F416&lt;(('Assumptions'!$C$51-'Assumptions'!$B$51)/('Assumptions'!$D$51-'Assumptions'!$B$51)),'Assumptions'!$B$51+SQRT(F416*('Assumptions'!$D$51-'Assumptions'!$B$51)*('Assumptions'!$C$51-'Assumptions'!$B$51)),'Assumptions'!$D$51-SQRT((1-F416)*('Assumptions'!$D$51-'Assumptions'!$B$51)*('Assumptions'!$D$51-'Assumptions'!$C$51)))</x:f>
        <x:v>0.06596450978627434</x:v>
      </x:c>
      <x:c r="L416" s="133" t="n">
        <x:f>(('Assumptions'!$B$17*(1+G416)+'Assumptions'!$B$18)*(1-H416-'Assumptions'!$B$20)-SUM('Assumptions'!$B$21:$B$25)*(1+I416))-(('Assumptions'!$B$17*(1+G416)+'Assumptions'!$B$18)*(1-H416-'Assumptions'!$B$20)*'Assumptions'!$B$26)</x:f>
        <x:v>196265.71808780284</x:v>
      </x:c>
      <x:c r="M416" s="133" t="n">
        <x:f>'Assumptions'!$B$10*'Assumptions'!$B$33</x:f>
        <x:v>1950000</x:v>
      </x:c>
      <x:c r="N416" s="133" t="n">
        <x:f>-PMT(K416/12,'Assumptions'!$B$35*12,M416)*12</x:f>
        <x:v>149391.31474143444</x:v>
      </x:c>
      <x:c r="O416" s="133" t="n">
        <x:f>(L416*(1+'Assumptions'!$B$29)^('Assumptions'!$B$14/12)/J416)*(1-'Assumptions'!$B$42)-'Debt Schedule'!$F$9</x:f>
        <x:v>2866752.60851284</x:v>
      </x:c>
      <x:c r="P416" s="132" t="n">
        <x:f>((O416+(L416-N416-'Assumptions'!$B$27-'Assumptions'!$B$28)*('Assumptions'!$B$14/12))/ABS('Monthly Cash Flow'!$S$5))^(1/('Assumptions'!$B$14/12))-1</x:f>
        <x:v>0.17514881269997096</x:v>
      </x:c>
      <x:c r="Q416" s="133" t="n">
        <x:f>-ABS('Monthly Cash Flow'!$S$5)+((L416-N416-'Assumptions'!$B$27-'Assumptions'!$B$28)*(1-(1+'Assumptions'!$B$43)^-('Assumptions'!$B$14/12))/'Assumptions'!$B$43)+(O416/(1+'Assumptions'!$B$43)^('Assumptions'!$B$14/12))</x:f>
        <x:v>511587.2198140668</x:v>
      </x:c>
    </x:row>
    <x:row r="417">
      <x:c r="A417" s="131" t="n">
        <x:f>410</x:f>
        <x:v>410</x:v>
      </x:c>
      <x:c r="B417" s="131" t="n">
        <x:f>MOD(ABS(SIN((A417+1)*12.9898+78.233)*43758.5453),1)</x:f>
        <x:v>0.7796219009833294</x:v>
      </x:c>
      <x:c r="C417" s="131" t="n">
        <x:f>MOD(ABS(SIN((A417+2)*12.9898+78.233)*43758.5453),1)</x:f>
        <x:v>0.10058134014980169</x:v>
      </x:c>
      <x:c r="D417" s="131" t="n">
        <x:f>MOD(ABS(SIN((A417+3)*12.9898+78.233)*43758.5453),1)</x:f>
        <x:v>0.8965137147461064</x:v>
      </x:c>
      <x:c r="E417" s="131" t="n">
        <x:f>MOD(ABS(SIN((A417+4)*12.9898+78.233)*43758.5453),1)</x:f>
        <x:v>0.26053791244339664</x:v>
      </x:c>
      <x:c r="F417" s="131" t="n">
        <x:f>MOD(ABS(SIN((A417+5)*12.9898+78.233)*43758.5453),1)</x:f>
        <x:v>0.1518580354313599</x:v>
      </x:c>
      <x:c r="G417" s="132" t="n">
        <x:f>IF(B417&lt;(('Assumptions'!$C$47-'Assumptions'!$B$47)/('Assumptions'!$D$47-'Assumptions'!$B$47)),'Assumptions'!$B$47+SQRT(B417*('Assumptions'!$D$47-'Assumptions'!$B$47)*('Assumptions'!$C$47-'Assumptions'!$B$47)),'Assumptions'!$D$47-SQRT((1-B417)*('Assumptions'!$D$47-'Assumptions'!$B$47)*('Assumptions'!$D$47-'Assumptions'!$C$47)))</x:f>
        <x:v>0.04061945112861679</x:v>
      </x:c>
      <x:c r="H417" s="132" t="n">
        <x:f>IF(C417&lt;(('Assumptions'!$C$48-'Assumptions'!$B$48)/('Assumptions'!$D$48-'Assumptions'!$B$48)),'Assumptions'!$B$48+SQRT(C417*('Assumptions'!$D$48-'Assumptions'!$B$48)*('Assumptions'!$C$48-'Assumptions'!$B$48)),'Assumptions'!$D$48-SQRT((1-C417)*('Assumptions'!$D$48-'Assumptions'!$B$48)*('Assumptions'!$D$48-'Assumptions'!$C$48)))</x:f>
        <x:v>0.04821862844712372</x:v>
      </x:c>
      <x:c r="I417" s="132" t="n">
        <x:f>IF(D417&lt;(('Assumptions'!$C$49-'Assumptions'!$B$49)/('Assumptions'!$D$49-'Assumptions'!$B$49)),'Assumptions'!$B$49+SQRT(D417*('Assumptions'!$D$49-'Assumptions'!$B$49)*('Assumptions'!$C$49-'Assumptions'!$B$49)),'Assumptions'!$D$49-SQRT((1-D417)*('Assumptions'!$D$49-'Assumptions'!$B$49)*('Assumptions'!$D$49-'Assumptions'!$C$49)))</x:f>
        <x:v>0.10272100084092195</x:v>
      </x:c>
      <x:c r="J417" s="132" t="n">
        <x:f>IF(E417&lt;(('Assumptions'!$C$50-'Assumptions'!$B$50)/('Assumptions'!$D$50-'Assumptions'!$B$50)),'Assumptions'!$B$50+SQRT(E417*('Assumptions'!$D$50-'Assumptions'!$B$50)*('Assumptions'!$C$50-'Assumptions'!$B$50)),'Assumptions'!$D$50-SQRT((1-E417)*('Assumptions'!$D$50-'Assumptions'!$B$50)*('Assumptions'!$D$50-'Assumptions'!$C$50)))</x:f>
        <x:v>0.06515643718055365</x:v>
      </x:c>
      <x:c r="K417" s="132" t="n">
        <x:f>IF(F417&lt;(('Assumptions'!$C$51-'Assumptions'!$B$51)/('Assumptions'!$D$51-'Assumptions'!$B$51)),'Assumptions'!$B$51+SQRT(F417*('Assumptions'!$D$51-'Assumptions'!$B$51)*('Assumptions'!$C$51-'Assumptions'!$B$51)),'Assumptions'!$D$51-SQRT((1-F417)*('Assumptions'!$D$51-'Assumptions'!$B$51)*('Assumptions'!$D$51-'Assumptions'!$C$51)))</x:f>
        <x:v>0.06396227202643343</x:v>
      </x:c>
      <x:c r="L417" s="133" t="n">
        <x:f>(('Assumptions'!$B$17*(1+G417)+'Assumptions'!$B$18)*(1-H417-'Assumptions'!$B$20)-SUM('Assumptions'!$B$21:$B$25)*(1+I417))-(('Assumptions'!$B$17*(1+G417)+'Assumptions'!$B$18)*(1-H417-'Assumptions'!$B$20)*'Assumptions'!$B$26)</x:f>
        <x:v>216031.58241508264</x:v>
      </x:c>
      <x:c r="M417" s="133" t="n">
        <x:f>'Assumptions'!$B$10*'Assumptions'!$B$33</x:f>
        <x:v>1950000</x:v>
      </x:c>
      <x:c r="N417" s="133" t="n">
        <x:f>-PMT(K417/12,'Assumptions'!$B$35*12,M417)*12</x:f>
        <x:v>146310.582507473</x:v>
      </x:c>
      <x:c r="O417" s="133" t="n">
        <x:f>(L417*(1+'Assumptions'!$B$29)^('Assumptions'!$B$14/12)/J417)*(1-'Assumptions'!$B$42)-'Debt Schedule'!$F$9</x:f>
        <x:v>3613049.3646856607</x:v>
      </x:c>
      <x:c r="P417" s="132" t="n">
        <x:f>((O417+(L417-N417-'Assumptions'!$B$27-'Assumptions'!$B$28)*('Assumptions'!$B$14/12))/ABS('Monthly Cash Flow'!$S$5))^(1/('Assumptions'!$B$14/12))-1</x:f>
        <x:v>0.23781393258051486</x:v>
      </x:c>
      <x:c r="Q417" s="133" t="n">
        <x:f>-ABS('Monthly Cash Flow'!$S$5)+((L417-N417-'Assumptions'!$B$27-'Assumptions'!$B$28)*(1-(1+'Assumptions'!$B$43)^-('Assumptions'!$B$14/12))/'Assumptions'!$B$43)+(O417/(1+'Assumptions'!$B$43)^('Assumptions'!$B$14/12))</x:f>
        <x:v>1061585.365022016</x:v>
      </x:c>
    </x:row>
    <x:row r="418">
      <x:c r="A418" s="131" t="n">
        <x:f>411</x:f>
        <x:v>411</x:v>
      </x:c>
      <x:c r="B418" s="131" t="n">
        <x:f>MOD(ABS(SIN((A418+1)*12.9898+78.233)*43758.5453),1)</x:f>
        <x:v>0.10058134014980169</x:v>
      </x:c>
      <x:c r="C418" s="131" t="n">
        <x:f>MOD(ABS(SIN((A418+2)*12.9898+78.233)*43758.5453),1)</x:f>
        <x:v>0.8965137147461064</x:v>
      </x:c>
      <x:c r="D418" s="131" t="n">
        <x:f>MOD(ABS(SIN((A418+3)*12.9898+78.233)*43758.5453),1)</x:f>
        <x:v>0.26053791244339664</x:v>
      </x:c>
      <x:c r="E418" s="131" t="n">
        <x:f>MOD(ABS(SIN((A418+4)*12.9898+78.233)*43758.5453),1)</x:f>
        <x:v>0.1518580354313599</x:v>
      </x:c>
      <x:c r="F418" s="131" t="n">
        <x:f>MOD(ABS(SIN((A418+5)*12.9898+78.233)*43758.5453),1)</x:f>
        <x:v>0.9557282142791337</x:v>
      </x:c>
      <x:c r="G418" s="132" t="n">
        <x:f>IF(B418&lt;(('Assumptions'!$C$47-'Assumptions'!$B$47)/('Assumptions'!$D$47-'Assumptions'!$B$47)),'Assumptions'!$B$47+SQRT(B418*('Assumptions'!$D$47-'Assumptions'!$B$47)*('Assumptions'!$C$47-'Assumptions'!$B$47)),'Assumptions'!$D$47-SQRT((1-B418)*('Assumptions'!$D$47-'Assumptions'!$B$47)*('Assumptions'!$D$47-'Assumptions'!$C$47)))</x:f>
        <x:v>-0.05086801282672112</x:v>
      </x:c>
      <x:c r="H418" s="132" t="n">
        <x:f>IF(C418&lt;(('Assumptions'!$C$48-'Assumptions'!$B$48)/('Assumptions'!$D$48-'Assumptions'!$B$48)),'Assumptions'!$B$48+SQRT(C418*('Assumptions'!$D$48-'Assumptions'!$B$48)*('Assumptions'!$C$48-'Assumptions'!$B$48)),'Assumptions'!$D$48-SQRT((1-C418)*('Assumptions'!$D$48-'Assumptions'!$B$48)*('Assumptions'!$D$48-'Assumptions'!$C$48)))</x:f>
        <x:v>0.10982253638500639</x:v>
      </x:c>
      <x:c r="I418" s="132" t="n">
        <x:f>IF(D418&lt;(('Assumptions'!$C$49-'Assumptions'!$B$49)/('Assumptions'!$D$49-'Assumptions'!$B$49)),'Assumptions'!$B$49+SQRT(D418*('Assumptions'!$D$49-'Assumptions'!$B$49)*('Assumptions'!$C$49-'Assumptions'!$B$49)),'Assumptions'!$D$49-SQRT((1-D418)*('Assumptions'!$D$49-'Assumptions'!$B$49)*('Assumptions'!$D$49-'Assumptions'!$C$49)))</x:f>
        <x:v>0.02304535280671327</x:v>
      </x:c>
      <x:c r="J418" s="132" t="n">
        <x:f>IF(E418&lt;(('Assumptions'!$C$50-'Assumptions'!$B$50)/('Assumptions'!$D$50-'Assumptions'!$B$50)),'Assumptions'!$B$50+SQRT(E418*('Assumptions'!$D$50-'Assumptions'!$B$50)*('Assumptions'!$C$50-'Assumptions'!$B$50)),'Assumptions'!$D$50-SQRT((1-E418)*('Assumptions'!$D$50-'Assumptions'!$B$50)*('Assumptions'!$D$50-'Assumptions'!$C$50)))</x:f>
        <x:v>0.06334534498315164</x:v>
      </x:c>
      <x:c r="K418" s="132" t="n">
        <x:f>IF(F418&lt;(('Assumptions'!$C$51-'Assumptions'!$B$51)/('Assumptions'!$D$51-'Assumptions'!$B$51)),'Assumptions'!$B$51+SQRT(F418*('Assumptions'!$D$51-'Assumptions'!$B$51)*('Assumptions'!$C$51-'Assumptions'!$B$51)),'Assumptions'!$D$51-SQRT((1-F418)*('Assumptions'!$D$51-'Assumptions'!$B$51)*('Assumptions'!$D$51-'Assumptions'!$C$51)))</x:f>
        <x:v>0.08038417971773523</x:v>
      </x:c>
      <x:c r="L418" s="133" t="n">
        <x:f>(('Assumptions'!$B$17*(1+G418)+'Assumptions'!$B$18)*(1-H418-'Assumptions'!$B$20)-SUM('Assumptions'!$B$21:$B$25)*(1+I418))-(('Assumptions'!$B$17*(1+G418)+'Assumptions'!$B$18)*(1-H418-'Assumptions'!$B$20)*'Assumptions'!$B$26)</x:f>
        <x:v>175021.576730267</x:v>
      </x:c>
      <x:c r="M418" s="133" t="n">
        <x:f>'Assumptions'!$B$10*'Assumptions'!$B$33</x:f>
        <x:v>1950000</x:v>
      </x:c>
      <x:c r="N418" s="133" t="n">
        <x:f>-PMT(K418/12,'Assumptions'!$B$35*12,M418)*12</x:f>
        <x:v>172328.02021357138</x:v>
      </x:c>
      <x:c r="O418" s="133" t="n">
        <x:f>(L418*(1+'Assumptions'!$B$29)^('Assumptions'!$B$14/12)/J418)*(1-'Assumptions'!$B$42)-'Debt Schedule'!$F$9</x:f>
        <x:v>3010862.0896522766</x:v>
      </x:c>
      <x:c r="P418" s="132" t="n">
        <x:f>((O418+(L418-N418-'Assumptions'!$B$27-'Assumptions'!$B$28)*('Assumptions'!$B$14/12))/ABS('Monthly Cash Flow'!$S$5))^(1/('Assumptions'!$B$14/12))-1</x:f>
        <x:v>0.1688604742501687</x:v>
      </x:c>
      <x:c r="Q418" s="133" t="n">
        <x:f>-ABS('Monthly Cash Flow'!$S$5)+((L418-N418-'Assumptions'!$B$27-'Assumptions'!$B$28)*(1-(1+'Assumptions'!$B$43)^-('Assumptions'!$B$14/12))/'Assumptions'!$B$43)+(O418/(1+'Assumptions'!$B$43)^('Assumptions'!$B$14/12))</x:f>
        <x:v>433587.69988534926</x:v>
      </x:c>
    </x:row>
    <x:row r="419">
      <x:c r="A419" s="131" t="n">
        <x:f>412</x:f>
        <x:v>412</x:v>
      </x:c>
      <x:c r="B419" s="131" t="n">
        <x:f>MOD(ABS(SIN((A419+1)*12.9898+78.233)*43758.5453),1)</x:f>
        <x:v>0.8965137147461064</x:v>
      </x:c>
      <x:c r="C419" s="131" t="n">
        <x:f>MOD(ABS(SIN((A419+2)*12.9898+78.233)*43758.5453),1)</x:f>
        <x:v>0.26053791244339664</x:v>
      </x:c>
      <x:c r="D419" s="131" t="n">
        <x:f>MOD(ABS(SIN((A419+3)*12.9898+78.233)*43758.5453),1)</x:f>
        <x:v>0.1518580354313599</x:v>
      </x:c>
      <x:c r="E419" s="131" t="n">
        <x:f>MOD(ABS(SIN((A419+4)*12.9898+78.233)*43758.5453),1)</x:f>
        <x:v>0.9557282142791337</x:v>
      </x:c>
      <x:c r="F419" s="131" t="n">
        <x:f>MOD(ABS(SIN((A419+5)*12.9898+78.233)*43758.5453),1)</x:f>
        <x:v>0.14775313340760476</x:v>
      </x:c>
      <x:c r="G419" s="132" t="n">
        <x:f>IF(B419&lt;(('Assumptions'!$C$47-'Assumptions'!$B$47)/('Assumptions'!$D$47-'Assumptions'!$B$47)),'Assumptions'!$B$47+SQRT(B419*('Assumptions'!$D$47-'Assumptions'!$B$47)*('Assumptions'!$C$47-'Assumptions'!$B$47)),'Assumptions'!$D$47-SQRT((1-B419)*('Assumptions'!$D$47-'Assumptions'!$B$47)*('Assumptions'!$D$47-'Assumptions'!$C$47)))</x:f>
        <x:v>0.05930871636256363</x:v>
      </x:c>
      <x:c r="H419" s="132" t="n">
        <x:f>IF(C419&lt;(('Assumptions'!$C$48-'Assumptions'!$B$48)/('Assumptions'!$D$48-'Assumptions'!$B$48)),'Assumptions'!$B$48+SQRT(C419*('Assumptions'!$D$48-'Assumptions'!$B$48)*('Assumptions'!$C$48-'Assumptions'!$B$48)),'Assumptions'!$D$48-SQRT((1-C419)*('Assumptions'!$D$48-'Assumptions'!$B$48)*('Assumptions'!$D$48-'Assumptions'!$C$48)))</x:f>
        <x:v>0.059321922021982276</x:v>
      </x:c>
      <x:c r="I419" s="132" t="n">
        <x:f>IF(D419&lt;(('Assumptions'!$C$49-'Assumptions'!$B$49)/('Assumptions'!$D$49-'Assumptions'!$B$49)),'Assumptions'!$B$49+SQRT(D419*('Assumptions'!$D$49-'Assumptions'!$B$49)*('Assumptions'!$C$49-'Assumptions'!$B$49)),'Assumptions'!$D$49-SQRT((1-D419)*('Assumptions'!$D$49-'Assumptions'!$B$49)*('Assumptions'!$D$49-'Assumptions'!$C$49)))</x:f>
        <x:v>0.01049773799434589</x:v>
      </x:c>
      <x:c r="J419" s="132" t="n">
        <x:f>IF(E419&lt;(('Assumptions'!$C$50-'Assumptions'!$B$50)/('Assumptions'!$D$50-'Assumptions'!$B$50)),'Assumptions'!$B$50+SQRT(E419*('Assumptions'!$D$50-'Assumptions'!$B$50)*('Assumptions'!$C$50-'Assumptions'!$B$50)),'Assumptions'!$D$50-SQRT((1-E419)*('Assumptions'!$D$50-'Assumptions'!$B$50)*('Assumptions'!$D$50-'Assumptions'!$C$50)))</x:f>
        <x:v>0.07647134023544438</x:v>
      </x:c>
      <x:c r="K419" s="132" t="n">
        <x:f>IF(F419&lt;(('Assumptions'!$C$51-'Assumptions'!$B$51)/('Assumptions'!$D$51-'Assumptions'!$B$51)),'Assumptions'!$B$51+SQRT(F419*('Assumptions'!$D$51-'Assumptions'!$B$51)*('Assumptions'!$C$51-'Assumptions'!$B$51)),'Assumptions'!$D$51-SQRT((1-F419)*('Assumptions'!$D$51-'Assumptions'!$B$51)*('Assumptions'!$D$51-'Assumptions'!$C$51)))</x:f>
        <x:v>0.06387433225421231</x:v>
      </x:c>
      <x:c r="L419" s="133" t="n">
        <x:f>(('Assumptions'!$B$17*(1+G419)+'Assumptions'!$B$18)*(1-H419-'Assumptions'!$B$20)-SUM('Assumptions'!$B$21:$B$25)*(1+I419))-(('Assumptions'!$B$17*(1+G419)+'Assumptions'!$B$18)*(1-H419-'Assumptions'!$B$20)*'Assumptions'!$B$26)</x:f>
        <x:v>229477.94048498716</x:v>
      </x:c>
      <x:c r="M419" s="133" t="n">
        <x:f>'Assumptions'!$B$10*'Assumptions'!$B$33</x:f>
        <x:v>1950000</x:v>
      </x:c>
      <x:c r="N419" s="133" t="n">
        <x:f>-PMT(K419/12,'Assumptions'!$B$35*12,M419)*12</x:f>
        <x:v>146175.8939476963</x:v>
      </x:c>
      <x:c r="O419" s="133" t="n">
        <x:f>(L419*(1+'Assumptions'!$B$29)^('Assumptions'!$B$14/12)/J419)*(1-'Assumptions'!$B$42)-'Debt Schedule'!$F$9</x:f>
        <x:v>3270063.747234004</x:v>
      </x:c>
      <x:c r="P419" s="132" t="n">
        <x:f>((O419+(L419-N419-'Assumptions'!$B$27-'Assumptions'!$B$28)*('Assumptions'!$B$14/12))/ABS('Monthly Cash Flow'!$S$5))^(1/('Assumptions'!$B$14/12))-1</x:f>
        <x:v>0.21915624039520964</x:v>
      </x:c>
      <x:c r="Q419" s="133" t="n">
        <x:f>-ABS('Monthly Cash Flow'!$S$5)+((L419-N419-'Assumptions'!$B$27-'Assumptions'!$B$28)*(1-(1+'Assumptions'!$B$43)^-('Assumptions'!$B$14/12))/'Assumptions'!$B$43)+(O419/(1+'Assumptions'!$B$43)^('Assumptions'!$B$14/12))</x:f>
        <x:v>900101.1335221871</x:v>
      </x:c>
    </x:row>
    <x:row r="420">
      <x:c r="A420" s="131" t="n">
        <x:f>413</x:f>
        <x:v>413</x:v>
      </x:c>
      <x:c r="B420" s="131" t="n">
        <x:f>MOD(ABS(SIN((A420+1)*12.9898+78.233)*43758.5453),1)</x:f>
        <x:v>0.26053791244339664</x:v>
      </x:c>
      <x:c r="C420" s="131" t="n">
        <x:f>MOD(ABS(SIN((A420+2)*12.9898+78.233)*43758.5453),1)</x:f>
        <x:v>0.1518580354313599</x:v>
      </x:c>
      <x:c r="D420" s="131" t="n">
        <x:f>MOD(ABS(SIN((A420+3)*12.9898+78.233)*43758.5453),1)</x:f>
        <x:v>0.9557282142791337</x:v>
      </x:c>
      <x:c r="E420" s="131" t="n">
        <x:f>MOD(ABS(SIN((A420+4)*12.9898+78.233)*43758.5453),1)</x:f>
        <x:v>0.14775313340760476</x:v>
      </x:c>
      <x:c r="F420" s="131" t="n">
        <x:f>MOD(ABS(SIN((A420+5)*12.9898+78.233)*43758.5453),1)</x:f>
        <x:v>0.12043613949936116</x:v>
      </x:c>
      <x:c r="G420" s="132" t="n">
        <x:f>IF(B420&lt;(('Assumptions'!$C$47-'Assumptions'!$B$47)/('Assumptions'!$D$47-'Assumptions'!$B$47)),'Assumptions'!$B$47+SQRT(B420*('Assumptions'!$D$47-'Assumptions'!$B$47)*('Assumptions'!$C$47-'Assumptions'!$B$47)),'Assumptions'!$D$47-SQRT((1-B420)*('Assumptions'!$D$47-'Assumptions'!$B$47)*('Assumptions'!$D$47-'Assumptions'!$C$47)))</x:f>
        <x:v>-0.020924656822486565</x:v>
      </x:c>
      <x:c r="H420" s="132" t="n">
        <x:f>IF(C420&lt;(('Assumptions'!$C$48-'Assumptions'!$B$48)/('Assumptions'!$D$48-'Assumptions'!$B$48)),'Assumptions'!$B$48+SQRT(C420*('Assumptions'!$D$48-'Assumptions'!$B$48)*('Assumptions'!$C$48-'Assumptions'!$B$48)),'Assumptions'!$D$48-SQRT((1-C420)*('Assumptions'!$D$48-'Assumptions'!$B$48)*('Assumptions'!$D$48-'Assumptions'!$C$48)))</x:f>
        <x:v>0.05238596696422756</x:v>
      </x:c>
      <x:c r="I420" s="132" t="n">
        <x:f>IF(D420&lt;(('Assumptions'!$C$49-'Assumptions'!$B$49)/('Assumptions'!$D$49-'Assumptions'!$B$49)),'Assumptions'!$B$49+SQRT(D420*('Assumptions'!$D$49-'Assumptions'!$B$49)*('Assumptions'!$C$49-'Assumptions'!$B$49)),'Assumptions'!$D$49-SQRT((1-D420)*('Assumptions'!$D$49-'Assumptions'!$B$49)*('Assumptions'!$D$49-'Assumptions'!$C$49)))</x:f>
        <x:v>0.11907637518707238</x:v>
      </x:c>
      <x:c r="J420" s="132" t="n">
        <x:f>IF(E420&lt;(('Assumptions'!$C$50-'Assumptions'!$B$50)/('Assumptions'!$D$50-'Assumptions'!$B$50)),'Assumptions'!$B$50+SQRT(E420*('Assumptions'!$D$50-'Assumptions'!$B$50)*('Assumptions'!$C$50-'Assumptions'!$B$50)),'Assumptions'!$D$50-SQRT((1-E420)*('Assumptions'!$D$50-'Assumptions'!$B$50)*('Assumptions'!$D$50-'Assumptions'!$C$50)))</x:f>
        <x:v>0.06326580046625888</x:v>
      </x:c>
      <x:c r="K420" s="132" t="n">
        <x:f>IF(F420&lt;(('Assumptions'!$C$51-'Assumptions'!$B$51)/('Assumptions'!$D$51-'Assumptions'!$B$51)),'Assumptions'!$B$51+SQRT(F420*('Assumptions'!$D$51-'Assumptions'!$B$51)*('Assumptions'!$C$51-'Assumptions'!$B$51)),'Assumptions'!$D$51-SQRT((1-F420)*('Assumptions'!$D$51-'Assumptions'!$B$51)*('Assumptions'!$D$51-'Assumptions'!$C$51)))</x:f>
        <x:v>0.06325499247282951</x:v>
      </x:c>
      <x:c r="L420" s="133" t="n">
        <x:f>(('Assumptions'!$B$17*(1+G420)+'Assumptions'!$B$18)*(1-H420-'Assumptions'!$B$20)-SUM('Assumptions'!$B$21:$B$25)*(1+I420))-(('Assumptions'!$B$17*(1+G420)+'Assumptions'!$B$18)*(1-H420-'Assumptions'!$B$20)*'Assumptions'!$B$26)</x:f>
        <x:v>192457.34358706474</x:v>
      </x:c>
      <x:c r="M420" s="133" t="n">
        <x:f>'Assumptions'!$B$10*'Assumptions'!$B$33</x:f>
        <x:v>1950000</x:v>
      </x:c>
      <x:c r="N420" s="133" t="n">
        <x:f>-PMT(K420/12,'Assumptions'!$B$35*12,M420)*12</x:f>
        <x:v>145228.803982132</x:v>
      </x:c>
      <x:c r="O420" s="133" t="n">
        <x:f>(L420*(1+'Assumptions'!$B$29)^('Assumptions'!$B$14/12)/J420)*(1-'Assumptions'!$B$42)-'Debt Schedule'!$F$9</x:f>
        <x:v>3314968.889253751</x:v>
      </x:c>
      <x:c r="P420" s="132" t="n">
        <x:f>((O420+(L420-N420-'Assumptions'!$B$27-'Assumptions'!$B$28)*('Assumptions'!$B$14/12))/ABS('Monthly Cash Flow'!$S$5))^(1/('Assumptions'!$B$14/12))-1</x:f>
        <x:v>0.20953201161828483</x:v>
      </x:c>
      <x:c r="Q420" s="133" t="n">
        <x:f>-ABS('Monthly Cash Flow'!$S$5)+((L420-N420-'Assumptions'!$B$27-'Assumptions'!$B$28)*(1-(1+'Assumptions'!$B$43)^-('Assumptions'!$B$14/12))/'Assumptions'!$B$43)+(O420/(1+'Assumptions'!$B$43)^('Assumptions'!$B$14/12))</x:f>
        <x:v>791236.7209119003</x:v>
      </x:c>
    </x:row>
    <x:row r="421">
      <x:c r="A421" s="131" t="n">
        <x:f>414</x:f>
        <x:v>414</x:v>
      </x:c>
      <x:c r="B421" s="131" t="n">
        <x:f>MOD(ABS(SIN((A421+1)*12.9898+78.233)*43758.5453),1)</x:f>
        <x:v>0.1518580354313599</x:v>
      </x:c>
      <x:c r="C421" s="131" t="n">
        <x:f>MOD(ABS(SIN((A421+2)*12.9898+78.233)*43758.5453),1)</x:f>
        <x:v>0.9557282142791337</x:v>
      </x:c>
      <x:c r="D421" s="131" t="n">
        <x:f>MOD(ABS(SIN((A421+3)*12.9898+78.233)*43758.5453),1)</x:f>
        <x:v>0.14775313340760476</x:v>
      </x:c>
      <x:c r="E421" s="131" t="n">
        <x:f>MOD(ABS(SIN((A421+4)*12.9898+78.233)*43758.5453),1)</x:f>
        <x:v>0.12043613949936116</x:v>
      </x:c>
      <x:c r="F421" s="131" t="n">
        <x:f>MOD(ABS(SIN((A421+5)*12.9898+78.233)*43758.5453),1)</x:f>
        <x:v>0.52665011028148</x:v>
      </x:c>
      <x:c r="G421" s="132" t="n">
        <x:f>IF(B421&lt;(('Assumptions'!$C$47-'Assumptions'!$B$47)/('Assumptions'!$D$47-'Assumptions'!$B$47)),'Assumptions'!$B$47+SQRT(B421*('Assumptions'!$D$47-'Assumptions'!$B$47)*('Assumptions'!$C$47-'Assumptions'!$B$47)),'Assumptions'!$D$47-SQRT((1-B421)*('Assumptions'!$D$47-'Assumptions'!$B$47)*('Assumptions'!$D$47-'Assumptions'!$C$47)))</x:f>
        <x:v>-0.039629536606444395</x:v>
      </x:c>
      <x:c r="H421" s="132" t="n">
        <x:f>IF(C421&lt;(('Assumptions'!$C$48-'Assumptions'!$B$48)/('Assumptions'!$D$48-'Assumptions'!$B$48)),'Assumptions'!$B$48+SQRT(C421*('Assumptions'!$D$48-'Assumptions'!$B$48)*('Assumptions'!$C$48-'Assumptions'!$B$48)),'Assumptions'!$D$48-SQRT((1-C421)*('Assumptions'!$D$48-'Assumptions'!$B$48)*('Assumptions'!$D$48-'Assumptions'!$C$48)))</x:f>
        <x:v>0.12026192222267773</x:v>
      </x:c>
      <x:c r="I421" s="132" t="n">
        <x:f>IF(D421&lt;(('Assumptions'!$C$49-'Assumptions'!$B$49)/('Assumptions'!$D$49-'Assumptions'!$B$49)),'Assumptions'!$B$49+SQRT(D421*('Assumptions'!$D$49-'Assumptions'!$B$49)*('Assumptions'!$C$49-'Assumptions'!$B$49)),'Assumptions'!$D$49-SQRT((1-D421)*('Assumptions'!$D$49-'Assumptions'!$B$49)*('Assumptions'!$D$49-'Assumptions'!$C$49)))</x:f>
        <x:v>0.00994663741545878</x:v>
      </x:c>
      <x:c r="J421" s="132" t="n">
        <x:f>IF(E421&lt;(('Assumptions'!$C$50-'Assumptions'!$B$50)/('Assumptions'!$D$50-'Assumptions'!$B$50)),'Assumptions'!$B$50+SQRT(E421*('Assumptions'!$D$50-'Assumptions'!$B$50)*('Assumptions'!$C$50-'Assumptions'!$B$50)),'Assumptions'!$D$50-SQRT((1-E421)*('Assumptions'!$D$50-'Assumptions'!$B$50)*('Assumptions'!$D$50-'Assumptions'!$C$50)))</x:f>
        <x:v>0.06270558655555321</x:v>
      </x:c>
      <x:c r="K421" s="132" t="n">
        <x:f>IF(F421&lt;(('Assumptions'!$C$51-'Assumptions'!$B$51)/('Assumptions'!$D$51-'Assumptions'!$B$51)),'Assumptions'!$B$51+SQRT(F421*('Assumptions'!$D$51-'Assumptions'!$B$51)*('Assumptions'!$C$51-'Assumptions'!$B$51)),'Assumptions'!$D$51-SQRT((1-F421)*('Assumptions'!$D$51-'Assumptions'!$B$51)*('Assumptions'!$D$51-'Assumptions'!$C$51)))</x:f>
        <x:v>0.06990696735486743</x:v>
      </x:c>
      <x:c r="L421" s="133" t="n">
        <x:f>(('Assumptions'!$B$17*(1+G421)+'Assumptions'!$B$18)*(1-H421-'Assumptions'!$B$20)-SUM('Assumptions'!$B$21:$B$25)*(1+I421))-(('Assumptions'!$B$17*(1+G421)+'Assumptions'!$B$18)*(1-H421-'Assumptions'!$B$20)*'Assumptions'!$B$26)</x:f>
        <x:v>176445.37259729533</x:v>
      </x:c>
      <x:c r="M421" s="133" t="n">
        <x:f>'Assumptions'!$B$10*'Assumptions'!$B$33</x:f>
        <x:v>1950000</x:v>
      </x:c>
      <x:c r="N421" s="133" t="n">
        <x:f>-PMT(K421/12,'Assumptions'!$B$35*12,M421)*12</x:f>
        <x:v>155534.6071659734</x:v>
      </x:c>
      <x:c r="O421" s="133" t="n">
        <x:f>(L421*(1+'Assumptions'!$B$29)^('Assumptions'!$B$14/12)/J421)*(1-'Assumptions'!$B$42)-'Debt Schedule'!$F$9</x:f>
        <x:v>3066323.812360309</x:v>
      </x:c>
      <x:c r="P421" s="132" t="n">
        <x:f>((O421+(L421-N421-'Assumptions'!$B$27-'Assumptions'!$B$28)*('Assumptions'!$B$14/12))/ABS('Monthly Cash Flow'!$S$5))^(1/('Assumptions'!$B$14/12))-1</x:f>
        <x:v>0.1807461605623124</x:v>
      </x:c>
      <x:c r="Q421" s="133" t="n">
        <x:f>-ABS('Monthly Cash Flow'!$S$5)+((L421-N421-'Assumptions'!$B$27-'Assumptions'!$B$28)*(1-(1+'Assumptions'!$B$43)^-('Assumptions'!$B$14/12))/'Assumptions'!$B$43)+(O421/(1+'Assumptions'!$B$43)^('Assumptions'!$B$14/12))</x:f>
        <x:v>537082.6206574759</x:v>
      </x:c>
    </x:row>
    <x:row r="422">
      <x:c r="A422" s="131" t="n">
        <x:f>415</x:f>
        <x:v>415</x:v>
      </x:c>
      <x:c r="B422" s="131" t="n">
        <x:f>MOD(ABS(SIN((A422+1)*12.9898+78.233)*43758.5453),1)</x:f>
        <x:v>0.9557282142791337</x:v>
      </x:c>
      <x:c r="C422" s="131" t="n">
        <x:f>MOD(ABS(SIN((A422+2)*12.9898+78.233)*43758.5453),1)</x:f>
        <x:v>0.14775313340760476</x:v>
      </x:c>
      <x:c r="D422" s="131" t="n">
        <x:f>MOD(ABS(SIN((A422+3)*12.9898+78.233)*43758.5453),1)</x:f>
        <x:v>0.12043613949936116</x:v>
      </x:c>
      <x:c r="E422" s="131" t="n">
        <x:f>MOD(ABS(SIN((A422+4)*12.9898+78.233)*43758.5453),1)</x:f>
        <x:v>0.52665011028148</x:v>
      </x:c>
      <x:c r="F422" s="131" t="n">
        <x:f>MOD(ABS(SIN((A422+5)*12.9898+78.233)*43758.5453),1)</x:f>
        <x:v>0.933892524066323</x:v>
      </x:c>
      <x:c r="G422" s="132" t="n">
        <x:f>IF(B422&lt;(('Assumptions'!$C$47-'Assumptions'!$B$47)/('Assumptions'!$D$47-'Assumptions'!$B$47)),'Assumptions'!$B$47+SQRT(B422*('Assumptions'!$D$47-'Assumptions'!$B$47)*('Assumptions'!$C$47-'Assumptions'!$B$47)),'Assumptions'!$D$47-SQRT((1-B422)*('Assumptions'!$D$47-'Assumptions'!$B$47)*('Assumptions'!$D$47-'Assumptions'!$C$47)))</x:f>
        <x:v>0.07338518135448109</x:v>
      </x:c>
      <x:c r="H422" s="132" t="n">
        <x:f>IF(C422&lt;(('Assumptions'!$C$48-'Assumptions'!$B$48)/('Assumptions'!$D$48-'Assumptions'!$B$48)),'Assumptions'!$B$48+SQRT(C422*('Assumptions'!$D$48-'Assumptions'!$B$48)*('Assumptions'!$C$48-'Assumptions'!$B$48)),'Assumptions'!$D$48-SQRT((1-C422)*('Assumptions'!$D$48-'Assumptions'!$B$48)*('Assumptions'!$D$48-'Assumptions'!$C$48)))</x:f>
        <x:v>0.052081334657241525</x:v>
      </x:c>
      <x:c r="I422" s="132" t="n">
        <x:f>IF(D422&lt;(('Assumptions'!$C$49-'Assumptions'!$B$49)/('Assumptions'!$D$49-'Assumptions'!$B$49)),'Assumptions'!$B$49+SQRT(D422*('Assumptions'!$D$49-'Assumptions'!$B$49)*('Assumptions'!$C$49-'Assumptions'!$B$49)),'Assumptions'!$D$49-SQRT((1-D422)*('Assumptions'!$D$49-'Assumptions'!$B$49)*('Assumptions'!$D$49-'Assumptions'!$C$49)))</x:f>
        <x:v>0.006065361589662463</x:v>
      </x:c>
      <x:c r="J422" s="132" t="n">
        <x:f>IF(E422&lt;(('Assumptions'!$C$50-'Assumptions'!$B$50)/('Assumptions'!$D$50-'Assumptions'!$B$50)),'Assumptions'!$B$50+SQRT(E422*('Assumptions'!$D$50-'Assumptions'!$B$50)*('Assumptions'!$C$50-'Assumptions'!$B$50)),'Assumptions'!$D$50-SQRT((1-E422)*('Assumptions'!$D$50-'Assumptions'!$B$50)*('Assumptions'!$D$50-'Assumptions'!$C$50)))</x:f>
        <x:v>0.06846181745319768</x:v>
      </x:c>
      <x:c r="K422" s="132" t="n">
        <x:f>IF(F422&lt;(('Assumptions'!$C$51-'Assumptions'!$B$51)/('Assumptions'!$D$51-'Assumptions'!$B$51)),'Assumptions'!$B$51+SQRT(F422*('Assumptions'!$D$51-'Assumptions'!$B$51)*('Assumptions'!$C$51-'Assumptions'!$B$51)),'Assumptions'!$D$51-SQRT((1-F422)*('Assumptions'!$D$51-'Assumptions'!$B$51)*('Assumptions'!$D$51-'Assumptions'!$C$51)))</x:f>
        <x:v>0.07935959019280674</x:v>
      </x:c>
      <x:c r="L422" s="133" t="n">
        <x:f>(('Assumptions'!$B$17*(1+G422)+'Assumptions'!$B$18)*(1-H422-'Assumptions'!$B$20)-SUM('Assumptions'!$B$21:$B$25)*(1+I422))-(('Assumptions'!$B$17*(1+G422)+'Assumptions'!$B$18)*(1-H422-'Assumptions'!$B$20)*'Assumptions'!$B$26)</x:f>
        <x:v>237375.10663451013</x:v>
      </x:c>
      <x:c r="M422" s="133" t="n">
        <x:f>'Assumptions'!$B$10*'Assumptions'!$B$33</x:f>
        <x:v>1950000</x:v>
      </x:c>
      <x:c r="N422" s="133" t="n">
        <x:f>-PMT(K422/12,'Assumptions'!$B$35*12,M422)*12</x:f>
        <x:v>170657.3879041829</x:v>
      </x:c>
      <x:c r="O422" s="133" t="n">
        <x:f>(L422*(1+'Assumptions'!$B$29)^('Assumptions'!$B$14/12)/J422)*(1-'Assumptions'!$B$42)-'Debt Schedule'!$F$9</x:f>
        <x:v>3778337.3011107296</x:v>
      </x:c>
      <x:c r="P422" s="132" t="n">
        <x:f>((O422+(L422-N422-'Assumptions'!$B$27-'Assumptions'!$B$28)*('Assumptions'!$B$14/12))/ABS('Monthly Cash Flow'!$S$5))^(1/('Assumptions'!$B$14/12))-1</x:f>
        <x:v>0.24754928857825154</x:v>
      </x:c>
      <x:c r="Q422" s="133" t="n">
        <x:f>-ABS('Monthly Cash Flow'!$S$5)+((L422-N422-'Assumptions'!$B$27-'Assumptions'!$B$28)*(1-(1+'Assumptions'!$B$43)^-('Assumptions'!$B$14/12))/'Assumptions'!$B$43)+(O422/(1+'Assumptions'!$B$43)^('Assumptions'!$B$14/12))</x:f>
        <x:v>1152831.3706411321</x:v>
      </x:c>
    </x:row>
    <x:row r="423">
      <x:c r="A423" s="131" t="n">
        <x:f>416</x:f>
        <x:v>416</x:v>
      </x:c>
      <x:c r="B423" s="131" t="n">
        <x:f>MOD(ABS(SIN((A423+1)*12.9898+78.233)*43758.5453),1)</x:f>
        <x:v>0.14775313340760476</x:v>
      </x:c>
      <x:c r="C423" s="131" t="n">
        <x:f>MOD(ABS(SIN((A423+2)*12.9898+78.233)*43758.5453),1)</x:f>
        <x:v>0.12043613949936116</x:v>
      </x:c>
      <x:c r="D423" s="131" t="n">
        <x:f>MOD(ABS(SIN((A423+3)*12.9898+78.233)*43758.5453),1)</x:f>
        <x:v>0.52665011028148</x:v>
      </x:c>
      <x:c r="E423" s="131" t="n">
        <x:f>MOD(ABS(SIN((A423+4)*12.9898+78.233)*43758.5453),1)</x:f>
        <x:v>0.933892524066323</x:v>
      </x:c>
      <x:c r="F423" s="131" t="n">
        <x:f>MOD(ABS(SIN((A423+5)*12.9898+78.233)*43758.5453),1)</x:f>
        <x:v>0.6344046070225886</x:v>
      </x:c>
      <x:c r="G423" s="132" t="n">
        <x:f>IF(B423&lt;(('Assumptions'!$C$47-'Assumptions'!$B$47)/('Assumptions'!$D$47-'Assumptions'!$B$47)),'Assumptions'!$B$47+SQRT(B423*('Assumptions'!$D$47-'Assumptions'!$B$47)*('Assumptions'!$C$47-'Assumptions'!$B$47)),'Assumptions'!$D$47-SQRT((1-B423)*('Assumptions'!$D$47-'Assumptions'!$B$47)*('Assumptions'!$D$47-'Assumptions'!$C$47)))</x:f>
        <x:v>-0.04045106884433177</x:v>
      </x:c>
      <x:c r="H423" s="132" t="n">
        <x:f>IF(C423&lt;(('Assumptions'!$C$48-'Assumptions'!$B$48)/('Assumptions'!$D$48-'Assumptions'!$B$48)),'Assumptions'!$B$48+SQRT(C423*('Assumptions'!$D$48-'Assumptions'!$B$48)*('Assumptions'!$C$48-'Assumptions'!$B$48)),'Assumptions'!$D$48-SQRT((1-C423)*('Assumptions'!$D$48-'Assumptions'!$B$48)*('Assumptions'!$D$48-'Assumptions'!$C$48)))</x:f>
        <x:v>0.04993587872023433</x:v>
      </x:c>
      <x:c r="I423" s="132" t="n">
        <x:f>IF(D423&lt;(('Assumptions'!$C$49-'Assumptions'!$B$49)/('Assumptions'!$D$49-'Assumptions'!$B$49)),'Assumptions'!$B$49+SQRT(D423*('Assumptions'!$D$49-'Assumptions'!$B$49)*('Assumptions'!$C$49-'Assumptions'!$B$49)),'Assumptions'!$D$49-SQRT((1-D423)*('Assumptions'!$D$49-'Assumptions'!$B$49)*('Assumptions'!$D$49-'Assumptions'!$C$49)))</x:f>
        <x:v>0.048884434344063366</x:v>
      </x:c>
      <x:c r="J423" s="132" t="n">
        <x:f>IF(E423&lt;(('Assumptions'!$C$50-'Assumptions'!$B$50)/('Assumptions'!$D$50-'Assumptions'!$B$50)),'Assumptions'!$B$50+SQRT(E423*('Assumptions'!$D$50-'Assumptions'!$B$50)*('Assumptions'!$C$50-'Assumptions'!$B$50)),'Assumptions'!$D$50-SQRT((1-E423)*('Assumptions'!$D$50-'Assumptions'!$B$50)*('Assumptions'!$D$50-'Assumptions'!$C$50)))</x:f>
        <x:v>0.07568807147481006</x:v>
      </x:c>
      <x:c r="K423" s="132" t="n">
        <x:f>IF(F423&lt;(('Assumptions'!$C$51-'Assumptions'!$B$51)/('Assumptions'!$D$51-'Assumptions'!$B$51)),'Assumptions'!$B$51+SQRT(F423*('Assumptions'!$D$51-'Assumptions'!$B$51)*('Assumptions'!$C$51-'Assumptions'!$B$51)),'Assumptions'!$D$51-SQRT((1-F423)*('Assumptions'!$D$51-'Assumptions'!$B$51)*('Assumptions'!$D$51-'Assumptions'!$C$51)))</x:f>
        <x:v>0.07173565746558168</x:v>
      </x:c>
      <x:c r="L423" s="133" t="n">
        <x:f>(('Assumptions'!$B$17*(1+G423)+'Assumptions'!$B$18)*(1-H423-'Assumptions'!$B$20)-SUM('Assumptions'!$B$21:$B$25)*(1+I423))-(('Assumptions'!$B$17*(1+G423)+'Assumptions'!$B$18)*(1-H423-'Assumptions'!$B$20)*'Assumptions'!$B$26)</x:f>
        <x:v>195829.03716520558</x:v>
      </x:c>
      <x:c r="M423" s="133" t="n">
        <x:f>'Assumptions'!$B$10*'Assumptions'!$B$33</x:f>
        <x:v>1950000</x:v>
      </x:c>
      <x:c r="N423" s="133" t="n">
        <x:f>-PMT(K423/12,'Assumptions'!$B$35*12,M423)*12</x:f>
        <x:v>158417.92012065745</x:v>
      </x:c>
      <x:c r="O423" s="133" t="n">
        <x:f>(L423*(1+'Assumptions'!$B$29)^('Assumptions'!$B$14/12)/J423)*(1-'Assumptions'!$B$42)-'Debt Schedule'!$F$9</x:f>
        <x:v>2819444.9941154914</x:v>
      </x:c>
      <x:c r="P423" s="132" t="n">
        <x:f>((O423+(L423-N423-'Assumptions'!$B$27-'Assumptions'!$B$28)*('Assumptions'!$B$14/12))/ABS('Monthly Cash Flow'!$S$5))^(1/('Assumptions'!$B$14/12))-1</x:f>
        <x:v>0.1673809885041737</x:v>
      </x:c>
      <x:c r="Q423" s="133" t="n">
        <x:f>-ABS('Monthly Cash Flow'!$S$5)+((L423-N423-'Assumptions'!$B$27-'Assumptions'!$B$28)*(1-(1+'Assumptions'!$B$43)^-('Assumptions'!$B$14/12))/'Assumptions'!$B$43)+(O423/(1+'Assumptions'!$B$43)^('Assumptions'!$B$14/12))</x:f>
        <x:v>446339.6127836283</x:v>
      </x:c>
    </x:row>
    <x:row r="424">
      <x:c r="A424" s="131" t="n">
        <x:f>417</x:f>
        <x:v>417</x:v>
      </x:c>
      <x:c r="B424" s="131" t="n">
        <x:f>MOD(ABS(SIN((A424+1)*12.9898+78.233)*43758.5453),1)</x:f>
        <x:v>0.12043613949936116</x:v>
      </x:c>
      <x:c r="C424" s="131" t="n">
        <x:f>MOD(ABS(SIN((A424+2)*12.9898+78.233)*43758.5453),1)</x:f>
        <x:v>0.52665011028148</x:v>
      </x:c>
      <x:c r="D424" s="131" t="n">
        <x:f>MOD(ABS(SIN((A424+3)*12.9898+78.233)*43758.5453),1)</x:f>
        <x:v>0.933892524066323</x:v>
      </x:c>
      <x:c r="E424" s="131" t="n">
        <x:f>MOD(ABS(SIN((A424+4)*12.9898+78.233)*43758.5453),1)</x:f>
        <x:v>0.6344046070225886</x:v>
      </x:c>
      <x:c r="F424" s="131" t="n">
        <x:f>MOD(ABS(SIN((A424+5)*12.9898+78.233)*43758.5453),1)</x:f>
        <x:v>0.33219577583804494</x:v>
      </x:c>
      <x:c r="G424" s="132" t="n">
        <x:f>IF(B424&lt;(('Assumptions'!$C$47-'Assumptions'!$B$47)/('Assumptions'!$D$47-'Assumptions'!$B$47)),'Assumptions'!$B$47+SQRT(B424*('Assumptions'!$D$47-'Assumptions'!$B$47)*('Assumptions'!$C$47-'Assumptions'!$B$47)),'Assumptions'!$D$47-SQRT((1-B424)*('Assumptions'!$D$47-'Assumptions'!$B$47)*('Assumptions'!$D$47-'Assumptions'!$C$47)))</x:f>
        <x:v>-0.04623693323493657</x:v>
      </x:c>
      <x:c r="H424" s="132" t="n">
        <x:f>IF(C424&lt;(('Assumptions'!$C$48-'Assumptions'!$B$48)/('Assumptions'!$D$48-'Assumptions'!$B$48)),'Assumptions'!$B$48+SQRT(C424*('Assumptions'!$D$48-'Assumptions'!$B$48)*('Assumptions'!$C$48-'Assumptions'!$B$48)),'Assumptions'!$D$48-SQRT((1-C424)*('Assumptions'!$D$48-'Assumptions'!$B$48)*('Assumptions'!$D$48-'Assumptions'!$C$48)))</x:f>
        <x:v>0.07545947761659365</x:v>
      </x:c>
      <x:c r="I424" s="132" t="n">
        <x:f>IF(D424&lt;(('Assumptions'!$C$49-'Assumptions'!$B$49)/('Assumptions'!$D$49-'Assumptions'!$B$49)),'Assumptions'!$B$49+SQRT(D424*('Assumptions'!$D$49-'Assumptions'!$B$49)*('Assumptions'!$C$49-'Assumptions'!$B$49)),'Assumptions'!$D$49-SQRT((1-D424)*('Assumptions'!$D$49-'Assumptions'!$B$49)*('Assumptions'!$D$49-'Assumptions'!$C$49)))</x:f>
        <x:v>0.1122121516864558</x:v>
      </x:c>
      <x:c r="J424" s="132" t="n">
        <x:f>IF(E424&lt;(('Assumptions'!$C$50-'Assumptions'!$B$50)/('Assumptions'!$D$50-'Assumptions'!$B$50)),'Assumptions'!$B$50+SQRT(E424*('Assumptions'!$D$50-'Assumptions'!$B$50)*('Assumptions'!$C$50-'Assumptions'!$B$50)),'Assumptions'!$D$50-SQRT((1-E424)*('Assumptions'!$D$50-'Assumptions'!$B$50)*('Assumptions'!$D$50-'Assumptions'!$C$50)))</x:f>
        <x:v>0.06985979762160059</x:v>
      </x:c>
      <x:c r="K424" s="132" t="n">
        <x:f>IF(F424&lt;(('Assumptions'!$C$51-'Assumptions'!$B$51)/('Assumptions'!$D$51-'Assumptions'!$B$51)),'Assumptions'!$B$51+SQRT(F424*('Assumptions'!$D$51-'Assumptions'!$B$51)*('Assumptions'!$C$51-'Assumptions'!$B$51)),'Assumptions'!$D$51-SQRT((1-F424)*('Assumptions'!$D$51-'Assumptions'!$B$51)*('Assumptions'!$D$51-'Assumptions'!$C$51)))</x:f>
        <x:v>0.06705792018984583</x:v>
      </x:c>
      <x:c r="L424" s="133" t="n">
        <x:f>(('Assumptions'!$B$17*(1+G424)+'Assumptions'!$B$18)*(1-H424-'Assumptions'!$B$20)-SUM('Assumptions'!$B$21:$B$25)*(1+I424))-(('Assumptions'!$B$17*(1+G424)+'Assumptions'!$B$18)*(1-H424-'Assumptions'!$B$20)*'Assumptions'!$B$26)</x:f>
        <x:v>177115.84788999308</x:v>
      </x:c>
      <x:c r="M424" s="133" t="n">
        <x:f>'Assumptions'!$B$10*'Assumptions'!$B$33</x:f>
        <x:v>1950000</x:v>
      </x:c>
      <x:c r="N424" s="133" t="n">
        <x:f>-PMT(K424/12,'Assumptions'!$B$35*12,M424)*12</x:f>
        <x:v>151084.96029099193</x:v>
      </x:c>
      <x:c r="O424" s="133" t="n">
        <x:f>(L424*(1+'Assumptions'!$B$29)^('Assumptions'!$B$14/12)/J424)*(1-'Assumptions'!$B$42)-'Debt Schedule'!$F$9</x:f>
        <x:v>2762765.833012692</x:v>
      </x:c>
      <x:c r="P424" s="132" t="n">
        <x:f>((O424+(L424-N424-'Assumptions'!$B$27-'Assumptions'!$B$28)*('Assumptions'!$B$14/12))/ABS('Monthly Cash Flow'!$S$5))^(1/('Assumptions'!$B$14/12))-1</x:f>
        <x:v>0.15777532149091744</x:v>
      </x:c>
      <x:c r="Q424" s="133" t="n">
        <x:f>-ABS('Monthly Cash Flow'!$S$5)+((L424-N424-'Assumptions'!$B$27-'Assumptions'!$B$28)*(1-(1+'Assumptions'!$B$43)^-('Assumptions'!$B$14/12))/'Assumptions'!$B$43)+(O424/(1+'Assumptions'!$B$43)^('Assumptions'!$B$14/12))</x:f>
        <x:v>368006.2898667832</x:v>
      </x:c>
    </x:row>
    <x:row r="425">
      <x:c r="A425" s="131" t="n">
        <x:f>418</x:f>
        <x:v>418</x:v>
      </x:c>
      <x:c r="B425" s="131" t="n">
        <x:f>MOD(ABS(SIN((A425+1)*12.9898+78.233)*43758.5453),1)</x:f>
        <x:v>0.52665011028148</x:v>
      </x:c>
      <x:c r="C425" s="131" t="n">
        <x:f>MOD(ABS(SIN((A425+2)*12.9898+78.233)*43758.5453),1)</x:f>
        <x:v>0.933892524066323</x:v>
      </x:c>
      <x:c r="D425" s="131" t="n">
        <x:f>MOD(ABS(SIN((A425+3)*12.9898+78.233)*43758.5453),1)</x:f>
        <x:v>0.6344046070225886</x:v>
      </x:c>
      <x:c r="E425" s="131" t="n">
        <x:f>MOD(ABS(SIN((A425+4)*12.9898+78.233)*43758.5453),1)</x:f>
        <x:v>0.33219577583804494</x:v>
      </x:c>
      <x:c r="F425" s="131" t="n">
        <x:f>MOD(ABS(SIN((A425+5)*12.9898+78.233)*43758.5453),1)</x:f>
        <x:v>0.8345791667907179</x:v>
      </x:c>
      <x:c r="G425" s="132" t="n">
        <x:f>IF(B425&lt;(('Assumptions'!$C$47-'Assumptions'!$B$47)/('Assumptions'!$D$47-'Assumptions'!$B$47)),'Assumptions'!$B$47+SQRT(B425*('Assumptions'!$D$47-'Assumptions'!$B$47)*('Assumptions'!$C$47-'Assumptions'!$B$47)),'Assumptions'!$D$47-SQRT((1-B425)*('Assumptions'!$D$47-'Assumptions'!$B$47)*('Assumptions'!$D$47-'Assumptions'!$C$47)))</x:f>
        <x:v>0.012425987417302775</x:v>
      </x:c>
      <x:c r="H425" s="132" t="n">
        <x:f>IF(C425&lt;(('Assumptions'!$C$48-'Assumptions'!$B$48)/('Assumptions'!$D$48-'Assumptions'!$B$48)),'Assumptions'!$B$48+SQRT(C425*('Assumptions'!$D$48-'Assumptions'!$B$48)*('Assumptions'!$C$48-'Assumptions'!$B$48)),'Assumptions'!$D$48-SQRT((1-C425)*('Assumptions'!$D$48-'Assumptions'!$B$48)*('Assumptions'!$D$48-'Assumptions'!$C$48)))</x:f>
        <x:v>0.11588059312055213</x:v>
      </x:c>
      <x:c r="I425" s="132" t="n">
        <x:f>IF(D425&lt;(('Assumptions'!$C$49-'Assumptions'!$B$49)/('Assumptions'!$D$49-'Assumptions'!$B$49)),'Assumptions'!$B$49+SQRT(D425*('Assumptions'!$D$49-'Assumptions'!$B$49)*('Assumptions'!$C$49-'Assumptions'!$B$49)),'Assumptions'!$D$49-SQRT((1-D425)*('Assumptions'!$D$49-'Assumptions'!$B$49)*('Assumptions'!$D$49-'Assumptions'!$C$49)))</x:f>
        <x:v>0.061135718714929746</x:v>
      </x:c>
      <x:c r="J425" s="132" t="n">
        <x:f>IF(E425&lt;(('Assumptions'!$C$50-'Assumptions'!$B$50)/('Assumptions'!$D$50-'Assumptions'!$B$50)),'Assumptions'!$B$50+SQRT(E425*('Assumptions'!$D$50-'Assumptions'!$B$50)*('Assumptions'!$C$50-'Assumptions'!$B$50)),'Assumptions'!$D$50-SQRT((1-E425)*('Assumptions'!$D$50-'Assumptions'!$B$50)*('Assumptions'!$D$50-'Assumptions'!$C$50)))</x:f>
        <x:v>0.0661454641034221</x:v>
      </x:c>
      <x:c r="K425" s="132" t="n">
        <x:f>IF(F425&lt;(('Assumptions'!$C$51-'Assumptions'!$B$51)/('Assumptions'!$D$51-'Assumptions'!$B$51)),'Assumptions'!$B$51+SQRT(F425*('Assumptions'!$D$51-'Assumptions'!$B$51)*('Assumptions'!$C$51-'Assumptions'!$B$51)),'Assumptions'!$D$51-SQRT((1-F425)*('Assumptions'!$D$51-'Assumptions'!$B$51)*('Assumptions'!$D$51-'Assumptions'!$C$51)))</x:f>
        <x:v>0.07607762498087157</x:v>
      </x:c>
      <x:c r="L425" s="133" t="n">
        <x:f>(('Assumptions'!$B$17*(1+G425)+'Assumptions'!$B$18)*(1-H425-'Assumptions'!$B$20)-SUM('Assumptions'!$B$21:$B$25)*(1+I425))-(('Assumptions'!$B$17*(1+G425)+'Assumptions'!$B$18)*(1-H425-'Assumptions'!$B$20)*'Assumptions'!$B$26)</x:f>
        <x:v>187251.18676751453</x:v>
      </x:c>
      <x:c r="M425" s="133" t="n">
        <x:f>'Assumptions'!$B$10*'Assumptions'!$B$33</x:f>
        <x:v>1950000</x:v>
      </x:c>
      <x:c r="N425" s="133" t="n">
        <x:f>-PMT(K425/12,'Assumptions'!$B$35*12,M425)*12</x:f>
        <x:v>165346.34727773775</x:v>
      </x:c>
      <x:c r="O425" s="133" t="n">
        <x:f>(L425*(1+'Assumptions'!$B$29)^('Assumptions'!$B$14/12)/J425)*(1-'Assumptions'!$B$42)-'Debt Schedule'!$F$9</x:f>
        <x:v>3084881.5137248514</x:v>
      </x:c>
      <x:c r="P425" s="132" t="n">
        <x:f>((O425+(L425-N425-'Assumptions'!$B$27-'Assumptions'!$B$28)*('Assumptions'!$B$14/12))/ABS('Monthly Cash Flow'!$S$5))^(1/('Assumptions'!$B$14/12))-1</x:f>
        <x:v>0.18261046431993</x:v>
      </x:c>
      <x:c r="Q425" s="133" t="n">
        <x:f>-ABS('Monthly Cash Flow'!$S$5)+((L425-N425-'Assumptions'!$B$27-'Assumptions'!$B$28)*(1-(1+'Assumptions'!$B$43)^-('Assumptions'!$B$14/12))/'Assumptions'!$B$43)+(O425/(1+'Assumptions'!$B$43)^('Assumptions'!$B$14/12))</x:f>
        <x:v>552373.8159302871</x:v>
      </x:c>
    </x:row>
    <x:row r="426">
      <x:c r="A426" s="131" t="n">
        <x:f>419</x:f>
        <x:v>419</x:v>
      </x:c>
      <x:c r="B426" s="131" t="n">
        <x:f>MOD(ABS(SIN((A426+1)*12.9898+78.233)*43758.5453),1)</x:f>
        <x:v>0.933892524066323</x:v>
      </x:c>
      <x:c r="C426" s="131" t="n">
        <x:f>MOD(ABS(SIN((A426+2)*12.9898+78.233)*43758.5453),1)</x:f>
        <x:v>0.6344046070225886</x:v>
      </x:c>
      <x:c r="D426" s="131" t="n">
        <x:f>MOD(ABS(SIN((A426+3)*12.9898+78.233)*43758.5453),1)</x:f>
        <x:v>0.33219577583804494</x:v>
      </x:c>
      <x:c r="E426" s="131" t="n">
        <x:f>MOD(ABS(SIN((A426+4)*12.9898+78.233)*43758.5453),1)</x:f>
        <x:v>0.8345791667907179</x:v>
      </x:c>
      <x:c r="F426" s="131" t="n">
        <x:f>MOD(ABS(SIN((A426+5)*12.9898+78.233)*43758.5453),1)</x:f>
        <x:v>0.6457844930191641</x:v>
      </x:c>
      <x:c r="G426" s="132" t="n">
        <x:f>IF(B426&lt;(('Assumptions'!$C$47-'Assumptions'!$B$47)/('Assumptions'!$D$47-'Assumptions'!$B$47)),'Assumptions'!$B$47+SQRT(B426*('Assumptions'!$D$47-'Assumptions'!$B$47)*('Assumptions'!$C$47-'Assumptions'!$B$47)),'Assumptions'!$D$47-SQRT((1-B426)*('Assumptions'!$D$47-'Assumptions'!$B$47)*('Assumptions'!$D$47-'Assumptions'!$C$47)))</x:f>
        <x:v>0.06747739839836253</x:v>
      </x:c>
      <x:c r="H426" s="132" t="n">
        <x:f>IF(C426&lt;(('Assumptions'!$C$48-'Assumptions'!$B$48)/('Assumptions'!$D$48-'Assumptions'!$B$48)),'Assumptions'!$B$48+SQRT(C426*('Assumptions'!$D$48-'Assumptions'!$B$48)*('Assumptions'!$C$48-'Assumptions'!$B$48)),'Assumptions'!$D$48-SQRT((1-C426)*('Assumptions'!$D$48-'Assumptions'!$B$48)*('Assumptions'!$D$48-'Assumptions'!$C$48)))</x:f>
        <x:v>0.083279285457593</x:v>
      </x:c>
      <x:c r="I426" s="132" t="n">
        <x:f>IF(D426&lt;(('Assumptions'!$C$49-'Assumptions'!$B$49)/('Assumptions'!$D$49-'Assumptions'!$B$49)),'Assumptions'!$B$49+SQRT(D426*('Assumptions'!$D$49-'Assumptions'!$B$49)*('Assumptions'!$C$49-'Assumptions'!$B$49)),'Assumptions'!$D$49-SQRT((1-D426)*('Assumptions'!$D$49-'Assumptions'!$B$49)*('Assumptions'!$D$49-'Assumptions'!$C$49)))</x:f>
        <x:v>0.029897532328559955</x:v>
      </x:c>
      <x:c r="J426" s="132" t="n">
        <x:f>IF(E426&lt;(('Assumptions'!$C$50-'Assumptions'!$B$50)/('Assumptions'!$D$50-'Assumptions'!$B$50)),'Assumptions'!$B$50+SQRT(E426*('Assumptions'!$D$50-'Assumptions'!$B$50)*('Assumptions'!$C$50-'Assumptions'!$B$50)),'Assumptions'!$D$50-SQRT((1-E426)*('Assumptions'!$D$50-'Assumptions'!$B$50)*('Assumptions'!$D$50-'Assumptions'!$C$50)))</x:f>
        <x:v>0.07317910494582196</x:v>
      </x:c>
      <x:c r="K426" s="132" t="n">
        <x:f>IF(F426&lt;(('Assumptions'!$C$51-'Assumptions'!$B$51)/('Assumptions'!$D$51-'Assumptions'!$B$51)),'Assumptions'!$B$51+SQRT(F426*('Assumptions'!$D$51-'Assumptions'!$B$51)*('Assumptions'!$C$51-'Assumptions'!$B$51)),'Assumptions'!$D$51-SQRT((1-F426)*('Assumptions'!$D$51-'Assumptions'!$B$51)*('Assumptions'!$D$51-'Assumptions'!$C$51)))</x:f>
        <x:v>0.0719437289881633</x:v>
      </x:c>
      <x:c r="L426" s="133" t="n">
        <x:f>(('Assumptions'!$B$17*(1+G426)+'Assumptions'!$B$18)*(1-H426-'Assumptions'!$B$20)-SUM('Assumptions'!$B$21:$B$25)*(1+I426))-(('Assumptions'!$B$17*(1+G426)+'Assumptions'!$B$18)*(1-H426-'Assumptions'!$B$20)*'Assumptions'!$B$26)</x:f>
        <x:v>220408.62215015778</x:v>
      </x:c>
      <x:c r="M426" s="133" t="n">
        <x:f>'Assumptions'!$B$10*'Assumptions'!$B$33</x:f>
        <x:v>1950000</x:v>
      </x:c>
      <x:c r="N426" s="133" t="n">
        <x:f>-PMT(K426/12,'Assumptions'!$B$35*12,M426)*12</x:f>
        <x:v>158747.31350727883</x:v>
      </x:c>
      <x:c r="O426" s="133" t="n">
        <x:f>(L426*(1+'Assumptions'!$B$29)^('Assumptions'!$B$14/12)/J426)*(1-'Assumptions'!$B$42)-'Debt Schedule'!$F$9</x:f>
        <x:v>3282127.6169478996</x:v>
      </x:c>
      <x:c r="P426" s="132" t="n">
        <x:f>((O426+(L426-N426-'Assumptions'!$B$27-'Assumptions'!$B$28)*('Assumptions'!$B$14/12))/ABS('Monthly Cash Flow'!$S$5))^(1/('Assumptions'!$B$14/12))-1</x:f>
        <x:v>0.21235735647599085</x:v>
      </x:c>
      <x:c r="Q426" s="133" t="n">
        <x:f>-ABS('Monthly Cash Flow'!$S$5)+((L426-N426-'Assumptions'!$B$27-'Assumptions'!$B$28)*(1-(1+'Assumptions'!$B$43)^-('Assumptions'!$B$14/12))/'Assumptions'!$B$43)+(O426/(1+'Assumptions'!$B$43)^('Assumptions'!$B$14/12))</x:f>
        <x:v>825556.4245757796</x:v>
      </x:c>
    </x:row>
    <x:row r="427">
      <x:c r="A427" s="131" t="n">
        <x:f>420</x:f>
        <x:v>420</x:v>
      </x:c>
      <x:c r="B427" s="131" t="n">
        <x:f>MOD(ABS(SIN((A427+1)*12.9898+78.233)*43758.5453),1)</x:f>
        <x:v>0.6344046070225886</x:v>
      </x:c>
      <x:c r="C427" s="131" t="n">
        <x:f>MOD(ABS(SIN((A427+2)*12.9898+78.233)*43758.5453),1)</x:f>
        <x:v>0.33219577583804494</x:v>
      </x:c>
      <x:c r="D427" s="131" t="n">
        <x:f>MOD(ABS(SIN((A427+3)*12.9898+78.233)*43758.5453),1)</x:f>
        <x:v>0.8345791667907179</x:v>
      </x:c>
      <x:c r="E427" s="131" t="n">
        <x:f>MOD(ABS(SIN((A427+4)*12.9898+78.233)*43758.5453),1)</x:f>
        <x:v>0.6457844930191641</x:v>
      </x:c>
      <x:c r="F427" s="131" t="n">
        <x:f>MOD(ABS(SIN((A427+5)*12.9898+78.233)*43758.5453),1)</x:f>
        <x:v>0.751551664150611</x:v>
      </x:c>
      <x:c r="G427" s="132" t="n">
        <x:f>IF(B427&lt;(('Assumptions'!$C$47-'Assumptions'!$B$47)/('Assumptions'!$D$47-'Assumptions'!$B$47)),'Assumptions'!$B$47+SQRT(B427*('Assumptions'!$D$47-'Assumptions'!$B$47)*('Assumptions'!$C$47-'Assumptions'!$B$47)),'Assumptions'!$D$47-SQRT((1-B427)*('Assumptions'!$D$47-'Assumptions'!$B$47)*('Assumptions'!$D$47-'Assumptions'!$C$47)))</x:f>
        <x:v>0.02351780411338479</x:v>
      </x:c>
      <x:c r="H427" s="132" t="n">
        <x:f>IF(C427&lt;(('Assumptions'!$C$48-'Assumptions'!$B$48)/('Assumptions'!$D$48-'Assumptions'!$B$48)),'Assumptions'!$B$48+SQRT(C427*('Assumptions'!$D$48-'Assumptions'!$B$48)*('Assumptions'!$C$48-'Assumptions'!$B$48)),'Assumptions'!$D$48-SQRT((1-C427)*('Assumptions'!$D$48-'Assumptions'!$B$48)*('Assumptions'!$D$48-'Assumptions'!$C$48)))</x:f>
        <x:v>0.06334051152906638</x:v>
      </x:c>
      <x:c r="I427" s="132" t="n">
        <x:f>IF(D427&lt;(('Assumptions'!$C$49-'Assumptions'!$B$49)/('Assumptions'!$D$49-'Assumptions'!$B$49)),'Assumptions'!$B$49+SQRT(D427*('Assumptions'!$D$49-'Assumptions'!$B$49)*('Assumptions'!$C$49-'Assumptions'!$B$49)),'Assumptions'!$D$49-SQRT((1-D427)*('Assumptions'!$D$49-'Assumptions'!$B$49)*('Assumptions'!$D$49-'Assumptions'!$C$49)))</x:f>
        <x:v>0.09022467066322015</x:v>
      </x:c>
      <x:c r="J427" s="132" t="n">
        <x:f>IF(E427&lt;(('Assumptions'!$C$50-'Assumptions'!$B$50)/('Assumptions'!$D$50-'Assumptions'!$B$50)),'Assumptions'!$B$50+SQRT(E427*('Assumptions'!$D$50-'Assumptions'!$B$50)*('Assumptions'!$C$50-'Assumptions'!$B$50)),'Assumptions'!$D$50-SQRT((1-E427)*('Assumptions'!$D$50-'Assumptions'!$B$50)*('Assumptions'!$D$50-'Assumptions'!$C$50)))</x:f>
        <x:v>0.07001886222225341</x:v>
      </x:c>
      <x:c r="K427" s="132" t="n">
        <x:f>IF(F427&lt;(('Assumptions'!$C$51-'Assumptions'!$B$51)/('Assumptions'!$D$51-'Assumptions'!$B$51)),'Assumptions'!$B$51+SQRT(F427*('Assumptions'!$D$51-'Assumptions'!$B$51)*('Assumptions'!$C$51-'Assumptions'!$B$51)),'Assumptions'!$D$51-SQRT((1-F427)*('Assumptions'!$D$51-'Assumptions'!$B$51)*('Assumptions'!$D$51-'Assumptions'!$C$51)))</x:f>
        <x:v>0.07406538699232944</x:v>
      </x:c>
      <x:c r="L427" s="133" t="n">
        <x:f>(('Assumptions'!$B$17*(1+G427)+'Assumptions'!$B$18)*(1-H427-'Assumptions'!$B$20)-SUM('Assumptions'!$B$21:$B$25)*(1+I427))-(('Assumptions'!$B$17*(1+G427)+'Assumptions'!$B$18)*(1-H427-'Assumptions'!$B$20)*'Assumptions'!$B$26)</x:f>
        <x:v>206429.5462043002</x:v>
      </x:c>
      <x:c r="M427" s="133" t="n">
        <x:f>'Assumptions'!$B$10*'Assumptions'!$B$33</x:f>
        <x:v>1950000</x:v>
      </x:c>
      <x:c r="N427" s="133" t="n">
        <x:f>-PMT(K427/12,'Assumptions'!$B$35*12,M427)*12</x:f>
        <x:v>162121.26412284264</x:v>
      </x:c>
      <x:c r="O427" s="133" t="n">
        <x:f>(L427*(1+'Assumptions'!$B$29)^('Assumptions'!$B$14/12)/J427)*(1-'Assumptions'!$B$42)-'Debt Schedule'!$F$9</x:f>
        <x:v>3212704.529603396</x:v>
      </x:c>
      <x:c r="P427" s="132" t="n">
        <x:f>((O427+(L427-N427-'Assumptions'!$B$27-'Assumptions'!$B$28)*('Assumptions'!$B$14/12))/ABS('Monthly Cash Flow'!$S$5))^(1/('Assumptions'!$B$14/12))-1</x:f>
        <x:v>0.2009756369545912</x:v>
      </x:c>
      <x:c r="Q427" s="133" t="n">
        <x:f>-ABS('Monthly Cash Flow'!$S$5)+((L427-N427-'Assumptions'!$B$27-'Assumptions'!$B$28)*(1-(1+'Assumptions'!$B$43)^-('Assumptions'!$B$14/12))/'Assumptions'!$B$43)+(O427/(1+'Assumptions'!$B$43)^('Assumptions'!$B$14/12))</x:f>
        <x:v>716668.5258327494</x:v>
      </x:c>
    </x:row>
    <x:row r="428">
      <x:c r="A428" s="131" t="n">
        <x:f>421</x:f>
        <x:v>421</x:v>
      </x:c>
      <x:c r="B428" s="131" t="n">
        <x:f>MOD(ABS(SIN((A428+1)*12.9898+78.233)*43758.5453),1)</x:f>
        <x:v>0.33219577583804494</x:v>
      </x:c>
      <x:c r="C428" s="131" t="n">
        <x:f>MOD(ABS(SIN((A428+2)*12.9898+78.233)*43758.5453),1)</x:f>
        <x:v>0.8345791667907179</x:v>
      </x:c>
      <x:c r="D428" s="131" t="n">
        <x:f>MOD(ABS(SIN((A428+3)*12.9898+78.233)*43758.5453),1)</x:f>
        <x:v>0.6457844930191641</x:v>
      </x:c>
      <x:c r="E428" s="131" t="n">
        <x:f>MOD(ABS(SIN((A428+4)*12.9898+78.233)*43758.5453),1)</x:f>
        <x:v>0.751551664150611</x:v>
      </x:c>
      <x:c r="F428" s="131" t="n">
        <x:f>MOD(ABS(SIN((A428+5)*12.9898+78.233)*43758.5453),1)</x:f>
        <x:v>0.8535678338012076</x:v>
      </x:c>
      <x:c r="G428" s="132" t="n">
        <x:f>IF(B428&lt;(('Assumptions'!$C$47-'Assumptions'!$B$47)/('Assumptions'!$D$47-'Assumptions'!$B$47)),'Assumptions'!$B$47+SQRT(B428*('Assumptions'!$D$47-'Assumptions'!$B$47)*('Assumptions'!$C$47-'Assumptions'!$B$47)),'Assumptions'!$D$47-SQRT((1-B428)*('Assumptions'!$D$47-'Assumptions'!$B$47)*('Assumptions'!$D$47-'Assumptions'!$C$47)))</x:f>
        <x:v>-0.010710030685899097</x:v>
      </x:c>
      <x:c r="H428" s="132" t="n">
        <x:f>IF(C428&lt;(('Assumptions'!$C$48-'Assumptions'!$B$48)/('Assumptions'!$D$48-'Assumptions'!$B$48)),'Assumptions'!$B$48+SQRT(C428*('Assumptions'!$D$48-'Assumptions'!$B$48)*('Assumptions'!$C$48-'Assumptions'!$B$48)),'Assumptions'!$D$48-SQRT((1-C428)*('Assumptions'!$D$48-'Assumptions'!$B$48)*('Assumptions'!$D$48-'Assumptions'!$C$48)))</x:f>
        <x:v>0.10184631954526953</x:v>
      </x:c>
      <x:c r="I428" s="132" t="n">
        <x:f>IF(D428&lt;(('Assumptions'!$C$49-'Assumptions'!$B$49)/('Assumptions'!$D$49-'Assumptions'!$B$49)),'Assumptions'!$B$49+SQRT(D428*('Assumptions'!$D$49-'Assumptions'!$B$49)*('Assumptions'!$C$49-'Assumptions'!$B$49)),'Assumptions'!$D$49-SQRT((1-D428)*('Assumptions'!$D$49-'Assumptions'!$B$49)*('Assumptions'!$D$49-'Assumptions'!$C$49)))</x:f>
        <x:v>0.06252969103297933</x:v>
      </x:c>
      <x:c r="J428" s="132" t="n">
        <x:f>IF(E428&lt;(('Assumptions'!$C$50-'Assumptions'!$B$50)/('Assumptions'!$D$50-'Assumptions'!$B$50)),'Assumptions'!$B$50+SQRT(E428*('Assumptions'!$D$50-'Assumptions'!$B$50)*('Assumptions'!$C$50-'Assumptions'!$B$50)),'Assumptions'!$D$50-SQRT((1-E428)*('Assumptions'!$D$50-'Assumptions'!$B$50)*('Assumptions'!$D$50-'Assumptions'!$C$50)))</x:f>
        <x:v>0.07164080778677505</x:v>
      </x:c>
      <x:c r="K428" s="132" t="n">
        <x:f>IF(F428&lt;(('Assumptions'!$C$51-'Assumptions'!$B$51)/('Assumptions'!$D$51-'Assumptions'!$B$51)),'Assumptions'!$B$51+SQRT(F428*('Assumptions'!$D$51-'Assumptions'!$B$51)*('Assumptions'!$C$51-'Assumptions'!$B$51)),'Assumptions'!$D$51-SQRT((1-F428)*('Assumptions'!$D$51-'Assumptions'!$B$51)*('Assumptions'!$D$51-'Assumptions'!$C$51)))</x:f>
        <x:v>0.07660533026360365</x:v>
      </x:c>
      <x:c r="L428" s="133" t="n">
        <x:f>(('Assumptions'!$B$17*(1+G428)+'Assumptions'!$B$18)*(1-H428-'Assumptions'!$B$20)-SUM('Assumptions'!$B$21:$B$25)*(1+I428))-(('Assumptions'!$B$17*(1+G428)+'Assumptions'!$B$18)*(1-H428-'Assumptions'!$B$20)*'Assumptions'!$B$26)</x:f>
        <x:v>185127.06635719907</x:v>
      </x:c>
      <x:c r="M428" s="133" t="n">
        <x:f>'Assumptions'!$B$10*'Assumptions'!$B$33</x:f>
        <x:v>1950000</x:v>
      </x:c>
      <x:c r="N428" s="133" t="n">
        <x:f>-PMT(K428/12,'Assumptions'!$B$35*12,M428)*12</x:f>
        <x:v>166196.09213397815</x:v>
      </x:c>
      <x:c r="O428" s="133" t="n">
        <x:f>(L428*(1+'Assumptions'!$B$29)^('Assumptions'!$B$14/12)/J428)*(1-'Assumptions'!$B$42)-'Debt Schedule'!$F$9</x:f>
        <x:v>2815940.1631929995</x:v>
      </x:c>
      <x:c r="P428" s="132" t="n">
        <x:f>((O428+(L428-N428-'Assumptions'!$B$27-'Assumptions'!$B$28)*('Assumptions'!$B$14/12))/ABS('Monthly Cash Flow'!$S$5))^(1/('Assumptions'!$B$14/12))-1</x:f>
        <x:v>0.15929113995953537</x:v>
      </x:c>
      <x:c r="Q428" s="133" t="n">
        <x:f>-ABS('Monthly Cash Flow'!$S$5)+((L428-N428-'Assumptions'!$B$27-'Assumptions'!$B$28)*(1-(1+'Assumptions'!$B$43)^-('Assumptions'!$B$14/12))/'Assumptions'!$B$43)+(O428/(1+'Assumptions'!$B$43)^('Assumptions'!$B$14/12))</x:f>
        <x:v>374109.10762627027</x:v>
      </x:c>
    </x:row>
    <x:row r="429">
      <x:c r="A429" s="131" t="n">
        <x:f>422</x:f>
        <x:v>422</x:v>
      </x:c>
      <x:c r="B429" s="131" t="n">
        <x:f>MOD(ABS(SIN((A429+1)*12.9898+78.233)*43758.5453),1)</x:f>
        <x:v>0.8345791667907179</x:v>
      </x:c>
      <x:c r="C429" s="131" t="n">
        <x:f>MOD(ABS(SIN((A429+2)*12.9898+78.233)*43758.5453),1)</x:f>
        <x:v>0.6457844930191641</x:v>
      </x:c>
      <x:c r="D429" s="131" t="n">
        <x:f>MOD(ABS(SIN((A429+3)*12.9898+78.233)*43758.5453),1)</x:f>
        <x:v>0.751551664150611</x:v>
      </x:c>
      <x:c r="E429" s="131" t="n">
        <x:f>MOD(ABS(SIN((A429+4)*12.9898+78.233)*43758.5453),1)</x:f>
        <x:v>0.8535678338012076</x:v>
      </x:c>
      <x:c r="F429" s="131" t="n">
        <x:f>MOD(ABS(SIN((A429+5)*12.9898+78.233)*43758.5453),1)</x:f>
        <x:v>0.34964660587138496</x:v>
      </x:c>
      <x:c r="G429" s="132" t="n">
        <x:f>IF(B429&lt;(('Assumptions'!$C$47-'Assumptions'!$B$47)/('Assumptions'!$D$47-'Assumptions'!$B$47)),'Assumptions'!$B$47+SQRT(B429*('Assumptions'!$D$47-'Assumptions'!$B$47)*('Assumptions'!$C$47-'Assumptions'!$B$47)),'Assumptions'!$D$47-SQRT((1-B429)*('Assumptions'!$D$47-'Assumptions'!$B$47)*('Assumptions'!$D$47-'Assumptions'!$C$47)))</x:f>
        <x:v>0.048553587769908445</x:v>
      </x:c>
      <x:c r="H429" s="132" t="n">
        <x:f>IF(C429&lt;(('Assumptions'!$C$48-'Assumptions'!$B$48)/('Assumptions'!$D$48-'Assumptions'!$B$48)),'Assumptions'!$B$48+SQRT(C429*('Assumptions'!$D$48-'Assumptions'!$B$48)*('Assumptions'!$C$48-'Assumptions'!$B$48)),'Assumptions'!$D$48-SQRT((1-C429)*('Assumptions'!$D$48-'Assumptions'!$B$48)*('Assumptions'!$D$48-'Assumptions'!$C$48)))</x:f>
        <x:v>0.08416903671410142</x:v>
      </x:c>
      <x:c r="I429" s="132" t="n">
        <x:f>IF(D429&lt;(('Assumptions'!$C$49-'Assumptions'!$B$49)/('Assumptions'!$D$49-'Assumptions'!$B$49)),'Assumptions'!$B$49+SQRT(D429*('Assumptions'!$D$49-'Assumptions'!$B$49)*('Assumptions'!$C$49-'Assumptions'!$B$49)),'Assumptions'!$D$49-SQRT((1-D429)*('Assumptions'!$D$49-'Assumptions'!$B$49)*('Assumptions'!$D$49-'Assumptions'!$C$49)))</x:f>
        <x:v>0.07674370979672257</x:v>
      </x:c>
      <x:c r="J429" s="132" t="n">
        <x:f>IF(E429&lt;(('Assumptions'!$C$50-'Assumptions'!$B$50)/('Assumptions'!$D$50-'Assumptions'!$B$50)),'Assumptions'!$B$50+SQRT(E429*('Assumptions'!$D$50-'Assumptions'!$B$50)*('Assumptions'!$C$50-'Assumptions'!$B$50)),'Assumptions'!$D$50-SQRT((1-E429)*('Assumptions'!$D$50-'Assumptions'!$B$50)*('Assumptions'!$D$50-'Assumptions'!$C$50)))</x:f>
        <x:v>0.07358252021869875</x:v>
      </x:c>
      <x:c r="K429" s="132" t="n">
        <x:f>IF(F429&lt;(('Assumptions'!$C$51-'Assumptions'!$B$51)/('Assumptions'!$D$51-'Assumptions'!$B$51)),'Assumptions'!$B$51+SQRT(F429*('Assumptions'!$D$51-'Assumptions'!$B$51)*('Assumptions'!$C$51-'Assumptions'!$B$51)),'Assumptions'!$D$51-SQRT((1-F429)*('Assumptions'!$D$51-'Assumptions'!$B$51)*('Assumptions'!$D$51-'Assumptions'!$C$51)))</x:f>
        <x:v>0.0673057542603632</x:v>
      </x:c>
      <x:c r="L429" s="133" t="n">
        <x:f>(('Assumptions'!$B$17*(1+G429)+'Assumptions'!$B$18)*(1-H429-'Assumptions'!$B$20)-SUM('Assumptions'!$B$21:$B$25)*(1+I429))-(('Assumptions'!$B$17*(1+G429)+'Assumptions'!$B$18)*(1-H429-'Assumptions'!$B$20)*'Assumptions'!$B$26)</x:f>
        <x:v>208238.18472601607</x:v>
      </x:c>
      <x:c r="M429" s="133" t="n">
        <x:f>'Assumptions'!$B$10*'Assumptions'!$B$33</x:f>
        <x:v>1950000</x:v>
      </x:c>
      <x:c r="N429" s="133" t="n">
        <x:f>-PMT(K429/12,'Assumptions'!$B$35*12,M429)*12</x:f>
        <x:v>151469.9382358062</x:v>
      </x:c>
      <x:c r="O429" s="133" t="n">
        <x:f>(L429*(1+'Assumptions'!$B$29)^('Assumptions'!$B$14/12)/J429)*(1-'Assumptions'!$B$42)-'Debt Schedule'!$F$9</x:f>
        <x:v>3083895.746269503</x:v>
      </x:c>
      <x:c r="P429" s="132" t="n">
        <x:f>((O429+(L429-N429-'Assumptions'!$B$27-'Assumptions'!$B$28)*('Assumptions'!$B$14/12))/ABS('Monthly Cash Flow'!$S$5))^(1/('Assumptions'!$B$14/12))-1</x:f>
        <x:v>0.19599513187370987</x:v>
      </x:c>
      <x:c r="Q429" s="133" t="n">
        <x:f>-ABS('Monthly Cash Flow'!$S$5)+((L429-N429-'Assumptions'!$B$27-'Assumptions'!$B$28)*(1-(1+'Assumptions'!$B$43)^-('Assumptions'!$B$14/12))/'Assumptions'!$B$43)+(O429/(1+'Assumptions'!$B$43)^('Assumptions'!$B$14/12))</x:f>
        <x:v>683921.473891427</x:v>
      </x:c>
    </x:row>
    <x:row r="430">
      <x:c r="A430" s="131" t="n">
        <x:f>423</x:f>
        <x:v>423</x:v>
      </x:c>
      <x:c r="B430" s="131" t="n">
        <x:f>MOD(ABS(SIN((A430+1)*12.9898+78.233)*43758.5453),1)</x:f>
        <x:v>0.6457844930191641</x:v>
      </x:c>
      <x:c r="C430" s="131" t="n">
        <x:f>MOD(ABS(SIN((A430+2)*12.9898+78.233)*43758.5453),1)</x:f>
        <x:v>0.751551664150611</x:v>
      </x:c>
      <x:c r="D430" s="131" t="n">
        <x:f>MOD(ABS(SIN((A430+3)*12.9898+78.233)*43758.5453),1)</x:f>
        <x:v>0.8535678338012076</x:v>
      </x:c>
      <x:c r="E430" s="131" t="n">
        <x:f>MOD(ABS(SIN((A430+4)*12.9898+78.233)*43758.5453),1)</x:f>
        <x:v>0.34964660587138496</x:v>
      </x:c>
      <x:c r="F430" s="131" t="n">
        <x:f>MOD(ABS(SIN((A430+5)*12.9898+78.233)*43758.5453),1)</x:f>
        <x:v>0.8396538896195125</x:v>
      </x:c>
      <x:c r="G430" s="132" t="n">
        <x:f>IF(B430&lt;(('Assumptions'!$C$47-'Assumptions'!$B$47)/('Assumptions'!$D$47-'Assumptions'!$B$47)),'Assumptions'!$B$47+SQRT(B430*('Assumptions'!$D$47-'Assumptions'!$B$47)*('Assumptions'!$C$47-'Assumptions'!$B$47)),'Assumptions'!$D$47-SQRT((1-B430)*('Assumptions'!$D$47-'Assumptions'!$B$47)*('Assumptions'!$D$47-'Assumptions'!$C$47)))</x:f>
        <x:v>0.0247175444629137</x:v>
      </x:c>
      <x:c r="H430" s="132" t="n">
        <x:f>IF(C430&lt;(('Assumptions'!$C$48-'Assumptions'!$B$48)/('Assumptions'!$D$48-'Assumptions'!$B$48)),'Assumptions'!$B$48+SQRT(C430*('Assumptions'!$D$48-'Assumptions'!$B$48)*('Assumptions'!$C$48-'Assumptions'!$B$48)),'Assumptions'!$D$48-SQRT((1-C430)*('Assumptions'!$D$48-'Assumptions'!$B$48)*('Assumptions'!$D$48-'Assumptions'!$C$48)))</x:f>
        <x:v>0.09324162796381141</x:v>
      </x:c>
      <x:c r="I430" s="132" t="n">
        <x:f>IF(D430&lt;(('Assumptions'!$C$49-'Assumptions'!$B$49)/('Assumptions'!$D$49-'Assumptions'!$B$49)),'Assumptions'!$B$49+SQRT(D430*('Assumptions'!$D$49-'Assumptions'!$B$49)*('Assumptions'!$C$49-'Assumptions'!$B$49)),'Assumptions'!$D$49-SQRT((1-D430)*('Assumptions'!$D$49-'Assumptions'!$B$49)*('Assumptions'!$D$49-'Assumptions'!$C$49)))</x:f>
        <x:v>0.09376002498316774</x:v>
      </x:c>
      <x:c r="J430" s="132" t="n">
        <x:f>IF(E430&lt;(('Assumptions'!$C$50-'Assumptions'!$B$50)/('Assumptions'!$D$50-'Assumptions'!$B$50)),'Assumptions'!$B$50+SQRT(E430*('Assumptions'!$D$50-'Assumptions'!$B$50)*('Assumptions'!$C$50-'Assumptions'!$B$50)),'Assumptions'!$D$50-SQRT((1-E430)*('Assumptions'!$D$50-'Assumptions'!$B$50)*('Assumptions'!$D$50-'Assumptions'!$C$50)))</x:f>
        <x:v>0.06636963845492372</x:v>
      </x:c>
      <x:c r="K430" s="132" t="n">
        <x:f>IF(F430&lt;(('Assumptions'!$C$51-'Assumptions'!$B$51)/('Assumptions'!$D$51-'Assumptions'!$B$51)),'Assumptions'!$B$51+SQRT(F430*('Assumptions'!$D$51-'Assumptions'!$B$51)*('Assumptions'!$C$51-'Assumptions'!$B$51)),'Assumptions'!$D$51-SQRT((1-F430)*('Assumptions'!$D$51-'Assumptions'!$B$51)*('Assumptions'!$D$51-'Assumptions'!$C$51)))</x:f>
        <x:v>0.07621554978267794</x:v>
      </x:c>
      <x:c r="L430" s="133" t="n">
        <x:f>(('Assumptions'!$B$17*(1+G430)+'Assumptions'!$B$18)*(1-H430-'Assumptions'!$B$20)-SUM('Assumptions'!$B$21:$B$25)*(1+I430))-(('Assumptions'!$B$17*(1+G430)+'Assumptions'!$B$18)*(1-H430-'Assumptions'!$B$20)*'Assumptions'!$B$26)</x:f>
        <x:v>195262.36869755958</x:v>
      </x:c>
      <x:c r="M430" s="133" t="n">
        <x:f>'Assumptions'!$B$10*'Assumptions'!$B$33</x:f>
        <x:v>1950000</x:v>
      </x:c>
      <x:c r="N430" s="133" t="n">
        <x:f>-PMT(K430/12,'Assumptions'!$B$35*12,M430)*12</x:f>
        <x:v>165568.28467903423</x:v>
      </x:c>
      <x:c r="O430" s="133" t="n">
        <x:f>(L430*(1+'Assumptions'!$B$29)^('Assumptions'!$B$14/12)/J430)*(1-'Assumptions'!$B$42)-'Debt Schedule'!$F$9</x:f>
        <x:v>3205996.756468001</x:v>
      </x:c>
      <x:c r="P430" s="132" t="n">
        <x:f>((O430+(L430-N430-'Assumptions'!$B$27-'Assumptions'!$B$28)*('Assumptions'!$B$14/12))/ABS('Monthly Cash Flow'!$S$5))^(1/('Assumptions'!$B$14/12))-1</x:f>
        <x:v>0.19499143244785055</x:v>
      </x:c>
      <x:c r="Q430" s="133" t="n">
        <x:f>-ABS('Monthly Cash Flow'!$S$5)+((L430-N430-'Assumptions'!$B$27-'Assumptions'!$B$28)*(1-(1+'Assumptions'!$B$43)^-('Assumptions'!$B$14/12))/'Assumptions'!$B$43)+(O430/(1+'Assumptions'!$B$43)^('Assumptions'!$B$14/12))</x:f>
        <x:v>657104.2178002612</x:v>
      </x:c>
    </x:row>
    <x:row r="431">
      <x:c r="A431" s="131" t="n">
        <x:f>424</x:f>
        <x:v>424</x:v>
      </x:c>
      <x:c r="B431" s="131" t="n">
        <x:f>MOD(ABS(SIN((A431+1)*12.9898+78.233)*43758.5453),1)</x:f>
        <x:v>0.751551664150611</x:v>
      </x:c>
      <x:c r="C431" s="131" t="n">
        <x:f>MOD(ABS(SIN((A431+2)*12.9898+78.233)*43758.5453),1)</x:f>
        <x:v>0.8535678338012076</x:v>
      </x:c>
      <x:c r="D431" s="131" t="n">
        <x:f>MOD(ABS(SIN((A431+3)*12.9898+78.233)*43758.5453),1)</x:f>
        <x:v>0.34964660587138496</x:v>
      </x:c>
      <x:c r="E431" s="131" t="n">
        <x:f>MOD(ABS(SIN((A431+4)*12.9898+78.233)*43758.5453),1)</x:f>
        <x:v>0.8396538896195125</x:v>
      </x:c>
      <x:c r="F431" s="131" t="n">
        <x:f>MOD(ABS(SIN((A431+5)*12.9898+78.233)*43758.5453),1)</x:f>
        <x:v>0.9642475171131082</x:v>
      </x:c>
      <x:c r="G431" s="132" t="n">
        <x:f>IF(B431&lt;(('Assumptions'!$C$47-'Assumptions'!$B$47)/('Assumptions'!$D$47-'Assumptions'!$B$47)),'Assumptions'!$B$47+SQRT(B431*('Assumptions'!$D$47-'Assumptions'!$B$47)*('Assumptions'!$C$47-'Assumptions'!$B$47)),'Assumptions'!$D$47-SQRT((1-B431)*('Assumptions'!$D$47-'Assumptions'!$B$47)*('Assumptions'!$D$47-'Assumptions'!$C$47)))</x:f>
        <x:v>0.036951024008393105</x:v>
      </x:c>
      <x:c r="H431" s="132" t="n">
        <x:f>IF(C431&lt;(('Assumptions'!$C$48-'Assumptions'!$B$48)/('Assumptions'!$D$48-'Assumptions'!$B$48)),'Assumptions'!$B$48+SQRT(C431*('Assumptions'!$D$48-'Assumptions'!$B$48)*('Assumptions'!$C$48-'Assumptions'!$B$48)),'Assumptions'!$D$48-SQRT((1-C431)*('Assumptions'!$D$48-'Assumptions'!$B$48)*('Assumptions'!$D$48-'Assumptions'!$C$48)))</x:f>
        <x:v>0.10410288225289707</x:v>
      </x:c>
      <x:c r="I431" s="132" t="n">
        <x:f>IF(D431&lt;(('Assumptions'!$C$49-'Assumptions'!$B$49)/('Assumptions'!$D$49-'Assumptions'!$B$49)),'Assumptions'!$B$49+SQRT(D431*('Assumptions'!$D$49-'Assumptions'!$B$49)*('Assumptions'!$C$49-'Assumptions'!$B$49)),'Assumptions'!$D$49-SQRT((1-D431)*('Assumptions'!$D$49-'Assumptions'!$B$49)*('Assumptions'!$D$49-'Assumptions'!$C$49)))</x:f>
        <x:v>0.031477287774966584</x:v>
      </x:c>
      <x:c r="J431" s="132" t="n">
        <x:f>IF(E431&lt;(('Assumptions'!$C$50-'Assumptions'!$B$50)/('Assumptions'!$D$50-'Assumptions'!$B$50)),'Assumptions'!$B$50+SQRT(E431*('Assumptions'!$D$50-'Assumptions'!$B$50)*('Assumptions'!$C$50-'Assumptions'!$B$50)),'Assumptions'!$D$50-SQRT((1-E431)*('Assumptions'!$D$50-'Assumptions'!$B$50)*('Assumptions'!$D$50-'Assumptions'!$C$50)))</x:f>
        <x:v>0.07328454442762726</x:v>
      </x:c>
      <x:c r="K431" s="132" t="n">
        <x:f>IF(F431&lt;(('Assumptions'!$C$51-'Assumptions'!$B$51)/('Assumptions'!$D$51-'Assumptions'!$B$51)),'Assumptions'!$B$51+SQRT(F431*('Assumptions'!$D$51-'Assumptions'!$B$51)*('Assumptions'!$C$51-'Assumptions'!$B$51)),'Assumptions'!$D$51-SQRT((1-F431)*('Assumptions'!$D$51-'Assumptions'!$B$51)*('Assumptions'!$D$51-'Assumptions'!$C$51)))</x:f>
        <x:v>0.08085200260495301</x:v>
      </x:c>
      <x:c r="L431" s="133" t="n">
        <x:f>(('Assumptions'!$B$17*(1+G431)+'Assumptions'!$B$18)*(1-H431-'Assumptions'!$B$20)-SUM('Assumptions'!$B$21:$B$25)*(1+I431))-(('Assumptions'!$B$17*(1+G431)+'Assumptions'!$B$18)*(1-H431-'Assumptions'!$B$20)*'Assumptions'!$B$26)</x:f>
        <x:v>202821.35666688258</x:v>
      </x:c>
      <x:c r="M431" s="133" t="n">
        <x:f>'Assumptions'!$B$10*'Assumptions'!$B$33</x:f>
        <x:v>1950000</x:v>
      </x:c>
      <x:c r="N431" s="133" t="n">
        <x:f>-PMT(K431/12,'Assumptions'!$B$35*12,M431)*12</x:f>
        <x:v>173092.7747902855</x:v>
      </x:c>
      <x:c r="O431" s="133" t="n">
        <x:f>(L431*(1+'Assumptions'!$B$29)^('Assumptions'!$B$14/12)/J431)*(1-'Assumptions'!$B$42)-'Debt Schedule'!$F$9</x:f>
        <x:v>3015888.4085940155</x:v>
      </x:c>
      <x:c r="P431" s="132" t="n">
        <x:f>((O431+(L431-N431-'Assumptions'!$B$27-'Assumptions'!$B$28)*('Assumptions'!$B$14/12))/ABS('Monthly Cash Flow'!$S$5))^(1/('Assumptions'!$B$14/12))-1</x:f>
        <x:v>0.18024127232328047</x:v>
      </x:c>
      <x:c r="Q431" s="133" t="n">
        <x:f>-ABS('Monthly Cash Flow'!$S$5)+((L431-N431-'Assumptions'!$B$27-'Assumptions'!$B$28)*(1-(1+'Assumptions'!$B$43)^-('Assumptions'!$B$14/12))/'Assumptions'!$B$43)+(O431/(1+'Assumptions'!$B$43)^('Assumptions'!$B$14/12))</x:f>
        <x:v>539192.6649377076</x:v>
      </x:c>
    </x:row>
    <x:row r="432">
      <x:c r="A432" s="131" t="n">
        <x:f>425</x:f>
        <x:v>425</x:v>
      </x:c>
      <x:c r="B432" s="131" t="n">
        <x:f>MOD(ABS(SIN((A432+1)*12.9898+78.233)*43758.5453),1)</x:f>
        <x:v>0.8535678338012076</x:v>
      </x:c>
      <x:c r="C432" s="131" t="n">
        <x:f>MOD(ABS(SIN((A432+2)*12.9898+78.233)*43758.5453),1)</x:f>
        <x:v>0.34964660587138496</x:v>
      </x:c>
      <x:c r="D432" s="131" t="n">
        <x:f>MOD(ABS(SIN((A432+3)*12.9898+78.233)*43758.5453),1)</x:f>
        <x:v>0.8396538896195125</x:v>
      </x:c>
      <x:c r="E432" s="131" t="n">
        <x:f>MOD(ABS(SIN((A432+4)*12.9898+78.233)*43758.5453),1)</x:f>
        <x:v>0.9642475171131082</x:v>
      </x:c>
      <x:c r="F432" s="131" t="n">
        <x:f>MOD(ABS(SIN((A432+5)*12.9898+78.233)*43758.5453),1)</x:f>
        <x:v>0.6098383316602849</x:v>
      </x:c>
      <x:c r="G432" s="132" t="n">
        <x:f>IF(B432&lt;(('Assumptions'!$C$47-'Assumptions'!$B$47)/('Assumptions'!$D$47-'Assumptions'!$B$47)),'Assumptions'!$B$47+SQRT(B432*('Assumptions'!$D$47-'Assumptions'!$B$47)*('Assumptions'!$C$47-'Assumptions'!$B$47)),'Assumptions'!$D$47-SQRT((1-B432)*('Assumptions'!$D$47-'Assumptions'!$B$47)*('Assumptions'!$D$47-'Assumptions'!$C$47)))</x:f>
        <x:v>0.05159633630415278</x:v>
      </x:c>
      <x:c r="H432" s="132" t="n">
        <x:f>IF(C432&lt;(('Assumptions'!$C$48-'Assumptions'!$B$48)/('Assumptions'!$D$48-'Assumptions'!$B$48)),'Assumptions'!$B$48+SQRT(C432*('Assumptions'!$D$48-'Assumptions'!$B$48)*('Assumptions'!$C$48-'Assumptions'!$B$48)),'Assumptions'!$D$48-SQRT((1-C432)*('Assumptions'!$D$48-'Assumptions'!$B$48)*('Assumptions'!$D$48-'Assumptions'!$C$48)))</x:f>
        <x:v>0.064348761620633</x:v>
      </x:c>
      <x:c r="I432" s="132" t="n">
        <x:f>IF(D432&lt;(('Assumptions'!$C$49-'Assumptions'!$B$49)/('Assumptions'!$D$49-'Assumptions'!$B$49)),'Assumptions'!$B$49+SQRT(D432*('Assumptions'!$D$49-'Assumptions'!$B$49)*('Assumptions'!$C$49-'Assumptions'!$B$49)),'Assumptions'!$D$49-SQRT((1-D432)*('Assumptions'!$D$49-'Assumptions'!$B$49)*('Assumptions'!$D$49-'Assumptions'!$C$49)))</x:f>
        <x:v>0.09114869598540291</x:v>
      </x:c>
      <x:c r="J432" s="132" t="n">
        <x:f>IF(E432&lt;(('Assumptions'!$C$50-'Assumptions'!$B$50)/('Assumptions'!$D$50-'Assumptions'!$B$50)),'Assumptions'!$B$50+SQRT(E432*('Assumptions'!$D$50-'Assumptions'!$B$50)*('Assumptions'!$C$50-'Assumptions'!$B$50)),'Assumptions'!$D$50-SQRT((1-E432)*('Assumptions'!$D$50-'Assumptions'!$B$50)*('Assumptions'!$D$50-'Assumptions'!$C$50)))</x:f>
        <x:v>0.07682897716628556</x:v>
      </x:c>
      <x:c r="K432" s="132" t="n">
        <x:f>IF(F432&lt;(('Assumptions'!$C$51-'Assumptions'!$B$51)/('Assumptions'!$D$51-'Assumptions'!$B$51)),'Assumptions'!$B$51+SQRT(F432*('Assumptions'!$D$51-'Assumptions'!$B$51)*('Assumptions'!$C$51-'Assumptions'!$B$51)),'Assumptions'!$D$51-SQRT((1-F432)*('Assumptions'!$D$51-'Assumptions'!$B$51)*('Assumptions'!$D$51-'Assumptions'!$C$51)))</x:f>
        <x:v>0.07129725199500159</x:v>
      </x:c>
      <x:c r="L432" s="133" t="n">
        <x:f>(('Assumptions'!$B$17*(1+G432)+'Assumptions'!$B$18)*(1-H432-'Assumptions'!$B$20)-SUM('Assumptions'!$B$21:$B$25)*(1+I432))-(('Assumptions'!$B$17*(1+G432)+'Assumptions'!$B$18)*(1-H432-'Assumptions'!$B$20)*'Assumptions'!$B$26)</x:f>
        <x:v>214921.51516204455</x:v>
      </x:c>
      <x:c r="M432" s="133" t="n">
        <x:f>'Assumptions'!$B$10*'Assumptions'!$B$33</x:f>
        <x:v>1950000</x:v>
      </x:c>
      <x:c r="N432" s="133" t="n">
        <x:f>-PMT(K432/12,'Assumptions'!$B$35*12,M432)*12</x:f>
        <x:v>157724.7714906509</x:v>
      </x:c>
      <x:c r="O432" s="133" t="n">
        <x:f>(L432*(1+'Assumptions'!$B$29)^('Assumptions'!$B$14/12)/J432)*(1-'Assumptions'!$B$42)-'Debt Schedule'!$F$9</x:f>
        <x:v>3048378.0045325006</x:v>
      </x:c>
      <x:c r="P432" s="132" t="n">
        <x:f>((O432+(L432-N432-'Assumptions'!$B$27-'Assumptions'!$B$28)*('Assumptions'!$B$14/12))/ABS('Monthly Cash Flow'!$S$5))^(1/('Assumptions'!$B$14/12))-1</x:f>
        <x:v>0.19346424375267324</x:v>
      </x:c>
      <x:c r="Q432" s="133" t="n">
        <x:f>-ABS('Monthly Cash Flow'!$S$5)+((L432-N432-'Assumptions'!$B$27-'Assumptions'!$B$28)*(1-(1+'Assumptions'!$B$43)^-('Assumptions'!$B$14/12))/'Assumptions'!$B$43)+(O432/(1+'Assumptions'!$B$43)^('Assumptions'!$B$14/12))</x:f>
        <x:v>663492.0921451747</x:v>
      </x:c>
    </x:row>
    <x:row r="433">
      <x:c r="A433" s="131" t="n">
        <x:f>426</x:f>
        <x:v>426</x:v>
      </x:c>
      <x:c r="B433" s="131" t="n">
        <x:f>MOD(ABS(SIN((A433+1)*12.9898+78.233)*43758.5453),1)</x:f>
        <x:v>0.34964660587138496</x:v>
      </x:c>
      <x:c r="C433" s="131" t="n">
        <x:f>MOD(ABS(SIN((A433+2)*12.9898+78.233)*43758.5453),1)</x:f>
        <x:v>0.8396538896195125</x:v>
      </x:c>
      <x:c r="D433" s="131" t="n">
        <x:f>MOD(ABS(SIN((A433+3)*12.9898+78.233)*43758.5453),1)</x:f>
        <x:v>0.9642475171131082</x:v>
      </x:c>
      <x:c r="E433" s="131" t="n">
        <x:f>MOD(ABS(SIN((A433+4)*12.9898+78.233)*43758.5453),1)</x:f>
        <x:v>0.6098383316602849</x:v>
      </x:c>
      <x:c r="F433" s="131" t="n">
        <x:f>MOD(ABS(SIN((A433+5)*12.9898+78.233)*43758.5453),1)</x:f>
        <x:v>0.33212443887668996</x:v>
      </x:c>
      <x:c r="G433" s="132" t="n">
        <x:f>IF(B433&lt;(('Assumptions'!$C$47-'Assumptions'!$B$47)/('Assumptions'!$D$47-'Assumptions'!$B$47)),'Assumptions'!$B$47+SQRT(B433*('Assumptions'!$D$47-'Assumptions'!$B$47)*('Assumptions'!$C$47-'Assumptions'!$B$47)),'Assumptions'!$D$47-SQRT((1-B433)*('Assumptions'!$D$47-'Assumptions'!$B$47)*('Assumptions'!$D$47-'Assumptions'!$C$47)))</x:f>
        <x:v>-0.0083947679391988</x:v>
      </x:c>
      <x:c r="H433" s="132" t="n">
        <x:f>IF(C433&lt;(('Assumptions'!$C$48-'Assumptions'!$B$48)/('Assumptions'!$D$48-'Assumptions'!$B$48)),'Assumptions'!$B$48+SQRT(C433*('Assumptions'!$D$48-'Assumptions'!$B$48)*('Assumptions'!$C$48-'Assumptions'!$B$48)),'Assumptions'!$D$48-SQRT((1-C433)*('Assumptions'!$D$48-'Assumptions'!$B$48)*('Assumptions'!$D$48-'Assumptions'!$C$48)))</x:f>
        <x:v>0.10243611080641024</x:v>
      </x:c>
      <x:c r="I433" s="132" t="n">
        <x:f>IF(D433&lt;(('Assumptions'!$C$49-'Assumptions'!$B$49)/('Assumptions'!$D$49-'Assumptions'!$B$49)),'Assumptions'!$B$49+SQRT(D433*('Assumptions'!$D$49-'Assumptions'!$B$49)*('Assumptions'!$C$49-'Assumptions'!$B$49)),'Assumptions'!$D$49-SQRT((1-D433)*('Assumptions'!$D$49-'Assumptions'!$B$49)*('Assumptions'!$D$49-'Assumptions'!$C$49)))</x:f>
        <x:v>0.12221054821777041</x:v>
      </x:c>
      <x:c r="J433" s="132" t="n">
        <x:f>IF(E433&lt;(('Assumptions'!$C$50-'Assumptions'!$B$50)/('Assumptions'!$D$50-'Assumptions'!$B$50)),'Assumptions'!$B$50+SQRT(E433*('Assumptions'!$D$50-'Assumptions'!$B$50)*('Assumptions'!$C$50-'Assumptions'!$B$50)),'Assumptions'!$D$50-SQRT((1-E433)*('Assumptions'!$D$50-'Assumptions'!$B$50)*('Assumptions'!$D$50-'Assumptions'!$C$50)))</x:f>
        <x:v>0.06952464944641255</x:v>
      </x:c>
      <x:c r="K433" s="132" t="n">
        <x:f>IF(F433&lt;(('Assumptions'!$C$51-'Assumptions'!$B$51)/('Assumptions'!$D$51-'Assumptions'!$B$51)),'Assumptions'!$B$51+SQRT(F433*('Assumptions'!$D$51-'Assumptions'!$B$51)*('Assumptions'!$C$51-'Assumptions'!$B$51)),'Assumptions'!$D$51-SQRT((1-F433)*('Assumptions'!$D$51-'Assumptions'!$B$51)*('Assumptions'!$D$51-'Assumptions'!$C$51)))</x:f>
        <x:v>0.06705689388300874</x:v>
      </x:c>
      <x:c r="L433" s="133" t="n">
        <x:f>(('Assumptions'!$B$17*(1+G433)+'Assumptions'!$B$18)*(1-H433-'Assumptions'!$B$20)-SUM('Assumptions'!$B$21:$B$25)*(1+I433))-(('Assumptions'!$B$17*(1+G433)+'Assumptions'!$B$18)*(1-H433-'Assumptions'!$B$20)*'Assumptions'!$B$26)</x:f>
        <x:v>178105.6264554596</x:v>
      </x:c>
      <x:c r="M433" s="133" t="n">
        <x:f>'Assumptions'!$B$10*'Assumptions'!$B$33</x:f>
        <x:v>1950000</x:v>
      </x:c>
      <x:c r="N433" s="133" t="n">
        <x:f>-PMT(K433/12,'Assumptions'!$B$35*12,M433)*12</x:f>
        <x:v>151083.36689390062</x:v>
      </x:c>
      <x:c r="O433" s="133" t="n">
        <x:f>(L433*(1+'Assumptions'!$B$29)^('Assumptions'!$B$14/12)/J433)*(1-'Assumptions'!$B$42)-'Debt Schedule'!$F$9</x:f>
        <x:v>2791597.5509112435</x:v>
      </x:c>
      <x:c r="P433" s="132" t="n">
        <x:f>((O433+(L433-N433-'Assumptions'!$B$27-'Assumptions'!$B$28)*('Assumptions'!$B$14/12))/ABS('Monthly Cash Flow'!$S$5))^(1/('Assumptions'!$B$14/12))-1</x:f>
        <x:v>0.16066621363960065</x:v>
      </x:c>
      <x:c r="Q433" s="133" t="n">
        <x:f>-ABS('Monthly Cash Flow'!$S$5)+((L433-N433-'Assumptions'!$B$27-'Assumptions'!$B$28)*(1-(1+'Assumptions'!$B$43)^-('Assumptions'!$B$14/12))/'Assumptions'!$B$43)+(O433/(1+'Assumptions'!$B$43)^('Assumptions'!$B$14/12))</x:f>
        <x:v>389666.59800964687</x:v>
      </x:c>
    </x:row>
    <x:row r="434">
      <x:c r="A434" s="131" t="n">
        <x:f>427</x:f>
        <x:v>427</x:v>
      </x:c>
      <x:c r="B434" s="131" t="n">
        <x:f>MOD(ABS(SIN((A434+1)*12.9898+78.233)*43758.5453),1)</x:f>
        <x:v>0.8396538896195125</x:v>
      </x:c>
      <x:c r="C434" s="131" t="n">
        <x:f>MOD(ABS(SIN((A434+2)*12.9898+78.233)*43758.5453),1)</x:f>
        <x:v>0.9642475171131082</x:v>
      </x:c>
      <x:c r="D434" s="131" t="n">
        <x:f>MOD(ABS(SIN((A434+3)*12.9898+78.233)*43758.5453),1)</x:f>
        <x:v>0.6098383316602849</x:v>
      </x:c>
      <x:c r="E434" s="131" t="n">
        <x:f>MOD(ABS(SIN((A434+4)*12.9898+78.233)*43758.5453),1)</x:f>
        <x:v>0.33212443887668996</x:v>
      </x:c>
      <x:c r="F434" s="131" t="n">
        <x:f>MOD(ABS(SIN((A434+5)*12.9898+78.233)*43758.5453),1)</x:f>
        <x:v>0.20999191613009316</x:v>
      </x:c>
      <x:c r="G434" s="132" t="n">
        <x:f>IF(B434&lt;(('Assumptions'!$C$47-'Assumptions'!$B$47)/('Assumptions'!$D$47-'Assumptions'!$B$47)),'Assumptions'!$B$47+SQRT(B434*('Assumptions'!$D$47-'Assumptions'!$B$47)*('Assumptions'!$C$47-'Assumptions'!$B$47)),'Assumptions'!$D$47-SQRT((1-B434)*('Assumptions'!$D$47-'Assumptions'!$B$47)*('Assumptions'!$D$47-'Assumptions'!$C$47)))</x:f>
        <x:v>0.04934886214419463</x:v>
      </x:c>
      <x:c r="H434" s="132" t="n">
        <x:f>IF(C434&lt;(('Assumptions'!$C$48-'Assumptions'!$B$48)/('Assumptions'!$D$48-'Assumptions'!$B$48)),'Assumptions'!$B$48+SQRT(C434*('Assumptions'!$D$48-'Assumptions'!$B$48)*('Assumptions'!$C$48-'Assumptions'!$B$48)),'Assumptions'!$D$48-SQRT((1-C434)*('Assumptions'!$D$48-'Assumptions'!$B$48)*('Assumptions'!$D$48-'Assumptions'!$C$48)))</x:f>
        <x:v>0.12226241703600382</x:v>
      </x:c>
      <x:c r="I434" s="132" t="n">
        <x:f>IF(D434&lt;(('Assumptions'!$C$49-'Assumptions'!$B$49)/('Assumptions'!$D$49-'Assumptions'!$B$49)),'Assumptions'!$B$49+SQRT(D434*('Assumptions'!$D$49-'Assumptions'!$B$49)*('Assumptions'!$C$49-'Assumptions'!$B$49)),'Assumptions'!$D$49-SQRT((1-D434)*('Assumptions'!$D$49-'Assumptions'!$B$49)*('Assumptions'!$D$49-'Assumptions'!$C$49)))</x:f>
        <x:v>0.0581986272644148</x:v>
      </x:c>
      <x:c r="J434" s="132" t="n">
        <x:f>IF(E434&lt;(('Assumptions'!$C$50-'Assumptions'!$B$50)/('Assumptions'!$D$50-'Assumptions'!$B$50)),'Assumptions'!$B$50+SQRT(E434*('Assumptions'!$D$50-'Assumptions'!$B$50)*('Assumptions'!$C$50-'Assumptions'!$B$50)),'Assumptions'!$D$50-SQRT((1-E434)*('Assumptions'!$D$50-'Assumptions'!$B$50)*('Assumptions'!$D$50-'Assumptions'!$C$50)))</x:f>
        <x:v>0.0661445357739589</x:v>
      </x:c>
      <x:c r="K434" s="132" t="n">
        <x:f>IF(F434&lt;(('Assumptions'!$C$51-'Assumptions'!$B$51)/('Assumptions'!$D$51-'Assumptions'!$B$51)),'Assumptions'!$B$51+SQRT(F434*('Assumptions'!$D$51-'Assumptions'!$B$51)*('Assumptions'!$C$51-'Assumptions'!$B$51)),'Assumptions'!$D$51-SQRT((1-F434)*('Assumptions'!$D$51-'Assumptions'!$B$51)*('Assumptions'!$D$51-'Assumptions'!$C$51)))</x:f>
        <x:v>0.06509919580849025</x:v>
      </x:c>
      <x:c r="L434" s="133" t="n">
        <x:f>(('Assumptions'!$B$17*(1+G434)+'Assumptions'!$B$18)*(1-H434-'Assumptions'!$B$20)-SUM('Assumptions'!$B$21:$B$25)*(1+I434))-(('Assumptions'!$B$17*(1+G434)+'Assumptions'!$B$18)*(1-H434-'Assumptions'!$B$20)*'Assumptions'!$B$26)</x:f>
        <x:v>196350.82270193836</x:v>
      </x:c>
      <x:c r="M434" s="133" t="n">
        <x:f>'Assumptions'!$B$10*'Assumptions'!$B$33</x:f>
        <x:v>1950000</x:v>
      </x:c>
      <x:c r="N434" s="133" t="n">
        <x:f>-PMT(K434/12,'Assumptions'!$B$35*12,M434)*12</x:f>
        <x:v>148056.60319054563</x:v>
      </x:c>
      <x:c r="O434" s="133" t="n">
        <x:f>(L434*(1+'Assumptions'!$B$29)^('Assumptions'!$B$14/12)/J434)*(1-'Assumptions'!$B$42)-'Debt Schedule'!$F$9</x:f>
        <x:v>3234839.4410611587</x:v>
      </x:c>
      <x:c r="P434" s="132" t="n">
        <x:f>((O434+(L434-N434-'Assumptions'!$B$27-'Assumptions'!$B$28)*('Assumptions'!$B$14/12))/ABS('Monthly Cash Flow'!$S$5))^(1/('Assumptions'!$B$14/12))-1</x:f>
        <x:v>0.2040834879808684</x:v>
      </x:c>
      <x:c r="Q434" s="133" t="n">
        <x:f>-ABS('Monthly Cash Flow'!$S$5)+((L434-N434-'Assumptions'!$B$27-'Assumptions'!$B$28)*(1-(1+'Assumptions'!$B$43)^-('Assumptions'!$B$14/12))/'Assumptions'!$B$43)+(O434/(1+'Assumptions'!$B$43)^('Assumptions'!$B$14/12))</x:f>
        <x:v>745522.403213989</x:v>
      </x:c>
    </x:row>
    <x:row r="435">
      <x:c r="A435" s="131" t="n">
        <x:f>428</x:f>
        <x:v>428</x:v>
      </x:c>
      <x:c r="B435" s="131" t="n">
        <x:f>MOD(ABS(SIN((A435+1)*12.9898+78.233)*43758.5453),1)</x:f>
        <x:v>0.9642475171131082</x:v>
      </x:c>
      <x:c r="C435" s="131" t="n">
        <x:f>MOD(ABS(SIN((A435+2)*12.9898+78.233)*43758.5453),1)</x:f>
        <x:v>0.6098383316602849</x:v>
      </x:c>
      <x:c r="D435" s="131" t="n">
        <x:f>MOD(ABS(SIN((A435+3)*12.9898+78.233)*43758.5453),1)</x:f>
        <x:v>0.33212443887668996</x:v>
      </x:c>
      <x:c r="E435" s="131" t="n">
        <x:f>MOD(ABS(SIN((A435+4)*12.9898+78.233)*43758.5453),1)</x:f>
        <x:v>0.20999191613009316</x:v>
      </x:c>
      <x:c r="F435" s="131" t="n">
        <x:f>MOD(ABS(SIN((A435+5)*12.9898+78.233)*43758.5453),1)</x:f>
        <x:v>0.5202842149483331</x:v>
      </x:c>
      <x:c r="G435" s="132" t="n">
        <x:f>IF(B435&lt;(('Assumptions'!$C$47-'Assumptions'!$B$47)/('Assumptions'!$D$47-'Assumptions'!$B$47)),'Assumptions'!$B$47+SQRT(B435*('Assumptions'!$D$47-'Assumptions'!$B$47)*('Assumptions'!$C$47-'Assumptions'!$B$47)),'Assumptions'!$D$47-SQRT((1-B435)*('Assumptions'!$D$47-'Assumptions'!$B$47)*('Assumptions'!$D$47-'Assumptions'!$C$47)))</x:f>
        <x:v>0.07608264801048685</x:v>
      </x:c>
      <x:c r="H435" s="132" t="n">
        <x:f>IF(C435&lt;(('Assumptions'!$C$48-'Assumptions'!$B$48)/('Assumptions'!$D$48-'Assumptions'!$B$48)),'Assumptions'!$B$48+SQRT(C435*('Assumptions'!$D$48-'Assumptions'!$B$48)*('Assumptions'!$C$48-'Assumptions'!$B$48)),'Assumptions'!$D$48-SQRT((1-C435)*('Assumptions'!$D$48-'Assumptions'!$B$48)*('Assumptions'!$D$48-'Assumptions'!$C$48)))</x:f>
        <x:v>0.08140458480913806</x:v>
      </x:c>
      <x:c r="I435" s="132" t="n">
        <x:f>IF(D435&lt;(('Assumptions'!$C$49-'Assumptions'!$B$49)/('Assumptions'!$D$49-'Assumptions'!$B$49)),'Assumptions'!$B$49+SQRT(D435*('Assumptions'!$D$49-'Assumptions'!$B$49)*('Assumptions'!$C$49-'Assumptions'!$B$49)),'Assumptions'!$D$49-SQRT((1-D435)*('Assumptions'!$D$49-'Assumptions'!$B$49)*('Assumptions'!$D$49-'Assumptions'!$C$49)))</x:f>
        <x:v>0.029891100673374263</x:v>
      </x:c>
      <x:c r="J435" s="132" t="n">
        <x:f>IF(E435&lt;(('Assumptions'!$C$50-'Assumptions'!$B$50)/('Assumptions'!$D$50-'Assumptions'!$B$50)),'Assumptions'!$B$50+SQRT(E435*('Assumptions'!$D$50-'Assumptions'!$B$50)*('Assumptions'!$C$50-'Assumptions'!$B$50)),'Assumptions'!$D$50-SQRT((1-E435)*('Assumptions'!$D$50-'Assumptions'!$B$50)*('Assumptions'!$D$50-'Assumptions'!$C$50)))</x:f>
        <x:v>0.0643737312377828</x:v>
      </x:c>
      <x:c r="K435" s="132" t="n">
        <x:f>IF(F435&lt;(('Assumptions'!$C$51-'Assumptions'!$B$51)/('Assumptions'!$D$51-'Assumptions'!$B$51)),'Assumptions'!$B$51+SQRT(F435*('Assumptions'!$D$51-'Assumptions'!$B$51)*('Assumptions'!$C$51-'Assumptions'!$B$51)),'Assumptions'!$D$51-SQRT((1-F435)*('Assumptions'!$D$51-'Assumptions'!$B$51)*('Assumptions'!$D$51-'Assumptions'!$C$51)))</x:f>
        <x:v>0.06980581619315751</x:v>
      </x:c>
      <x:c r="L435" s="133" t="n">
        <x:f>(('Assumptions'!$B$17*(1+G435)+'Assumptions'!$B$18)*(1-H435-'Assumptions'!$B$20)-SUM('Assumptions'!$B$21:$B$25)*(1+I435))-(('Assumptions'!$B$17*(1+G435)+'Assumptions'!$B$18)*(1-H435-'Assumptions'!$B$20)*'Assumptions'!$B$26)</x:f>
        <x:v>223835.581666188</x:v>
      </x:c>
      <x:c r="M435" s="133" t="n">
        <x:f>'Assumptions'!$B$10*'Assumptions'!$B$33</x:f>
        <x:v>1950000</x:v>
      </x:c>
      <x:c r="N435" s="133" t="n">
        <x:f>-PMT(K435/12,'Assumptions'!$B$35*12,M435)*12</x:f>
        <x:v>155375.7366664334</x:v>
      </x:c>
      <x:c r="O435" s="133" t="n">
        <x:f>(L435*(1+'Assumptions'!$B$29)^('Assumptions'!$B$14/12)/J435)*(1-'Assumptions'!$B$42)-'Debt Schedule'!$F$9</x:f>
        <x:v>3789085.622932193</x:v>
      </x:c>
      <x:c r="P435" s="132" t="n">
        <x:f>((O435+(L435-N435-'Assumptions'!$B$27-'Assumptions'!$B$28)*('Assumptions'!$B$14/12))/ABS('Monthly Cash Flow'!$S$5))^(1/('Assumptions'!$B$14/12))-1</x:f>
        <x:v>0.24878795441150636</x:v>
      </x:c>
      <x:c r="Q435" s="133" t="n">
        <x:f>-ABS('Monthly Cash Flow'!$S$5)+((L435-N435-'Assumptions'!$B$27-'Assumptions'!$B$28)*(1-(1+'Assumptions'!$B$43)^-('Assumptions'!$B$14/12))/'Assumptions'!$B$43)+(O435/(1+'Assumptions'!$B$43)^('Assumptions'!$B$14/12))</x:f>
        <x:v>1166109.2620599645</x:v>
      </x:c>
    </x:row>
    <x:row r="436">
      <x:c r="A436" s="131" t="n">
        <x:f>429</x:f>
        <x:v>429</x:v>
      </x:c>
      <x:c r="B436" s="131" t="n">
        <x:f>MOD(ABS(SIN((A436+1)*12.9898+78.233)*43758.5453),1)</x:f>
        <x:v>0.6098383316602849</x:v>
      </x:c>
      <x:c r="C436" s="131" t="n">
        <x:f>MOD(ABS(SIN((A436+2)*12.9898+78.233)*43758.5453),1)</x:f>
        <x:v>0.33212443887668996</x:v>
      </x:c>
      <x:c r="D436" s="131" t="n">
        <x:f>MOD(ABS(SIN((A436+3)*12.9898+78.233)*43758.5453),1)</x:f>
        <x:v>0.20999191613009316</x:v>
      </x:c>
      <x:c r="E436" s="131" t="n">
        <x:f>MOD(ABS(SIN((A436+4)*12.9898+78.233)*43758.5453),1)</x:f>
        <x:v>0.5202842149483331</x:v>
      </x:c>
      <x:c r="F436" s="131" t="n">
        <x:f>MOD(ABS(SIN((A436+5)*12.9898+78.233)*43758.5453),1)</x:f>
        <x:v>0.6246066156527377</x:v>
      </x:c>
      <x:c r="G436" s="132" t="n">
        <x:f>IF(B436&lt;(('Assumptions'!$C$47-'Assumptions'!$B$47)/('Assumptions'!$D$47-'Assumptions'!$B$47)),'Assumptions'!$B$47+SQRT(B436*('Assumptions'!$D$47-'Assumptions'!$B$47)*('Assumptions'!$C$47-'Assumptions'!$B$47)),'Assumptions'!$D$47-SQRT((1-B436)*('Assumptions'!$D$47-'Assumptions'!$B$47)*('Assumptions'!$D$47-'Assumptions'!$C$47)))</x:f>
        <x:v>0.02098995827468865</x:v>
      </x:c>
      <x:c r="H436" s="132" t="n">
        <x:f>IF(C436&lt;(('Assumptions'!$C$48-'Assumptions'!$B$48)/('Assumptions'!$D$48-'Assumptions'!$B$48)),'Assumptions'!$B$48+SQRT(C436*('Assumptions'!$D$48-'Assumptions'!$B$48)*('Assumptions'!$C$48-'Assumptions'!$B$48)),'Assumptions'!$D$48-SQRT((1-C436)*('Assumptions'!$D$48-'Assumptions'!$B$48)*('Assumptions'!$D$48-'Assumptions'!$C$48)))</x:f>
        <x:v>0.06333641713378425</x:v>
      </x:c>
      <x:c r="I436" s="132" t="n">
        <x:f>IF(D436&lt;(('Assumptions'!$C$49-'Assumptions'!$B$49)/('Assumptions'!$D$49-'Assumptions'!$B$49)),'Assumptions'!$B$49+SQRT(D436*('Assumptions'!$D$49-'Assumptions'!$B$49)*('Assumptions'!$C$49-'Assumptions'!$B$49)),'Assumptions'!$D$49-SQRT((1-D436)*('Assumptions'!$D$49-'Assumptions'!$B$49)*('Assumptions'!$D$49-'Assumptions'!$C$49)))</x:f>
        <x:v>0.017622606965652418</x:v>
      </x:c>
      <x:c r="J436" s="132" t="n">
        <x:f>IF(E436&lt;(('Assumptions'!$C$50-'Assumptions'!$B$50)/('Assumptions'!$D$50-'Assumptions'!$B$50)),'Assumptions'!$B$50+SQRT(E436*('Assumptions'!$D$50-'Assumptions'!$B$50)*('Assumptions'!$C$50-'Assumptions'!$B$50)),'Assumptions'!$D$50-SQRT((1-E436)*('Assumptions'!$D$50-'Assumptions'!$B$50)*('Assumptions'!$D$50-'Assumptions'!$C$50)))</x:f>
        <x:v>0.0683844903449835</x:v>
      </x:c>
      <x:c r="K436" s="132" t="n">
        <x:f>IF(F436&lt;(('Assumptions'!$C$51-'Assumptions'!$B$51)/('Assumptions'!$D$51-'Assumptions'!$B$51)),'Assumptions'!$B$51+SQRT(F436*('Assumptions'!$D$51-'Assumptions'!$B$51)*('Assumptions'!$C$51-'Assumptions'!$B$51)),'Assumptions'!$D$51-SQRT((1-F436)*('Assumptions'!$D$51-'Assumptions'!$B$51)*('Assumptions'!$D$51-'Assumptions'!$C$51)))</x:f>
        <x:v>0.0715590898292891</x:v>
      </x:c>
      <x:c r="L436" s="133" t="n">
        <x:f>(('Assumptions'!$B$17*(1+G436)+'Assumptions'!$B$18)*(1-H436-'Assumptions'!$B$20)-SUM('Assumptions'!$B$21:$B$25)*(1+I436))-(('Assumptions'!$B$17*(1+G436)+'Assumptions'!$B$18)*(1-H436-'Assumptions'!$B$20)*'Assumptions'!$B$26)</x:f>
        <x:v>214769.3701797508</x:v>
      </x:c>
      <x:c r="M436" s="133" t="n">
        <x:f>'Assumptions'!$B$10*'Assumptions'!$B$33</x:f>
        <x:v>1950000</x:v>
      </x:c>
      <x:c r="N436" s="133" t="n">
        <x:f>-PMT(K436/12,'Assumptions'!$B$35*12,M436)*12</x:f>
        <x:v>158138.6107957001</x:v>
      </x:c>
      <x:c r="O436" s="133" t="n">
        <x:f>(L436*(1+'Assumptions'!$B$29)^('Assumptions'!$B$14/12)/J436)*(1-'Assumptions'!$B$42)-'Debt Schedule'!$F$9</x:f>
        <x:v>3422383.7576952204</x:v>
      </x:c>
      <x:c r="P436" s="132" t="n">
        <x:f>((O436+(L436-N436-'Assumptions'!$B$27-'Assumptions'!$B$28)*('Assumptions'!$B$14/12))/ABS('Monthly Cash Flow'!$S$5))^(1/('Assumptions'!$B$14/12))-1</x:f>
        <x:v>0.2204795695377728</x:v>
      </x:c>
      <x:c r="Q436" s="133" t="n">
        <x:f>-ABS('Monthly Cash Flow'!$S$5)+((L436-N436-'Assumptions'!$B$27-'Assumptions'!$B$28)*(1-(1+'Assumptions'!$B$43)^-('Assumptions'!$B$14/12))/'Assumptions'!$B$43)+(O436/(1+'Assumptions'!$B$43)^('Assumptions'!$B$14/12))</x:f>
        <x:v>893574.7134825536</x:v>
      </x:c>
    </x:row>
    <x:row r="437">
      <x:c r="A437" s="131" t="n">
        <x:f>430</x:f>
        <x:v>430</x:v>
      </x:c>
      <x:c r="B437" s="131" t="n">
        <x:f>MOD(ABS(SIN((A437+1)*12.9898+78.233)*43758.5453),1)</x:f>
        <x:v>0.33212443887668996</x:v>
      </x:c>
      <x:c r="C437" s="131" t="n">
        <x:f>MOD(ABS(SIN((A437+2)*12.9898+78.233)*43758.5453),1)</x:f>
        <x:v>0.20999191613009316</x:v>
      </x:c>
      <x:c r="D437" s="131" t="n">
        <x:f>MOD(ABS(SIN((A437+3)*12.9898+78.233)*43758.5453),1)</x:f>
        <x:v>0.5202842149483331</x:v>
      </x:c>
      <x:c r="E437" s="131" t="n">
        <x:f>MOD(ABS(SIN((A437+4)*12.9898+78.233)*43758.5453),1)</x:f>
        <x:v>0.6246066156527377</x:v>
      </x:c>
      <x:c r="F437" s="131" t="n">
        <x:f>MOD(ABS(SIN((A437+5)*12.9898+78.233)*43758.5453),1)</x:f>
        <x:v>0.0178837718340219</x:v>
      </x:c>
      <x:c r="G437" s="132" t="n">
        <x:f>IF(B437&lt;(('Assumptions'!$C$47-'Assumptions'!$B$47)/('Assumptions'!$D$47-'Assumptions'!$B$47)),'Assumptions'!$B$47+SQRT(B437*('Assumptions'!$D$47-'Assumptions'!$B$47)*('Assumptions'!$C$47-'Assumptions'!$B$47)),'Assumptions'!$D$47-SQRT((1-B437)*('Assumptions'!$D$47-'Assumptions'!$B$47)*('Assumptions'!$D$47-'Assumptions'!$C$47)))</x:f>
        <x:v>-0.010719618431367817</x:v>
      </x:c>
      <x:c r="H437" s="132" t="n">
        <x:f>IF(C437&lt;(('Assumptions'!$C$48-'Assumptions'!$B$48)/('Assumptions'!$D$48-'Assumptions'!$B$48)),'Assumptions'!$B$48+SQRT(C437*('Assumptions'!$D$48-'Assumptions'!$B$48)*('Assumptions'!$C$48-'Assumptions'!$B$48)),'Assumptions'!$D$48-SQRT((1-C437)*('Assumptions'!$D$48-'Assumptions'!$B$48)*('Assumptions'!$D$48-'Assumptions'!$C$48)))</x:f>
        <x:v>0.05632438647393909</x:v>
      </x:c>
      <x:c r="I437" s="132" t="n">
        <x:f>IF(D437&lt;(('Assumptions'!$C$49-'Assumptions'!$B$49)/('Assumptions'!$D$49-'Assumptions'!$B$49)),'Assumptions'!$B$49+SQRT(D437*('Assumptions'!$D$49-'Assumptions'!$B$49)*('Assumptions'!$C$49-'Assumptions'!$B$49)),'Assumptions'!$D$49-SQRT((1-D437)*('Assumptions'!$D$49-'Assumptions'!$B$49)*('Assumptions'!$D$49-'Assumptions'!$C$49)))</x:f>
        <x:v>0.04820677352045469</x:v>
      </x:c>
      <x:c r="J437" s="132" t="n">
        <x:f>IF(E437&lt;(('Assumptions'!$C$50-'Assumptions'!$B$50)/('Assumptions'!$D$50-'Assumptions'!$B$50)),'Assumptions'!$B$50+SQRT(E437*('Assumptions'!$D$50-'Assumptions'!$B$50)*('Assumptions'!$C$50-'Assumptions'!$B$50)),'Assumptions'!$D$50-SQRT((1-E437)*('Assumptions'!$D$50-'Assumptions'!$B$50)*('Assumptions'!$D$50-'Assumptions'!$C$50)))</x:f>
        <x:v>0.06972481682169765</x:v>
      </x:c>
      <x:c r="K437" s="132" t="n">
        <x:f>IF(F437&lt;(('Assumptions'!$C$51-'Assumptions'!$B$51)/('Assumptions'!$D$51-'Assumptions'!$B$51)),'Assumptions'!$B$51+SQRT(F437*('Assumptions'!$D$51-'Assumptions'!$B$51)*('Assumptions'!$C$51-'Assumptions'!$B$51)),'Assumptions'!$D$51-SQRT((1-F437)*('Assumptions'!$D$51-'Assumptions'!$B$51)*('Assumptions'!$D$51-'Assumptions'!$C$51)))</x:f>
        <x:v>0.059717664820110566</x:v>
      </x:c>
      <x:c r="L437" s="133" t="n">
        <x:f>(('Assumptions'!$B$17*(1+G437)+'Assumptions'!$B$18)*(1-H437-'Assumptions'!$B$20)-SUM('Assumptions'!$B$21:$B$25)*(1+I437))-(('Assumptions'!$B$17*(1+G437)+'Assumptions'!$B$18)*(1-H437-'Assumptions'!$B$20)*'Assumptions'!$B$26)</x:f>
        <x:v>203279.16500606324</x:v>
      </x:c>
      <x:c r="M437" s="133" t="n">
        <x:f>'Assumptions'!$B$10*'Assumptions'!$B$33</x:f>
        <x:v>1950000</x:v>
      </x:c>
      <x:c r="N437" s="133" t="n">
        <x:f>-PMT(K437/12,'Assumptions'!$B$35*12,M437)*12</x:f>
        <x:v>139870.35148371404</x:v>
      </x:c>
      <x:c r="O437" s="133" t="n">
        <x:f>(L437*(1+'Assumptions'!$B$29)^('Assumptions'!$B$14/12)/J437)*(1-'Assumptions'!$B$42)-'Debt Schedule'!$F$9</x:f>
        <x:v>3177016.4481484056</x:v>
      </x:c>
      <x:c r="P437" s="132" t="n">
        <x:f>((O437+(L437-N437-'Assumptions'!$B$27-'Assumptions'!$B$28)*('Assumptions'!$B$14/12))/ABS('Monthly Cash Flow'!$S$5))^(1/('Assumptions'!$B$14/12))-1</x:f>
        <x:v>0.20538533580878027</x:v>
      </x:c>
      <x:c r="Q437" s="133" t="n">
        <x:f>-ABS('Monthly Cash Flow'!$S$5)+((L437-N437-'Assumptions'!$B$27-'Assumptions'!$B$28)*(1-(1+'Assumptions'!$B$43)^-('Assumptions'!$B$14/12))/'Assumptions'!$B$43)+(O437/(1+'Assumptions'!$B$43)^('Assumptions'!$B$14/12))</x:f>
        <x:v>766915.0769530761</x:v>
      </x:c>
    </x:row>
    <x:row r="438">
      <x:c r="A438" s="131" t="n">
        <x:f>431</x:f>
        <x:v>431</x:v>
      </x:c>
      <x:c r="B438" s="131" t="n">
        <x:f>MOD(ABS(SIN((A438+1)*12.9898+78.233)*43758.5453),1)</x:f>
        <x:v>0.20999191613009316</x:v>
      </x:c>
      <x:c r="C438" s="131" t="n">
        <x:f>MOD(ABS(SIN((A438+2)*12.9898+78.233)*43758.5453),1)</x:f>
        <x:v>0.5202842149483331</x:v>
      </x:c>
      <x:c r="D438" s="131" t="n">
        <x:f>MOD(ABS(SIN((A438+3)*12.9898+78.233)*43758.5453),1)</x:f>
        <x:v>0.6246066156527377</x:v>
      </x:c>
      <x:c r="E438" s="131" t="n">
        <x:f>MOD(ABS(SIN((A438+4)*12.9898+78.233)*43758.5453),1)</x:f>
        <x:v>0.0178837718340219</x:v>
      </x:c>
      <x:c r="F438" s="131" t="n">
        <x:f>MOD(ABS(SIN((A438+5)*12.9898+78.233)*43758.5453),1)</x:f>
        <x:v>0.36877207065117545</x:v>
      </x:c>
      <x:c r="G438" s="132" t="n">
        <x:f>IF(B438&lt;(('Assumptions'!$C$47-'Assumptions'!$B$47)/('Assumptions'!$D$47-'Assumptions'!$B$47)),'Assumptions'!$B$47+SQRT(B438*('Assumptions'!$D$47-'Assumptions'!$B$47)*('Assumptions'!$C$47-'Assumptions'!$B$47)),'Assumptions'!$D$47-SQRT((1-B438)*('Assumptions'!$D$47-'Assumptions'!$B$47)*('Assumptions'!$D$47-'Assumptions'!$C$47)))</x:f>
        <x:v>-0.029008409039364136</x:v>
      </x:c>
      <x:c r="H438" s="132" t="n">
        <x:f>IF(C438&lt;(('Assumptions'!$C$48-'Assumptions'!$B$48)/('Assumptions'!$D$48-'Assumptions'!$B$48)),'Assumptions'!$B$48+SQRT(C438*('Assumptions'!$D$48-'Assumptions'!$B$48)*('Assumptions'!$C$48-'Assumptions'!$B$48)),'Assumptions'!$D$48-SQRT((1-C438)*('Assumptions'!$D$48-'Assumptions'!$B$48)*('Assumptions'!$D$48-'Assumptions'!$C$48)))</x:f>
        <x:v>0.07502693705500202</x:v>
      </x:c>
      <x:c r="I438" s="132" t="n">
        <x:f>IF(D438&lt;(('Assumptions'!$C$49-'Assumptions'!$B$49)/('Assumptions'!$D$49-'Assumptions'!$B$49)),'Assumptions'!$B$49+SQRT(D438*('Assumptions'!$D$49-'Assumptions'!$B$49)*('Assumptions'!$C$49-'Assumptions'!$B$49)),'Assumptions'!$D$49-SQRT((1-D438)*('Assumptions'!$D$49-'Assumptions'!$B$49)*('Assumptions'!$D$49-'Assumptions'!$C$49)))</x:f>
        <x:v>0.05995280625193883</x:v>
      </x:c>
      <x:c r="J438" s="132" t="n">
        <x:f>IF(E438&lt;(('Assumptions'!$C$50-'Assumptions'!$B$50)/('Assumptions'!$D$50-'Assumptions'!$B$50)),'Assumptions'!$B$50+SQRT(E438*('Assumptions'!$D$50-'Assumptions'!$B$50)*('Assumptions'!$C$50-'Assumptions'!$B$50)),'Assumptions'!$D$50-SQRT((1-E438)*('Assumptions'!$D$50-'Assumptions'!$B$50)*('Assumptions'!$D$50-'Assumptions'!$C$50)))</x:f>
        <x:v>0.05950595330520302</x:v>
      </x:c>
      <x:c r="K438" s="132" t="n">
        <x:f>IF(F438&lt;(('Assumptions'!$C$51-'Assumptions'!$B$51)/('Assumptions'!$D$51-'Assumptions'!$B$51)),'Assumptions'!$B$51+SQRT(F438*('Assumptions'!$D$51-'Assumptions'!$B$51)*('Assumptions'!$C$51-'Assumptions'!$B$51)),'Assumptions'!$D$51-SQRT((1-F438)*('Assumptions'!$D$51-'Assumptions'!$B$51)*('Assumptions'!$D$51-'Assumptions'!$C$51)))</x:f>
        <x:v>0.0675707590240102</x:v>
      </x:c>
      <x:c r="L438" s="133" t="n">
        <x:f>(('Assumptions'!$B$17*(1+G438)+'Assumptions'!$B$18)*(1-H438-'Assumptions'!$B$20)-SUM('Assumptions'!$B$21:$B$25)*(1+I438))-(('Assumptions'!$B$17*(1+G438)+'Assumptions'!$B$18)*(1-H438-'Assumptions'!$B$20)*'Assumptions'!$B$26)</x:f>
        <x:v>189298.48640589623</x:v>
      </x:c>
      <x:c r="M438" s="133" t="n">
        <x:f>'Assumptions'!$B$10*'Assumptions'!$B$33</x:f>
        <x:v>1950000</x:v>
      </x:c>
      <x:c r="N438" s="133" t="n">
        <x:f>-PMT(K438/12,'Assumptions'!$B$35*12,M438)*12</x:f>
        <x:v>151882.03307338376</x:v>
      </x:c>
      <x:c r="O438" s="133" t="n">
        <x:f>(L438*(1+'Assumptions'!$B$29)^('Assumptions'!$B$14/12)/J438)*(1-'Assumptions'!$B$42)-'Debt Schedule'!$F$9</x:f>
        <x:v>3466575.8042880497</x:v>
      </x:c>
      <x:c r="P438" s="132" t="n">
        <x:f>((O438+(L438-N438-'Assumptions'!$B$27-'Assumptions'!$B$28)*('Assumptions'!$B$14/12))/ABS('Monthly Cash Flow'!$S$5))^(1/('Assumptions'!$B$14/12))-1</x:f>
        <x:v>0.2168455456051952</x:v>
      </x:c>
      <x:c r="Q438" s="133" t="n">
        <x:f>-ABS('Monthly Cash Flow'!$S$5)+((L438-N438-'Assumptions'!$B$27-'Assumptions'!$B$28)*(1-(1+'Assumptions'!$B$43)^-('Assumptions'!$B$14/12))/'Assumptions'!$B$43)+(O438/(1+'Assumptions'!$B$43)^('Assumptions'!$B$14/12))</x:f>
        <x:v>848177.1603581291</x:v>
      </x:c>
    </x:row>
    <x:row r="439">
      <x:c r="A439" s="131" t="n">
        <x:f>432</x:f>
        <x:v>432</x:v>
      </x:c>
      <x:c r="B439" s="131" t="n">
        <x:f>MOD(ABS(SIN((A439+1)*12.9898+78.233)*43758.5453),1)</x:f>
        <x:v>0.5202842149483331</x:v>
      </x:c>
      <x:c r="C439" s="131" t="n">
        <x:f>MOD(ABS(SIN((A439+2)*12.9898+78.233)*43758.5453),1)</x:f>
        <x:v>0.6246066156527377</x:v>
      </x:c>
      <x:c r="D439" s="131" t="n">
        <x:f>MOD(ABS(SIN((A439+3)*12.9898+78.233)*43758.5453),1)</x:f>
        <x:v>0.0178837718340219</x:v>
      </x:c>
      <x:c r="E439" s="131" t="n">
        <x:f>MOD(ABS(SIN((A439+4)*12.9898+78.233)*43758.5453),1)</x:f>
        <x:v>0.36877207065117545</x:v>
      </x:c>
      <x:c r="F439" s="131" t="n">
        <x:f>MOD(ABS(SIN((A439+5)*12.9898+78.233)*43758.5453),1)</x:f>
        <x:v>0.45831806395290187</x:v>
      </x:c>
      <x:c r="G439" s="132" t="n">
        <x:f>IF(B439&lt;(('Assumptions'!$C$47-'Assumptions'!$B$47)/('Assumptions'!$D$47-'Assumptions'!$B$47)),'Assumptions'!$B$47+SQRT(B439*('Assumptions'!$D$47-'Assumptions'!$B$47)*('Assumptions'!$C$47-'Assumptions'!$B$47)),'Assumptions'!$D$47-SQRT((1-B439)*('Assumptions'!$D$47-'Assumptions'!$B$47)*('Assumptions'!$D$47-'Assumptions'!$C$47)))</x:f>
        <x:v>0.011744445762462821</x:v>
      </x:c>
      <x:c r="H439" s="132" t="n">
        <x:f>IF(C439&lt;(('Assumptions'!$C$48-'Assumptions'!$B$48)/('Assumptions'!$D$48-'Assumptions'!$B$48)),'Assumptions'!$B$48+SQRT(C439*('Assumptions'!$D$48-'Assumptions'!$B$48)*('Assumptions'!$C$48-'Assumptions'!$B$48)),'Assumptions'!$D$48-SQRT((1-C439)*('Assumptions'!$D$48-'Assumptions'!$B$48)*('Assumptions'!$D$48-'Assumptions'!$C$48)))</x:f>
        <x:v>0.08252425048547946</x:v>
      </x:c>
      <x:c r="I439" s="132" t="n">
        <x:f>IF(D439&lt;(('Assumptions'!$C$49-'Assumptions'!$B$49)/('Assumptions'!$D$49-'Assumptions'!$B$49)),'Assumptions'!$B$49+SQRT(D439*('Assumptions'!$D$49-'Assumptions'!$B$49)*('Assumptions'!$C$49-'Assumptions'!$B$49)),'Assumptions'!$D$49-SQRT((1-D439)*('Assumptions'!$D$49-'Assumptions'!$B$49)*('Assumptions'!$D$49-'Assumptions'!$C$49)))</x:f>
        <x:v>-0.01610234783111059</x:v>
      </x:c>
      <x:c r="J439" s="132" t="n">
        <x:f>IF(E439&lt;(('Assumptions'!$C$50-'Assumptions'!$B$50)/('Assumptions'!$D$50-'Assumptions'!$B$50)),'Assumptions'!$B$50+SQRT(E439*('Assumptions'!$D$50-'Assumptions'!$B$50)*('Assumptions'!$C$50-'Assumptions'!$B$50)),'Assumptions'!$D$50-SQRT((1-E439)*('Assumptions'!$D$50-'Assumptions'!$B$50)*('Assumptions'!$D$50-'Assumptions'!$C$50)))</x:f>
        <x:v>0.06660899093733848</x:v>
      </x:c>
      <x:c r="K439" s="132" t="n">
        <x:f>IF(F439&lt;(('Assumptions'!$C$51-'Assumptions'!$B$51)/('Assumptions'!$D$51-'Assumptions'!$B$51)),'Assumptions'!$B$51+SQRT(F439*('Assumptions'!$D$51-'Assumptions'!$B$51)*('Assumptions'!$C$51-'Assumptions'!$B$51)),'Assumptions'!$D$51-SQRT((1-F439)*('Assumptions'!$D$51-'Assumptions'!$B$51)*('Assumptions'!$D$51-'Assumptions'!$C$51)))</x:f>
        <x:v>0.06885427512551184</x:v>
      </x:c>
      <x:c r="L439" s="133" t="n">
        <x:f>(('Assumptions'!$B$17*(1+G439)+'Assumptions'!$B$18)*(1-H439-'Assumptions'!$B$20)-SUM('Assumptions'!$B$21:$B$25)*(1+I439))-(('Assumptions'!$B$17*(1+G439)+'Assumptions'!$B$18)*(1-H439-'Assumptions'!$B$20)*'Assumptions'!$B$26)</x:f>
        <x:v>209017.03139410034</x:v>
      </x:c>
      <x:c r="M439" s="133" t="n">
        <x:f>'Assumptions'!$B$10*'Assumptions'!$B$33</x:f>
        <x:v>1950000</x:v>
      </x:c>
      <x:c r="N439" s="133" t="n">
        <x:f>-PMT(K439/12,'Assumptions'!$B$35*12,M439)*12</x:f>
        <x:v>153884.41684192047</x:v>
      </x:c>
      <x:c r="O439" s="133" t="n">
        <x:f>(L439*(1+'Assumptions'!$B$29)^('Assumptions'!$B$14/12)/J439)*(1-'Assumptions'!$B$42)-'Debt Schedule'!$F$9</x:f>
        <x:v>3419501.4943502313</x:v>
      </x:c>
      <x:c r="P439" s="132" t="n">
        <x:f>((O439+(L439-N439-'Assumptions'!$B$27-'Assumptions'!$B$28)*('Assumptions'!$B$14/12))/ABS('Monthly Cash Flow'!$S$5))^(1/('Assumptions'!$B$14/12))-1</x:f>
        <x:v>0.21975642620630098</x:v>
      </x:c>
      <x:c r="Q439" s="133" t="n">
        <x:f>-ABS('Monthly Cash Flow'!$S$5)+((L439-N439-'Assumptions'!$B$27-'Assumptions'!$B$28)*(1-(1+'Assumptions'!$B$43)^-('Assumptions'!$B$14/12))/'Assumptions'!$B$43)+(O439/(1+'Assumptions'!$B$43)^('Assumptions'!$B$14/12))</x:f>
        <x:v>886105.9071056645</x:v>
      </x:c>
    </x:row>
    <x:row r="440">
      <x:c r="A440" s="131" t="n">
        <x:f>433</x:f>
        <x:v>433</x:v>
      </x:c>
      <x:c r="B440" s="131" t="n">
        <x:f>MOD(ABS(SIN((A440+1)*12.9898+78.233)*43758.5453),1)</x:f>
        <x:v>0.6246066156527377</x:v>
      </x:c>
      <x:c r="C440" s="131" t="n">
        <x:f>MOD(ABS(SIN((A440+2)*12.9898+78.233)*43758.5453),1)</x:f>
        <x:v>0.0178837718340219</x:v>
      </x:c>
      <x:c r="D440" s="131" t="n">
        <x:f>MOD(ABS(SIN((A440+3)*12.9898+78.233)*43758.5453),1)</x:f>
        <x:v>0.36877207065117545</x:v>
      </x:c>
      <x:c r="E440" s="131" t="n">
        <x:f>MOD(ABS(SIN((A440+4)*12.9898+78.233)*43758.5453),1)</x:f>
        <x:v>0.45831806395290187</x:v>
      </x:c>
      <x:c r="F440" s="131" t="n">
        <x:f>MOD(ABS(SIN((A440+5)*12.9898+78.233)*43758.5453),1)</x:f>
        <x:v>0.2357849015515967</x:v>
      </x:c>
      <x:c r="G440" s="132" t="n">
        <x:f>IF(B440&lt;(('Assumptions'!$C$47-'Assumptions'!$B$47)/('Assumptions'!$D$47-'Assumptions'!$B$47)),'Assumptions'!$B$47+SQRT(B440*('Assumptions'!$D$47-'Assumptions'!$B$47)*('Assumptions'!$C$47-'Assumptions'!$B$47)),'Assumptions'!$D$47-SQRT((1-B440)*('Assumptions'!$D$47-'Assumptions'!$B$47)*('Assumptions'!$D$47-'Assumptions'!$C$47)))</x:f>
        <x:v>0.022499715164676998</x:v>
      </x:c>
      <x:c r="H440" s="132" t="n">
        <x:f>IF(C440&lt;(('Assumptions'!$C$48-'Assumptions'!$B$48)/('Assumptions'!$D$48-'Assumptions'!$B$48)),'Assumptions'!$B$48+SQRT(C440*('Assumptions'!$D$48-'Assumptions'!$B$48)*('Assumptions'!$C$48-'Assumptions'!$B$48)),'Assumptions'!$D$48-SQRT((1-C440)*('Assumptions'!$D$48-'Assumptions'!$B$48)*('Assumptions'!$D$48-'Assumptions'!$C$48)))</x:f>
        <x:v>0.03768221628517918</x:v>
      </x:c>
      <x:c r="I440" s="132" t="n">
        <x:f>IF(D440&lt;(('Assumptions'!$C$49-'Assumptions'!$B$49)/('Assumptions'!$D$49-'Assumptions'!$B$49)),'Assumptions'!$B$49+SQRT(D440*('Assumptions'!$D$49-'Assumptions'!$B$49)*('Assumptions'!$C$49-'Assumptions'!$B$49)),'Assumptions'!$D$49-SQRT((1-D440)*('Assumptions'!$D$49-'Assumptions'!$B$49)*('Assumptions'!$D$49-'Assumptions'!$C$49)))</x:f>
        <x:v>0.033233038602802495</x:v>
      </x:c>
      <x:c r="J440" s="132" t="n">
        <x:f>IF(E440&lt;(('Assumptions'!$C$50-'Assumptions'!$B$50)/('Assumptions'!$D$50-'Assumptions'!$B$50)),'Assumptions'!$B$50+SQRT(E440*('Assumptions'!$D$50-'Assumptions'!$B$50)*('Assumptions'!$C$50-'Assumptions'!$B$50)),'Assumptions'!$D$50-SQRT((1-E440)*('Assumptions'!$D$50-'Assumptions'!$B$50)*('Assumptions'!$D$50-'Assumptions'!$C$50)))</x:f>
        <x:v>0.06765706499598875</x:v>
      </x:c>
      <x:c r="K440" s="132" t="n">
        <x:f>IF(F440&lt;(('Assumptions'!$C$51-'Assumptions'!$B$51)/('Assumptions'!$D$51-'Assumptions'!$B$51)),'Assumptions'!$B$51+SQRT(F440*('Assumptions'!$D$51-'Assumptions'!$B$51)*('Assumptions'!$C$51-'Assumptions'!$B$51)),'Assumptions'!$D$51-SQRT((1-F440)*('Assumptions'!$D$51-'Assumptions'!$B$51)*('Assumptions'!$D$51-'Assumptions'!$C$51)))</x:f>
        <x:v>0.06555238150652894</x:v>
      </x:c>
      <x:c r="L440" s="133" t="n">
        <x:f>(('Assumptions'!$B$17*(1+G440)+'Assumptions'!$B$18)*(1-H440-'Assumptions'!$B$20)-SUM('Assumptions'!$B$21:$B$25)*(1+I440))-(('Assumptions'!$B$17*(1+G440)+'Assumptions'!$B$18)*(1-H440-'Assumptions'!$B$20)*'Assumptions'!$B$26)</x:f>
        <x:v>222794.84383135382</x:v>
      </x:c>
      <x:c r="M440" s="133" t="n">
        <x:f>'Assumptions'!$B$10*'Assumptions'!$B$33</x:f>
        <x:v>1950000</x:v>
      </x:c>
      <x:c r="N440" s="133" t="n">
        <x:f>-PMT(K440/12,'Assumptions'!$B$35*12,M440)*12</x:f>
        <x:v>148755.00064001983</x:v>
      </x:c>
      <x:c r="O440" s="133" t="n">
        <x:f>(L440*(1+'Assumptions'!$B$29)^('Assumptions'!$B$14/12)/J440)*(1-'Assumptions'!$B$42)-'Debt Schedule'!$F$9</x:f>
        <x:v>3588442.229578176</x:v>
      </x:c>
      <x:c r="P440" s="132" t="n">
        <x:f>((O440+(L440-N440-'Assumptions'!$B$27-'Assumptions'!$B$28)*('Assumptions'!$B$14/12))/ABS('Monthly Cash Flow'!$S$5))^(1/('Assumptions'!$B$14/12))-1</x:f>
        <x:v>0.237615582185271</x:v>
      </x:c>
      <x:c r="Q440" s="133" t="n">
        <x:f>-ABS('Monthly Cash Flow'!$S$5)+((L440-N440-'Assumptions'!$B$27-'Assumptions'!$B$28)*(1-(1+'Assumptions'!$B$43)^-('Assumptions'!$B$14/12))/'Assumptions'!$B$43)+(O440/(1+'Assumptions'!$B$43)^('Assumptions'!$B$14/12))</x:f>
        <x:v>1062678.0841134721</x:v>
      </x:c>
    </x:row>
    <x:row r="441">
      <x:c r="A441" s="131" t="n">
        <x:f>434</x:f>
        <x:v>434</x:v>
      </x:c>
      <x:c r="B441" s="131" t="n">
        <x:f>MOD(ABS(SIN((A441+1)*12.9898+78.233)*43758.5453),1)</x:f>
        <x:v>0.0178837718340219</x:v>
      </x:c>
      <x:c r="C441" s="131" t="n">
        <x:f>MOD(ABS(SIN((A441+2)*12.9898+78.233)*43758.5453),1)</x:f>
        <x:v>0.36877207065117545</x:v>
      </x:c>
      <x:c r="D441" s="131" t="n">
        <x:f>MOD(ABS(SIN((A441+3)*12.9898+78.233)*43758.5453),1)</x:f>
        <x:v>0.45831806395290187</x:v>
      </x:c>
      <x:c r="E441" s="131" t="n">
        <x:f>MOD(ABS(SIN((A441+4)*12.9898+78.233)*43758.5453),1)</x:f>
        <x:v>0.2357849015515967</x:v>
      </x:c>
      <x:c r="F441" s="131" t="n">
        <x:f>MOD(ABS(SIN((A441+5)*12.9898+78.233)*43758.5453),1)</x:f>
        <x:v>0.754777069127158</x:v>
      </x:c>
      <x:c r="G441" s="132" t="n">
        <x:f>IF(B441&lt;(('Assumptions'!$C$47-'Assumptions'!$B$47)/('Assumptions'!$D$47-'Assumptions'!$B$47)),'Assumptions'!$B$47+SQRT(B441*('Assumptions'!$D$47-'Assumptions'!$B$47)*('Assumptions'!$C$47-'Assumptions'!$B$47)),'Assumptions'!$D$47-SQRT((1-B441)*('Assumptions'!$D$47-'Assumptions'!$B$47)*('Assumptions'!$D$47-'Assumptions'!$C$47)))</x:f>
        <x:v>-0.07928260334847727</x:v>
      </x:c>
      <x:c r="H441" s="132" t="n">
        <x:f>IF(C441&lt;(('Assumptions'!$C$48-'Assumptions'!$B$48)/('Assumptions'!$D$48-'Assumptions'!$B$48)),'Assumptions'!$B$48+SQRT(C441*('Assumptions'!$D$48-'Assumptions'!$B$48)*('Assumptions'!$C$48-'Assumptions'!$B$48)),'Assumptions'!$D$48-SQRT((1-C441)*('Assumptions'!$D$48-'Assumptions'!$B$48)*('Assumptions'!$D$48-'Assumptions'!$C$48)))</x:f>
        <x:v>0.06546943057865681</x:v>
      </x:c>
      <x:c r="I441" s="132" t="n">
        <x:f>IF(D441&lt;(('Assumptions'!$C$49-'Assumptions'!$B$49)/('Assumptions'!$D$49-'Assumptions'!$B$49)),'Assumptions'!$B$49+SQRT(D441*('Assumptions'!$D$49-'Assumptions'!$B$49)*('Assumptions'!$C$49-'Assumptions'!$B$49)),'Assumptions'!$D$49-SQRT((1-D441)*('Assumptions'!$D$49-'Assumptions'!$B$49)*('Assumptions'!$D$49-'Assumptions'!$C$49)))</x:f>
        <x:v>0.041831937159726676</x:v>
      </x:c>
      <x:c r="J441" s="132" t="n">
        <x:f>IF(E441&lt;(('Assumptions'!$C$50-'Assumptions'!$B$50)/('Assumptions'!$D$50-'Assumptions'!$B$50)),'Assumptions'!$B$50+SQRT(E441*('Assumptions'!$D$50-'Assumptions'!$B$50)*('Assumptions'!$C$50-'Assumptions'!$B$50)),'Assumptions'!$D$50-SQRT((1-E441)*('Assumptions'!$D$50-'Assumptions'!$B$50)*('Assumptions'!$D$50-'Assumptions'!$C$50)))</x:f>
        <x:v>0.06478365312525997</x:v>
      </x:c>
      <x:c r="K441" s="132" t="n">
        <x:f>IF(F441&lt;(('Assumptions'!$C$51-'Assumptions'!$B$51)/('Assumptions'!$D$51-'Assumptions'!$B$51)),'Assumptions'!$B$51+SQRT(F441*('Assumptions'!$D$51-'Assumptions'!$B$51)*('Assumptions'!$C$51-'Assumptions'!$B$51)),'Assumptions'!$D$51-SQRT((1-F441)*('Assumptions'!$D$51-'Assumptions'!$B$51)*('Assumptions'!$D$51-'Assumptions'!$C$51)))</x:f>
        <x:v>0.07413659650558099</x:v>
      </x:c>
      <x:c r="L441" s="133" t="n">
        <x:f>(('Assumptions'!$B$17*(1+G441)+'Assumptions'!$B$18)*(1-H441-'Assumptions'!$B$20)-SUM('Assumptions'!$B$21:$B$25)*(1+I441))-(('Assumptions'!$B$17*(1+G441)+'Assumptions'!$B$18)*(1-H441-'Assumptions'!$B$20)*'Assumptions'!$B$26)</x:f>
        <x:v>178890.62874069397</x:v>
      </x:c>
      <x:c r="M441" s="133" t="n">
        <x:f>'Assumptions'!$B$10*'Assumptions'!$B$33</x:f>
        <x:v>1950000</x:v>
      </x:c>
      <x:c r="N441" s="133" t="n">
        <x:f>-PMT(K441/12,'Assumptions'!$B$35*12,M441)*12</x:f>
        <x:v>162234.98011726202</x:v>
      </x:c>
      <x:c r="O441" s="133" t="n">
        <x:f>(L441*(1+'Assumptions'!$B$29)^('Assumptions'!$B$14/12)/J441)*(1-'Assumptions'!$B$42)-'Debt Schedule'!$F$9</x:f>
        <x:v>3009096.6246583047</x:v>
      </x:c>
      <x:c r="P441" s="132" t="n">
        <x:f>((O441+(L441-N441-'Assumptions'!$B$27-'Assumptions'!$B$28)*('Assumptions'!$B$14/12))/ABS('Monthly Cash Flow'!$S$5))^(1/('Assumptions'!$B$14/12))-1</x:f>
        <x:v>0.1744391090226729</x:v>
      </x:c>
      <x:c r="Q441" s="133" t="n">
        <x:f>-ABS('Monthly Cash Flow'!$S$5)+((L441-N441-'Assumptions'!$B$27-'Assumptions'!$B$28)*(1-(1+'Assumptions'!$B$43)^-('Assumptions'!$B$14/12))/'Assumptions'!$B$43)+(O441/(1+'Assumptions'!$B$43)^('Assumptions'!$B$14/12))</x:f>
        <x:v>485418.79905695585</x:v>
      </x:c>
    </x:row>
    <x:row r="442">
      <x:c r="A442" s="131" t="n">
        <x:f>435</x:f>
        <x:v>435</x:v>
      </x:c>
      <x:c r="B442" s="131" t="n">
        <x:f>MOD(ABS(SIN((A442+1)*12.9898+78.233)*43758.5453),1)</x:f>
        <x:v>0.36877207065117545</x:v>
      </x:c>
      <x:c r="C442" s="131" t="n">
        <x:f>MOD(ABS(SIN((A442+2)*12.9898+78.233)*43758.5453),1)</x:f>
        <x:v>0.45831806395290187</x:v>
      </x:c>
      <x:c r="D442" s="131" t="n">
        <x:f>MOD(ABS(SIN((A442+3)*12.9898+78.233)*43758.5453),1)</x:f>
        <x:v>0.2357849015515967</x:v>
      </x:c>
      <x:c r="E442" s="131" t="n">
        <x:f>MOD(ABS(SIN((A442+4)*12.9898+78.233)*43758.5453),1)</x:f>
        <x:v>0.754777069127158</x:v>
      </x:c>
      <x:c r="F442" s="131" t="n">
        <x:f>MOD(ABS(SIN((A442+5)*12.9898+78.233)*43758.5453),1)</x:f>
        <x:v>0.4735389009474602</x:v>
      </x:c>
      <x:c r="G442" s="132" t="n">
        <x:f>IF(B442&lt;(('Assumptions'!$C$47-'Assumptions'!$B$47)/('Assumptions'!$D$47-'Assumptions'!$B$47)),'Assumptions'!$B$47+SQRT(B442*('Assumptions'!$D$47-'Assumptions'!$B$47)*('Assumptions'!$C$47-'Assumptions'!$B$47)),'Assumptions'!$D$47-SQRT((1-B442)*('Assumptions'!$D$47-'Assumptions'!$B$47)*('Assumptions'!$D$47-'Assumptions'!$C$47)))</x:f>
        <x:v>-0.005922746130490125</x:v>
      </x:c>
      <x:c r="H442" s="132" t="n">
        <x:f>IF(C442&lt;(('Assumptions'!$C$48-'Assumptions'!$B$48)/('Assumptions'!$D$48-'Assumptions'!$B$48)),'Assumptions'!$B$48+SQRT(C442*('Assumptions'!$D$48-'Assumptions'!$B$48)*('Assumptions'!$C$48-'Assumptions'!$B$48)),'Assumptions'!$D$48-SQRT((1-C442)*('Assumptions'!$D$48-'Assumptions'!$B$48)*('Assumptions'!$D$48-'Assumptions'!$C$48)))</x:f>
        <x:v>0.07095797629548752</x:v>
      </x:c>
      <x:c r="I442" s="132" t="n">
        <x:f>IF(D442&lt;(('Assumptions'!$C$49-'Assumptions'!$B$49)/('Assumptions'!$D$49-'Assumptions'!$B$49)),'Assumptions'!$B$49+SQRT(D442*('Assumptions'!$D$49-'Assumptions'!$B$49)*('Assumptions'!$C$49-'Assumptions'!$B$49)),'Assumptions'!$D$49-SQRT((1-D442)*('Assumptions'!$D$49-'Assumptions'!$B$49)*('Assumptions'!$D$49-'Assumptions'!$C$49)))</x:f>
        <x:v>0.020462629110632395</x:v>
      </x:c>
      <x:c r="J442" s="132" t="n">
        <x:f>IF(E442&lt;(('Assumptions'!$C$50-'Assumptions'!$B$50)/('Assumptions'!$D$50-'Assumptions'!$B$50)),'Assumptions'!$B$50+SQRT(E442*('Assumptions'!$D$50-'Assumptions'!$B$50)*('Assumptions'!$C$50-'Assumptions'!$B$50)),'Assumptions'!$D$50-SQRT((1-E442)*('Assumptions'!$D$50-'Assumptions'!$B$50)*('Assumptions'!$D$50-'Assumptions'!$C$50)))</x:f>
        <x:v>0.0716952453794235</x:v>
      </x:c>
      <x:c r="K442" s="132" t="n">
        <x:f>IF(F442&lt;(('Assumptions'!$C$51-'Assumptions'!$B$51)/('Assumptions'!$D$51-'Assumptions'!$B$51)),'Assumptions'!$B$51+SQRT(F442*('Assumptions'!$D$51-'Assumptions'!$B$51)*('Assumptions'!$C$51-'Assumptions'!$B$51)),'Assumptions'!$D$51-SQRT((1-F442)*('Assumptions'!$D$51-'Assumptions'!$B$51)*('Assumptions'!$D$51-'Assumptions'!$C$51)))</x:f>
        <x:v>0.06908273252348146</x:v>
      </x:c>
      <x:c r="L442" s="133" t="n">
        <x:f>(('Assumptions'!$B$17*(1+G442)+'Assumptions'!$B$18)*(1-H442-'Assumptions'!$B$20)-SUM('Assumptions'!$B$21:$B$25)*(1+I442))-(('Assumptions'!$B$17*(1+G442)+'Assumptions'!$B$18)*(1-H442-'Assumptions'!$B$20)*'Assumptions'!$B$26)</x:f>
        <x:v>203042.4901989695</x:v>
      </x:c>
      <x:c r="M442" s="133" t="n">
        <x:f>'Assumptions'!$B$10*'Assumptions'!$B$33</x:f>
        <x:v>1950000</x:v>
      </x:c>
      <x:c r="N442" s="133" t="n">
        <x:f>-PMT(K442/12,'Assumptions'!$B$35*12,M442)*12</x:f>
        <x:v>154241.94238504002</x:v>
      </x:c>
      <x:c r="O442" s="133" t="n">
        <x:f>(L442*(1+'Assumptions'!$B$29)^('Assumptions'!$B$14/12)/J442)*(1-'Assumptions'!$B$42)-'Debt Schedule'!$F$9</x:f>
        <x:v>3086103.9669492473</x:v>
      </x:c>
      <x:c r="P442" s="132" t="n">
        <x:f>((O442+(L442-N442-'Assumptions'!$B$27-'Assumptions'!$B$28)*('Assumptions'!$B$14/12))/ABS('Monthly Cash Flow'!$S$5))^(1/('Assumptions'!$B$14/12))-1</x:f>
        <x:v>0.1931400329094055</x:v>
      </x:c>
      <x:c r="Q442" s="133" t="n">
        <x:f>-ABS('Monthly Cash Flow'!$S$5)+((L442-N442-'Assumptions'!$B$27-'Assumptions'!$B$28)*(1-(1+'Assumptions'!$B$43)^-('Assumptions'!$B$14/12))/'Assumptions'!$B$43)+(O442/(1+'Assumptions'!$B$43)^('Assumptions'!$B$14/12))</x:f>
        <x:v>655088.7584728235</x:v>
      </x:c>
    </x:row>
    <x:row r="443">
      <x:c r="A443" s="131" t="n">
        <x:f>436</x:f>
        <x:v>436</x:v>
      </x:c>
      <x:c r="B443" s="131" t="n">
        <x:f>MOD(ABS(SIN((A443+1)*12.9898+78.233)*43758.5453),1)</x:f>
        <x:v>0.45831806395290187</x:v>
      </x:c>
      <x:c r="C443" s="131" t="n">
        <x:f>MOD(ABS(SIN((A443+2)*12.9898+78.233)*43758.5453),1)</x:f>
        <x:v>0.2357849015515967</x:v>
      </x:c>
      <x:c r="D443" s="131" t="n">
        <x:f>MOD(ABS(SIN((A443+3)*12.9898+78.233)*43758.5453),1)</x:f>
        <x:v>0.754777069127158</x:v>
      </x:c>
      <x:c r="E443" s="131" t="n">
        <x:f>MOD(ABS(SIN((A443+4)*12.9898+78.233)*43758.5453),1)</x:f>
        <x:v>0.4735389009474602</x:v>
      </x:c>
      <x:c r="F443" s="131" t="n">
        <x:f>MOD(ABS(SIN((A443+5)*12.9898+78.233)*43758.5453),1)</x:f>
        <x:v>0.08483035034441855</x:v>
      </x:c>
      <x:c r="G443" s="132" t="n">
        <x:f>IF(B443&lt;(('Assumptions'!$C$47-'Assumptions'!$B$47)/('Assumptions'!$D$47-'Assumptions'!$B$47)),'Assumptions'!$B$47+SQRT(B443*('Assumptions'!$D$47-'Assumptions'!$B$47)*('Assumptions'!$C$47-'Assumptions'!$B$47)),'Assumptions'!$D$47-SQRT((1-B443)*('Assumptions'!$D$47-'Assumptions'!$B$47)*('Assumptions'!$D$47-'Assumptions'!$C$47)))</x:f>
        <x:v>0.004879137748503848</x:v>
      </x:c>
      <x:c r="H443" s="132" t="n">
        <x:f>IF(C443&lt;(('Assumptions'!$C$48-'Assumptions'!$B$48)/('Assumptions'!$D$48-'Assumptions'!$B$48)),'Assumptions'!$B$48+SQRT(C443*('Assumptions'!$D$48-'Assumptions'!$B$48)*('Assumptions'!$C$48-'Assumptions'!$B$48)),'Assumptions'!$D$48-SQRT((1-C443)*('Assumptions'!$D$48-'Assumptions'!$B$48)*('Assumptions'!$D$48-'Assumptions'!$C$48)))</x:f>
        <x:v>0.057894267782472246</x:v>
      </x:c>
      <x:c r="I443" s="132" t="n">
        <x:f>IF(D443&lt;(('Assumptions'!$C$49-'Assumptions'!$B$49)/('Assumptions'!$D$49-'Assumptions'!$B$49)),'Assumptions'!$B$49+SQRT(D443*('Assumptions'!$D$49-'Assumptions'!$B$49)*('Assumptions'!$C$49-'Assumptions'!$B$49)),'Assumptions'!$D$49-SQRT((1-D443)*('Assumptions'!$D$49-'Assumptions'!$B$49)*('Assumptions'!$D$49-'Assumptions'!$C$49)))</x:f>
        <x:v>0.07722077695623986</x:v>
      </x:c>
      <x:c r="J443" s="132" t="n">
        <x:f>IF(E443&lt;(('Assumptions'!$C$50-'Assumptions'!$B$50)/('Assumptions'!$D$50-'Assumptions'!$B$50)),'Assumptions'!$B$50+SQRT(E443*('Assumptions'!$D$50-'Assumptions'!$B$50)*('Assumptions'!$C$50-'Assumptions'!$B$50)),'Assumptions'!$D$50-SQRT((1-E443)*('Assumptions'!$D$50-'Assumptions'!$B$50)*('Assumptions'!$D$50-'Assumptions'!$C$50)))</x:f>
        <x:v>0.06783171400284631</x:v>
      </x:c>
      <x:c r="K443" s="132" t="n">
        <x:f>IF(F443&lt;(('Assumptions'!$C$51-'Assumptions'!$B$51)/('Assumptions'!$D$51-'Assumptions'!$B$51)),'Assumptions'!$B$51+SQRT(F443*('Assumptions'!$D$51-'Assumptions'!$B$51)*('Assumptions'!$C$51-'Assumptions'!$B$51)),'Assumptions'!$D$51-SQRT((1-F443)*('Assumptions'!$D$51-'Assumptions'!$B$51)*('Assumptions'!$D$51-'Assumptions'!$C$51)))</x:f>
        <x:v>0.06232994268544826</x:v>
      </x:c>
      <x:c r="L443" s="133" t="n">
        <x:f>(('Assumptions'!$B$17*(1+G443)+'Assumptions'!$B$18)*(1-H443-'Assumptions'!$B$20)-SUM('Assumptions'!$B$21:$B$25)*(1+I443))-(('Assumptions'!$B$17*(1+G443)+'Assumptions'!$B$18)*(1-H443-'Assumptions'!$B$20)*'Assumptions'!$B$26)</x:f>
        <x:v>204084.45486493089</x:v>
      </x:c>
      <x:c r="M443" s="133" t="n">
        <x:f>'Assumptions'!$B$10*'Assumptions'!$B$33</x:f>
        <x:v>1950000</x:v>
      </x:c>
      <x:c r="N443" s="133" t="n">
        <x:f>-PMT(K443/12,'Assumptions'!$B$35*12,M443)*12</x:f>
        <x:v>143819.1152666969</x:v>
      </x:c>
      <x:c r="O443" s="133" t="n">
        <x:f>(L443*(1+'Assumptions'!$B$29)^('Assumptions'!$B$14/12)/J443)*(1-'Assumptions'!$B$42)-'Debt Schedule'!$F$9</x:f>
        <x:v>3278620.2105062115</x:v>
      </x:c>
      <x:c r="P443" s="132" t="n">
        <x:f>((O443+(L443-N443-'Assumptions'!$B$27-'Assumptions'!$B$28)*('Assumptions'!$B$14/12))/ABS('Monthly Cash Flow'!$S$5))^(1/('Assumptions'!$B$14/12))-1</x:f>
        <x:v>0.21160641683529535</x:v>
      </x:c>
      <x:c r="Q443" s="133" t="n">
        <x:f>-ABS('Monthly Cash Flow'!$S$5)+((L443-N443-'Assumptions'!$B$27-'Assumptions'!$B$28)*(1-(1+'Assumptions'!$B$43)^-('Assumptions'!$B$14/12))/'Assumptions'!$B$43)+(O443/(1+'Assumptions'!$B$43)^('Assumptions'!$B$14/12))</x:f>
        <x:v>818086.7801425564</x:v>
      </x:c>
    </x:row>
    <x:row r="444">
      <x:c r="A444" s="131" t="n">
        <x:f>437</x:f>
        <x:v>437</x:v>
      </x:c>
      <x:c r="B444" s="131" t="n">
        <x:f>MOD(ABS(SIN((A444+1)*12.9898+78.233)*43758.5453),1)</x:f>
        <x:v>0.2357849015515967</x:v>
      </x:c>
      <x:c r="C444" s="131" t="n">
        <x:f>MOD(ABS(SIN((A444+2)*12.9898+78.233)*43758.5453),1)</x:f>
        <x:v>0.754777069127158</x:v>
      </x:c>
      <x:c r="D444" s="131" t="n">
        <x:f>MOD(ABS(SIN((A444+3)*12.9898+78.233)*43758.5453),1)</x:f>
        <x:v>0.4735389009474602</x:v>
      </x:c>
      <x:c r="E444" s="131" t="n">
        <x:f>MOD(ABS(SIN((A444+4)*12.9898+78.233)*43758.5453),1)</x:f>
        <x:v>0.08483035034441855</x:v>
      </x:c>
      <x:c r="F444" s="131" t="n">
        <x:f>MOD(ABS(SIN((A444+5)*12.9898+78.233)*43758.5453),1)</x:f>
        <x:v>0.9256218637528946</x:v>
      </x:c>
      <x:c r="G444" s="132" t="n">
        <x:f>IF(B444&lt;(('Assumptions'!$C$47-'Assumptions'!$B$47)/('Assumptions'!$D$47-'Assumptions'!$B$47)),'Assumptions'!$B$47+SQRT(B444*('Assumptions'!$D$47-'Assumptions'!$B$47)*('Assumptions'!$C$47-'Assumptions'!$B$47)),'Assumptions'!$D$47-SQRT((1-B444)*('Assumptions'!$D$47-'Assumptions'!$B$47)*('Assumptions'!$D$47-'Assumptions'!$C$47)))</x:f>
        <x:v>-0.024774753990177478</x:v>
      </x:c>
      <x:c r="H444" s="132" t="n">
        <x:f>IF(C444&lt;(('Assumptions'!$C$48-'Assumptions'!$B$48)/('Assumptions'!$D$48-'Assumptions'!$B$48)),'Assumptions'!$B$48+SQRT(C444*('Assumptions'!$D$48-'Assumptions'!$B$48)*('Assumptions'!$C$48-'Assumptions'!$B$48)),'Assumptions'!$D$48-SQRT((1-C444)*('Assumptions'!$D$48-'Assumptions'!$B$48)*('Assumptions'!$D$48-'Assumptions'!$C$48)))</x:f>
        <x:v>0.09354613265097286</x:v>
      </x:c>
      <x:c r="I444" s="132" t="n">
        <x:f>IF(D444&lt;(('Assumptions'!$C$49-'Assumptions'!$B$49)/('Assumptions'!$D$49-'Assumptions'!$B$49)),'Assumptions'!$B$49+SQRT(D444*('Assumptions'!$D$49-'Assumptions'!$B$49)*('Assumptions'!$C$49-'Assumptions'!$B$49)),'Assumptions'!$D$49-SQRT((1-D444)*('Assumptions'!$D$49-'Assumptions'!$B$49)*('Assumptions'!$D$49-'Assumptions'!$C$49)))</x:f>
        <x:v>0.0433624843709548</x:v>
      </x:c>
      <x:c r="J444" s="132" t="n">
        <x:f>IF(E444&lt;(('Assumptions'!$C$50-'Assumptions'!$B$50)/('Assumptions'!$D$50-'Assumptions'!$B$50)),'Assumptions'!$B$50+SQRT(E444*('Assumptions'!$D$50-'Assumptions'!$B$50)*('Assumptions'!$C$50-'Assumptions'!$B$50)),'Assumptions'!$D$50-SQRT((1-E444)*('Assumptions'!$D$50-'Assumptions'!$B$50)*('Assumptions'!$D$50-'Assumptions'!$C$50)))</x:f>
        <x:v>0.061868847539969116</x:v>
      </x:c>
      <x:c r="K444" s="132" t="n">
        <x:f>IF(F444&lt;(('Assumptions'!$C$51-'Assumptions'!$B$51)/('Assumptions'!$D$51-'Assumptions'!$B$51)),'Assumptions'!$B$51+SQRT(F444*('Assumptions'!$D$51-'Assumptions'!$B$51)*('Assumptions'!$C$51-'Assumptions'!$B$51)),'Assumptions'!$D$51-SQRT((1-F444)*('Assumptions'!$D$51-'Assumptions'!$B$51)*('Assumptions'!$D$51-'Assumptions'!$C$51)))</x:f>
        <x:v>0.07901715134163337</x:v>
      </x:c>
      <x:c r="L444" s="133" t="n">
        <x:f>(('Assumptions'!$B$17*(1+G444)+'Assumptions'!$B$18)*(1-H444-'Assumptions'!$B$20)-SUM('Assumptions'!$B$21:$B$25)*(1+I444))-(('Assumptions'!$B$17*(1+G444)+'Assumptions'!$B$18)*(1-H444-'Assumptions'!$B$20)*'Assumptions'!$B$26)</x:f>
        <x:v>186165.92940910358</x:v>
      </x:c>
      <x:c r="M444" s="133" t="n">
        <x:f>'Assumptions'!$B$10*'Assumptions'!$B$33</x:f>
        <x:v>1950000</x:v>
      </x:c>
      <x:c r="N444" s="133" t="n">
        <x:f>-PMT(K444/12,'Assumptions'!$B$35*12,M444)*12</x:f>
        <x:v>170100.34720617798</x:v>
      </x:c>
      <x:c r="O444" s="133" t="n">
        <x:f>(L444*(1+'Assumptions'!$B$29)^('Assumptions'!$B$14/12)/J444)*(1-'Assumptions'!$B$42)-'Debt Schedule'!$F$9</x:f>
        <x:v>3279005.564504212</x:v>
      </x:c>
      <x:c r="P444" s="132" t="n">
        <x:f>((O444+(L444-N444-'Assumptions'!$B$27-'Assumptions'!$B$28)*('Assumptions'!$B$14/12))/ABS('Monthly Cash Flow'!$S$5))^(1/('Assumptions'!$B$14/12))-1</x:f>
        <x:v>0.19535990041359885</x:v>
      </x:c>
      <x:c r="Q444" s="133" t="n">
        <x:f>-ABS('Monthly Cash Flow'!$S$5)+((L444-N444-'Assumptions'!$B$27-'Assumptions'!$B$28)*(1-(1+'Assumptions'!$B$43)^-('Assumptions'!$B$14/12))/'Assumptions'!$B$43)+(O444/(1+'Assumptions'!$B$43)^('Assumptions'!$B$14/12))</x:f>
        <x:v>650774.1991116425</x:v>
      </x:c>
    </x:row>
    <x:row r="445">
      <x:c r="A445" s="131" t="n">
        <x:f>438</x:f>
        <x:v>438</x:v>
      </x:c>
      <x:c r="B445" s="131" t="n">
        <x:f>MOD(ABS(SIN((A445+1)*12.9898+78.233)*43758.5453),1)</x:f>
        <x:v>0.754777069127158</x:v>
      </x:c>
      <x:c r="C445" s="131" t="n">
        <x:f>MOD(ABS(SIN((A445+2)*12.9898+78.233)*43758.5453),1)</x:f>
        <x:v>0.4735389009474602</x:v>
      </x:c>
      <x:c r="D445" s="131" t="n">
        <x:f>MOD(ABS(SIN((A445+3)*12.9898+78.233)*43758.5453),1)</x:f>
        <x:v>0.08483035034441855</x:v>
      </x:c>
      <x:c r="E445" s="131" t="n">
        <x:f>MOD(ABS(SIN((A445+4)*12.9898+78.233)*43758.5453),1)</x:f>
        <x:v>0.9256218637528946</x:v>
      </x:c>
      <x:c r="F445" s="131" t="n">
        <x:f>MOD(ABS(SIN((A445+5)*12.9898+78.233)*43758.5453),1)</x:f>
        <x:v>0.9007322898542043</x:v>
      </x:c>
      <x:c r="G445" s="132" t="n">
        <x:f>IF(B445&lt;(('Assumptions'!$C$47-'Assumptions'!$B$47)/('Assumptions'!$D$47-'Assumptions'!$B$47)),'Assumptions'!$B$47+SQRT(B445*('Assumptions'!$D$47-'Assumptions'!$B$47)*('Assumptions'!$C$47-'Assumptions'!$B$47)),'Assumptions'!$D$47-SQRT((1-B445)*('Assumptions'!$D$47-'Assumptions'!$B$47)*('Assumptions'!$D$47-'Assumptions'!$C$47)))</x:f>
        <x:v>0.037361618044800426</x:v>
      </x:c>
      <x:c r="H445" s="132" t="n">
        <x:f>IF(C445&lt;(('Assumptions'!$C$48-'Assumptions'!$B$48)/('Assumptions'!$D$48-'Assumptions'!$B$48)),'Assumptions'!$B$48+SQRT(C445*('Assumptions'!$D$48-'Assumptions'!$B$48)*('Assumptions'!$C$48-'Assumptions'!$B$48)),'Assumptions'!$D$48-SQRT((1-C445)*('Assumptions'!$D$48-'Assumptions'!$B$48)*('Assumptions'!$D$48-'Assumptions'!$C$48)))</x:f>
        <x:v>0.07193490122197463</x:v>
      </x:c>
      <x:c r="I445" s="132" t="n">
        <x:f>IF(D445&lt;(('Assumptions'!$C$49-'Assumptions'!$B$49)/('Assumptions'!$D$49-'Assumptions'!$B$49)),'Assumptions'!$B$49+SQRT(D445*('Assumptions'!$D$49-'Assumptions'!$B$49)*('Assumptions'!$C$49-'Assumptions'!$B$49)),'Assumptions'!$D$49-SQRT((1-D445)*('Assumptions'!$D$49-'Assumptions'!$B$49)*('Assumptions'!$D$49-'Assumptions'!$C$49)))</x:f>
        <x:v>0.00026826363899522254</x:v>
      </x:c>
      <x:c r="J445" s="132" t="n">
        <x:f>IF(E445&lt;(('Assumptions'!$C$50-'Assumptions'!$B$50)/('Assumptions'!$D$50-'Assumptions'!$B$50)),'Assumptions'!$B$50+SQRT(E445*('Assumptions'!$D$50-'Assumptions'!$B$50)*('Assumptions'!$C$50-'Assumptions'!$B$50)),'Assumptions'!$D$50-SQRT((1-E445)*('Assumptions'!$D$50-'Assumptions'!$B$50)*('Assumptions'!$D$50-'Assumptions'!$C$50)))</x:f>
        <x:v>0.07542628697670062</x:v>
      </x:c>
      <x:c r="K445" s="132" t="n">
        <x:f>IF(F445&lt;(('Assumptions'!$C$51-'Assumptions'!$B$51)/('Assumptions'!$D$51-'Assumptions'!$B$51)),'Assumptions'!$B$51+SQRT(F445*('Assumptions'!$D$51-'Assumptions'!$B$51)*('Assumptions'!$C$51-'Assumptions'!$B$51)),'Assumptions'!$D$51-SQRT((1-F445)*('Assumptions'!$D$51-'Assumptions'!$B$51)*('Assumptions'!$D$51-'Assumptions'!$C$51)))</x:f>
        <x:v>0.07808822848267796</x:v>
      </x:c>
      <x:c r="L445" s="133" t="n">
        <x:f>(('Assumptions'!$B$17*(1+G445)+'Assumptions'!$B$18)*(1-H445-'Assumptions'!$B$20)-SUM('Assumptions'!$B$21:$B$25)*(1+I445))-(('Assumptions'!$B$17*(1+G445)+'Assumptions'!$B$18)*(1-H445-'Assumptions'!$B$20)*'Assumptions'!$B$26)</x:f>
        <x:v>218967.87922307118</x:v>
      </x:c>
      <x:c r="M445" s="133" t="n">
        <x:f>'Assumptions'!$B$10*'Assumptions'!$B$33</x:f>
        <x:v>1950000</x:v>
      </x:c>
      <x:c r="N445" s="133" t="n">
        <x:f>-PMT(K445/12,'Assumptions'!$B$35*12,M445)*12</x:f>
        <x:v>168592.64127121694</x:v>
      </x:c>
      <x:c r="O445" s="133" t="n">
        <x:f>(L445*(1+'Assumptions'!$B$29)^('Assumptions'!$B$14/12)/J445)*(1-'Assumptions'!$B$42)-'Debt Schedule'!$F$9</x:f>
        <x:v>3163527.835225439</x:v>
      </x:c>
      <x:c r="P445" s="132" t="n">
        <x:f>((O445+(L445-N445-'Assumptions'!$B$27-'Assumptions'!$B$28)*('Assumptions'!$B$14/12))/ABS('Monthly Cash Flow'!$S$5))^(1/('Assumptions'!$B$14/12))-1</x:f>
        <x:v>0.1995730474156201</x:v>
      </x:c>
      <x:c r="Q445" s="133" t="n">
        <x:f>-ABS('Monthly Cash Flow'!$S$5)+((L445-N445-'Assumptions'!$B$27-'Assumptions'!$B$28)*(1-(1+'Assumptions'!$B$43)^-('Assumptions'!$B$14/12))/'Assumptions'!$B$43)+(O445/(1+'Assumptions'!$B$43)^('Assumptions'!$B$14/12))</x:f>
        <x:v>709132.2037399975</x:v>
      </x:c>
    </x:row>
    <x:row r="446">
      <x:c r="A446" s="131" t="n">
        <x:f>439</x:f>
        <x:v>439</x:v>
      </x:c>
      <x:c r="B446" s="131" t="n">
        <x:f>MOD(ABS(SIN((A446+1)*12.9898+78.233)*43758.5453),1)</x:f>
        <x:v>0.4735389009474602</x:v>
      </x:c>
      <x:c r="C446" s="131" t="n">
        <x:f>MOD(ABS(SIN((A446+2)*12.9898+78.233)*43758.5453),1)</x:f>
        <x:v>0.08483035034441855</x:v>
      </x:c>
      <x:c r="D446" s="131" t="n">
        <x:f>MOD(ABS(SIN((A446+3)*12.9898+78.233)*43758.5453),1)</x:f>
        <x:v>0.9256218637528946</x:v>
      </x:c>
      <x:c r="E446" s="131" t="n">
        <x:f>MOD(ABS(SIN((A446+4)*12.9898+78.233)*43758.5453),1)</x:f>
        <x:v>0.9007322898542043</x:v>
      </x:c>
      <x:c r="F446" s="131" t="n">
        <x:f>MOD(ABS(SIN((A446+5)*12.9898+78.233)*43758.5453),1)</x:f>
        <x:v>0.1754914881348668</x:v>
      </x:c>
      <x:c r="G446" s="132" t="n">
        <x:f>IF(B446&lt;(('Assumptions'!$C$47-'Assumptions'!$B$47)/('Assumptions'!$D$47-'Assumptions'!$B$47)),'Assumptions'!$B$47+SQRT(B446*('Assumptions'!$D$47-'Assumptions'!$B$47)*('Assumptions'!$C$47-'Assumptions'!$B$47)),'Assumptions'!$D$47-SQRT((1-B446)*('Assumptions'!$D$47-'Assumptions'!$B$47)*('Assumptions'!$D$47-'Assumptions'!$C$47)))</x:f>
        <x:v>0.006606442688699851</x:v>
      </x:c>
      <x:c r="H446" s="132" t="n">
        <x:f>IF(C446&lt;(('Assumptions'!$C$48-'Assumptions'!$B$48)/('Assumptions'!$D$48-'Assumptions'!$B$48)),'Assumptions'!$B$48+SQRT(C446*('Assumptions'!$D$48-'Assumptions'!$B$48)*('Assumptions'!$C$48-'Assumptions'!$B$48)),'Assumptions'!$D$48-SQRT((1-C446)*('Assumptions'!$D$48-'Assumptions'!$B$48)*('Assumptions'!$D$48-'Assumptions'!$C$48)))</x:f>
        <x:v>0.04673141225768408</x:v>
      </x:c>
      <x:c r="I446" s="132" t="n">
        <x:f>IF(D446&lt;(('Assumptions'!$C$49-'Assumptions'!$B$49)/('Assumptions'!$D$49-'Assumptions'!$B$49)),'Assumptions'!$B$49+SQRT(D446*('Assumptions'!$D$49-'Assumptions'!$B$49)*('Assumptions'!$C$49-'Assumptions'!$B$49)),'Assumptions'!$D$49-SQRT((1-D446)*('Assumptions'!$D$49-'Assumptions'!$B$49)*('Assumptions'!$D$49-'Assumptions'!$C$49)))</x:f>
        <x:v>0.10991798728934041</x:v>
      </x:c>
      <x:c r="J446" s="132" t="n">
        <x:f>IF(E446&lt;(('Assumptions'!$C$50-'Assumptions'!$B$50)/('Assumptions'!$D$50-'Assumptions'!$B$50)),'Assumptions'!$B$50+SQRT(E446*('Assumptions'!$D$50-'Assumptions'!$B$50)*('Assumptions'!$C$50-'Assumptions'!$B$50)),'Assumptions'!$D$50-SQRT((1-E446)*('Assumptions'!$D$50-'Assumptions'!$B$50)*('Assumptions'!$D$50-'Assumptions'!$C$50)))</x:f>
        <x:v>0.07471615258750737</x:v>
      </x:c>
      <x:c r="K446" s="132" t="n">
        <x:f>IF(F446&lt;(('Assumptions'!$C$51-'Assumptions'!$B$51)/('Assumptions'!$D$51-'Assumptions'!$B$51)),'Assumptions'!$B$51+SQRT(F446*('Assumptions'!$D$51-'Assumptions'!$B$51)*('Assumptions'!$C$51-'Assumptions'!$B$51)),'Assumptions'!$D$51-SQRT((1-F446)*('Assumptions'!$D$51-'Assumptions'!$B$51)*('Assumptions'!$D$51-'Assumptions'!$C$51)))</x:f>
        <x:v>0.06444695323412274</x:v>
      </x:c>
      <x:c r="L446" s="133" t="n">
        <x:f>(('Assumptions'!$B$17*(1+G446)+'Assumptions'!$B$18)*(1-H446-'Assumptions'!$B$20)-SUM('Assumptions'!$B$21:$B$25)*(1+I446))-(('Assumptions'!$B$17*(1+G446)+'Assumptions'!$B$18)*(1-H446-'Assumptions'!$B$20)*'Assumptions'!$B$26)</x:f>
        <x:v>204597.2969148085</x:v>
      </x:c>
      <x:c r="M446" s="133" t="n">
        <x:f>'Assumptions'!$B$10*'Assumptions'!$B$33</x:f>
        <x:v>1950000</x:v>
      </x:c>
      <x:c r="N446" s="133" t="n">
        <x:f>-PMT(K446/12,'Assumptions'!$B$35*12,M446)*12</x:f>
        <x:v>147053.86081743633</x:v>
      </x:c>
      <x:c r="O446" s="133" t="n">
        <x:f>(L446*(1+'Assumptions'!$B$29)^('Assumptions'!$B$14/12)/J446)*(1-'Assumptions'!$B$42)-'Debt Schedule'!$F$9</x:f>
        <x:v>2984003.776224462</x:v>
      </x:c>
      <x:c r="P446" s="132" t="n">
        <x:f>((O446+(L446-N446-'Assumptions'!$B$27-'Assumptions'!$B$28)*('Assumptions'!$B$14/12))/ABS('Monthly Cash Flow'!$S$5))^(1/('Assumptions'!$B$14/12))-1</x:f>
        <x:v>0.18865532747840352</x:v>
      </x:c>
      <x:c r="Q446" s="133" t="n">
        <x:f>-ABS('Monthly Cash Flow'!$S$5)+((L446-N446-'Assumptions'!$B$27-'Assumptions'!$B$28)*(1-(1+'Assumptions'!$B$43)^-('Assumptions'!$B$14/12))/'Assumptions'!$B$43)+(O446/(1+'Assumptions'!$B$43)^('Assumptions'!$B$14/12))</x:f>
        <x:v>624834.9981946885</x:v>
      </x:c>
    </x:row>
    <x:row r="447">
      <x:c r="A447" s="131" t="n">
        <x:f>440</x:f>
        <x:v>440</x:v>
      </x:c>
      <x:c r="B447" s="131" t="n">
        <x:f>MOD(ABS(SIN((A447+1)*12.9898+78.233)*43758.5453),1)</x:f>
        <x:v>0.08483035034441855</x:v>
      </x:c>
      <x:c r="C447" s="131" t="n">
        <x:f>MOD(ABS(SIN((A447+2)*12.9898+78.233)*43758.5453),1)</x:f>
        <x:v>0.9256218637528946</x:v>
      </x:c>
      <x:c r="D447" s="131" t="n">
        <x:f>MOD(ABS(SIN((A447+3)*12.9898+78.233)*43758.5453),1)</x:f>
        <x:v>0.9007322898542043</x:v>
      </x:c>
      <x:c r="E447" s="131" t="n">
        <x:f>MOD(ABS(SIN((A447+4)*12.9898+78.233)*43758.5453),1)</x:f>
        <x:v>0.1754914881348668</x:v>
      </x:c>
      <x:c r="F447" s="131" t="n">
        <x:f>MOD(ABS(SIN((A447+5)*12.9898+78.233)*43758.5453),1)</x:f>
        <x:v>0.42951928239199333</x:v>
      </x:c>
      <x:c r="G447" s="132" t="n">
        <x:f>IF(B447&lt;(('Assumptions'!$C$47-'Assumptions'!$B$47)/('Assumptions'!$D$47-'Assumptions'!$B$47)),'Assumptions'!$B$47+SQRT(B447*('Assumptions'!$D$47-'Assumptions'!$B$47)*('Assumptions'!$C$47-'Assumptions'!$B$47)),'Assumptions'!$D$47-SQRT((1-B447)*('Assumptions'!$D$47-'Assumptions'!$B$47)*('Assumptions'!$D$47-'Assumptions'!$C$47)))</x:f>
        <x:v>-0.05487873662821435</x:v>
      </x:c>
      <x:c r="H447" s="132" t="n">
        <x:f>IF(C447&lt;(('Assumptions'!$C$48-'Assumptions'!$B$48)/('Assumptions'!$D$48-'Assumptions'!$B$48)),'Assumptions'!$B$48+SQRT(C447*('Assumptions'!$D$48-'Assumptions'!$B$48)*('Assumptions'!$C$48-'Assumptions'!$B$48)),'Assumptions'!$D$48-SQRT((1-C447)*('Assumptions'!$D$48-'Assumptions'!$B$48)*('Assumptions'!$D$48-'Assumptions'!$C$48)))</x:f>
        <x:v>0.11441626299825361</x:v>
      </x:c>
      <x:c r="I447" s="132" t="n">
        <x:f>IF(D447&lt;(('Assumptions'!$C$49-'Assumptions'!$B$49)/('Assumptions'!$D$49-'Assumptions'!$B$49)),'Assumptions'!$B$49+SQRT(D447*('Assumptions'!$D$49-'Assumptions'!$B$49)*('Assumptions'!$C$49-'Assumptions'!$B$49)),'Assumptions'!$D$49-SQRT((1-D447)*('Assumptions'!$D$49-'Assumptions'!$B$49)*('Assumptions'!$D$49-'Assumptions'!$C$49)))</x:f>
        <x:v>0.10369468130819973</x:v>
      </x:c>
      <x:c r="J447" s="132" t="n">
        <x:f>IF(E447&lt;(('Assumptions'!$C$50-'Assumptions'!$B$50)/('Assumptions'!$D$50-'Assumptions'!$B$50)),'Assumptions'!$B$50+SQRT(E447*('Assumptions'!$D$50-'Assumptions'!$B$50)*('Assumptions'!$C$50-'Assumptions'!$B$50)),'Assumptions'!$D$50-SQRT((1-E447)*('Assumptions'!$D$50-'Assumptions'!$B$50)*('Assumptions'!$D$50-'Assumptions'!$C$50)))</x:f>
        <x:v>0.06378375563101757</x:v>
      </x:c>
      <x:c r="K447" s="132" t="n">
        <x:f>IF(F447&lt;(('Assumptions'!$C$51-'Assumptions'!$B$51)/('Assumptions'!$D$51-'Assumptions'!$B$51)),'Assumptions'!$B$51+SQRT(F447*('Assumptions'!$D$51-'Assumptions'!$B$51)*('Assumptions'!$C$51-'Assumptions'!$B$51)),'Assumptions'!$D$51-SQRT((1-F447)*('Assumptions'!$D$51-'Assumptions'!$B$51)*('Assumptions'!$D$51-'Assumptions'!$C$51)))</x:f>
        <x:v>0.06843063533659624</x:v>
      </x:c>
      <x:c r="L447" s="133" t="n">
        <x:f>(('Assumptions'!$B$17*(1+G447)+'Assumptions'!$B$18)*(1-H447-'Assumptions'!$B$20)-SUM('Assumptions'!$B$21:$B$25)*(1+I447))-(('Assumptions'!$B$17*(1+G447)+'Assumptions'!$B$18)*(1-H447-'Assumptions'!$B$20)*'Assumptions'!$B$26)</x:f>
        <x:v>162059.89547267221</x:v>
      </x:c>
      <x:c r="M447" s="133" t="n">
        <x:f>'Assumptions'!$B$10*'Assumptions'!$B$33</x:f>
        <x:v>1950000</x:v>
      </x:c>
      <x:c r="N447" s="133" t="n">
        <x:f>-PMT(K447/12,'Assumptions'!$B$35*12,M447)*12</x:f>
        <x:v>153222.32800200628</x:v>
      </x:c>
      <x:c r="O447" s="133" t="n">
        <x:f>(L447*(1+'Assumptions'!$B$29)^('Assumptions'!$B$14/12)/J447)*(1-'Assumptions'!$B$42)-'Debt Schedule'!$F$9</x:f>
        <x:v>2768722.5915095476</x:v>
      </x:c>
      <x:c r="P447" s="132" t="n">
        <x:f>((O447+(L447-N447-'Assumptions'!$B$27-'Assumptions'!$B$28)*('Assumptions'!$B$14/12))/ABS('Monthly Cash Flow'!$S$5))^(1/('Assumptions'!$B$14/12))-1</x:f>
        <x:v>0.1508122959547078</x:v>
      </x:c>
      <x:c r="Q447" s="133" t="n">
        <x:f>-ABS('Monthly Cash Flow'!$S$5)+((L447-N447-'Assumptions'!$B$27-'Assumptions'!$B$28)*(1-(1+'Assumptions'!$B$43)^-('Assumptions'!$B$14/12))/'Assumptions'!$B$43)+(O447/(1+'Assumptions'!$B$43)^('Assumptions'!$B$14/12))</x:f>
        <x:v>306528.75776909734</x:v>
      </x:c>
    </x:row>
    <x:row r="448">
      <x:c r="A448" s="131" t="n">
        <x:f>441</x:f>
        <x:v>441</x:v>
      </x:c>
      <x:c r="B448" s="131" t="n">
        <x:f>MOD(ABS(SIN((A448+1)*12.9898+78.233)*43758.5453),1)</x:f>
        <x:v>0.9256218637528946</x:v>
      </x:c>
      <x:c r="C448" s="131" t="n">
        <x:f>MOD(ABS(SIN((A448+2)*12.9898+78.233)*43758.5453),1)</x:f>
        <x:v>0.9007322898542043</x:v>
      </x:c>
      <x:c r="D448" s="131" t="n">
        <x:f>MOD(ABS(SIN((A448+3)*12.9898+78.233)*43758.5453),1)</x:f>
        <x:v>0.1754914881348668</x:v>
      </x:c>
      <x:c r="E448" s="131" t="n">
        <x:f>MOD(ABS(SIN((A448+4)*12.9898+78.233)*43758.5453),1)</x:f>
        <x:v>0.42951928239199333</x:v>
      </x:c>
      <x:c r="F448" s="131" t="n">
        <x:f>MOD(ABS(SIN((A448+5)*12.9898+78.233)*43758.5453),1)</x:f>
        <x:v>0.596095716814034</x:v>
      </x:c>
      <x:c r="G448" s="132" t="n">
        <x:f>IF(B448&lt;(('Assumptions'!$C$47-'Assumptions'!$B$47)/('Assumptions'!$D$47-'Assumptions'!$B$47)),'Assumptions'!$B$47+SQRT(B448*('Assumptions'!$D$47-'Assumptions'!$B$47)*('Assumptions'!$C$47-'Assumptions'!$B$47)),'Assumptions'!$D$47-SQRT((1-B448)*('Assumptions'!$D$47-'Assumptions'!$B$47)*('Assumptions'!$D$47-'Assumptions'!$C$47)))</x:f>
        <x:v>0.06550289606425365</x:v>
      </x:c>
      <x:c r="H448" s="132" t="n">
        <x:f>IF(C448&lt;(('Assumptions'!$C$48-'Assumptions'!$B$48)/('Assumptions'!$D$48-'Assumptions'!$B$48)),'Assumptions'!$B$48+SQRT(C448*('Assumptions'!$D$48-'Assumptions'!$B$48)*('Assumptions'!$C$48-'Assumptions'!$B$48)),'Assumptions'!$D$48-SQRT((1-C448)*('Assumptions'!$D$48-'Assumptions'!$B$48)*('Assumptions'!$D$48-'Assumptions'!$C$48)))</x:f>
        <x:v>0.11044402176744945</x:v>
      </x:c>
      <x:c r="I448" s="132" t="n">
        <x:f>IF(D448&lt;(('Assumptions'!$C$49-'Assumptions'!$B$49)/('Assumptions'!$D$49-'Assumptions'!$B$49)),'Assumptions'!$B$49+SQRT(D448*('Assumptions'!$D$49-'Assumptions'!$B$49)*('Assumptions'!$C$49-'Assumptions'!$B$49)),'Assumptions'!$D$49-SQRT((1-D448)*('Assumptions'!$D$49-'Assumptions'!$B$49)*('Assumptions'!$D$49-'Assumptions'!$C$49)))</x:f>
        <x:v>0.013535136061077854</x:v>
      </x:c>
      <x:c r="J448" s="132" t="n">
        <x:f>IF(E448&lt;(('Assumptions'!$C$50-'Assumptions'!$B$50)/('Assumptions'!$D$50-'Assumptions'!$B$50)),'Assumptions'!$B$50+SQRT(E448*('Assumptions'!$D$50-'Assumptions'!$B$50)*('Assumptions'!$C$50-'Assumptions'!$B$50)),'Assumptions'!$D$50-SQRT((1-E448)*('Assumptions'!$D$50-'Assumptions'!$B$50)*('Assumptions'!$D$50-'Assumptions'!$C$50)))</x:f>
        <x:v>0.0673306580928338</x:v>
      </x:c>
      <x:c r="K448" s="132" t="n">
        <x:f>IF(F448&lt;(('Assumptions'!$C$51-'Assumptions'!$B$51)/('Assumptions'!$D$51-'Assumptions'!$B$51)),'Assumptions'!$B$51+SQRT(F448*('Assumptions'!$D$51-'Assumptions'!$B$51)*('Assumptions'!$C$51-'Assumptions'!$B$51)),'Assumptions'!$D$51-SQRT((1-F448)*('Assumptions'!$D$51-'Assumptions'!$B$51)*('Assumptions'!$D$51-'Assumptions'!$C$51)))</x:f>
        <x:v>0.07105801533915468</x:v>
      </x:c>
      <x:c r="L448" s="133" t="n">
        <x:f>(('Assumptions'!$B$17*(1+G448)+'Assumptions'!$B$18)*(1-H448-'Assumptions'!$B$20)-SUM('Assumptions'!$B$21:$B$25)*(1+I448))-(('Assumptions'!$B$17*(1+G448)+'Assumptions'!$B$18)*(1-H448-'Assumptions'!$B$20)*'Assumptions'!$B$26)</x:f>
        <x:v>211379.05933520358</x:v>
      </x:c>
      <x:c r="M448" s="133" t="n">
        <x:f>'Assumptions'!$B$10*'Assumptions'!$B$33</x:f>
        <x:v>1950000</x:v>
      </x:c>
      <x:c r="N448" s="133" t="n">
        <x:f>-PMT(K448/12,'Assumptions'!$B$35*12,M448)*12</x:f>
        <x:v>157347.02807007346</x:v>
      </x:c>
      <x:c r="O448" s="133" t="n">
        <x:f>(L448*(1+'Assumptions'!$B$29)^('Assumptions'!$B$14/12)/J448)*(1-'Assumptions'!$B$42)-'Debt Schedule'!$F$9</x:f>
        <x:v>3421078.808102511</x:v>
      </x:c>
      <x:c r="P448" s="132" t="n">
        <x:f>((O448+(L448-N448-'Assumptions'!$B$27-'Assumptions'!$B$28)*('Assumptions'!$B$14/12))/ABS('Monthly Cash Flow'!$S$5))^(1/('Assumptions'!$B$14/12))-1</x:f>
        <x:v>0.2194823085420199</x:v>
      </x:c>
      <x:c r="Q448" s="133" t="n">
        <x:f>-ABS('Monthly Cash Flow'!$S$5)+((L448-N448-'Assumptions'!$B$27-'Assumptions'!$B$28)*(1-(1+'Assumptions'!$B$43)^-('Assumptions'!$B$14/12))/'Assumptions'!$B$43)+(O448/(1+'Assumptions'!$B$43)^('Assumptions'!$B$14/12))</x:f>
        <x:v>882913.218284429</x:v>
      </x:c>
    </x:row>
    <x:row r="449">
      <x:c r="A449" s="131" t="n">
        <x:f>442</x:f>
        <x:v>442</x:v>
      </x:c>
      <x:c r="B449" s="131" t="n">
        <x:f>MOD(ABS(SIN((A449+1)*12.9898+78.233)*43758.5453),1)</x:f>
        <x:v>0.9007322898542043</x:v>
      </x:c>
      <x:c r="C449" s="131" t="n">
        <x:f>MOD(ABS(SIN((A449+2)*12.9898+78.233)*43758.5453),1)</x:f>
        <x:v>0.1754914881348668</x:v>
      </x:c>
      <x:c r="D449" s="131" t="n">
        <x:f>MOD(ABS(SIN((A449+3)*12.9898+78.233)*43758.5453),1)</x:f>
        <x:v>0.42951928239199333</x:v>
      </x:c>
      <x:c r="E449" s="131" t="n">
        <x:f>MOD(ABS(SIN((A449+4)*12.9898+78.233)*43758.5453),1)</x:f>
        <x:v>0.596095716814034</x:v>
      </x:c>
      <x:c r="F449" s="131" t="n">
        <x:f>MOD(ABS(SIN((A449+5)*12.9898+78.233)*43758.5453),1)</x:f>
        <x:v>0.48284142301781685</x:v>
      </x:c>
      <x:c r="G449" s="132" t="n">
        <x:f>IF(B449&lt;(('Assumptions'!$C$47-'Assumptions'!$B$47)/('Assumptions'!$D$47-'Assumptions'!$B$47)),'Assumptions'!$B$47+SQRT(B449*('Assumptions'!$D$47-'Assumptions'!$B$47)*('Assumptions'!$C$47-'Assumptions'!$B$47)),'Assumptions'!$D$47-SQRT((1-B449)*('Assumptions'!$D$47-'Assumptions'!$B$47)*('Assumptions'!$D$47-'Assumptions'!$C$47)))</x:f>
        <x:v>0.060146727081295676</x:v>
      </x:c>
      <x:c r="H449" s="132" t="n">
        <x:f>IF(C449&lt;(('Assumptions'!$C$48-'Assumptions'!$B$48)/('Assumptions'!$D$48-'Assumptions'!$B$48)),'Assumptions'!$B$48+SQRT(C449*('Assumptions'!$D$48-'Assumptions'!$B$48)*('Assumptions'!$C$48-'Assumptions'!$B$48)),'Assumptions'!$D$48-SQRT((1-C449)*('Assumptions'!$D$48-'Assumptions'!$B$48)*('Assumptions'!$D$48-'Assumptions'!$C$48)))</x:f>
        <x:v>0.05406495191861103</x:v>
      </x:c>
      <x:c r="I449" s="132" t="n">
        <x:f>IF(D449&lt;(('Assumptions'!$C$49-'Assumptions'!$B$49)/('Assumptions'!$D$49-'Assumptions'!$B$49)),'Assumptions'!$B$49+SQRT(D449*('Assumptions'!$D$49-'Assumptions'!$B$49)*('Assumptions'!$C$49-'Assumptions'!$B$49)),'Assumptions'!$D$49-SQRT((1-D449)*('Assumptions'!$D$49-'Assumptions'!$B$49)*('Assumptions'!$D$49-'Assumptions'!$C$49)))</x:f>
        <x:v>0.03899376819145267</x:v>
      </x:c>
      <x:c r="J449" s="132" t="n">
        <x:f>IF(E449&lt;(('Assumptions'!$C$50-'Assumptions'!$B$50)/('Assumptions'!$D$50-'Assumptions'!$B$50)),'Assumptions'!$B$50+SQRT(E449*('Assumptions'!$D$50-'Assumptions'!$B$50)*('Assumptions'!$C$50-'Assumptions'!$B$50)),'Assumptions'!$D$50-SQRT((1-E449)*('Assumptions'!$D$50-'Assumptions'!$B$50)*('Assumptions'!$D$50-'Assumptions'!$C$50)))</x:f>
        <x:v>0.06934176001180059</x:v>
      </x:c>
      <x:c r="K449" s="132" t="n">
        <x:f>IF(F449&lt;(('Assumptions'!$C$51-'Assumptions'!$B$51)/('Assumptions'!$D$51-'Assumptions'!$B$51)),'Assumptions'!$B$51+SQRT(F449*('Assumptions'!$D$51-'Assumptions'!$B$51)*('Assumptions'!$C$51-'Assumptions'!$B$51)),'Assumptions'!$D$51-SQRT((1-F449)*('Assumptions'!$D$51-'Assumptions'!$B$51)*('Assumptions'!$D$51-'Assumptions'!$C$51)))</x:f>
        <x:v>0.06922398766567814</x:v>
      </x:c>
      <x:c r="L449" s="133" t="n">
        <x:f>(('Assumptions'!$B$17*(1+G449)+'Assumptions'!$B$18)*(1-H449-'Assumptions'!$B$20)-SUM('Assumptions'!$B$21:$B$25)*(1+I449))-(('Assumptions'!$B$17*(1+G449)+'Assumptions'!$B$18)*(1-H449-'Assumptions'!$B$20)*'Assumptions'!$B$26)</x:f>
        <x:v>228173.90483004888</x:v>
      </x:c>
      <x:c r="M449" s="133" t="n">
        <x:f>'Assumptions'!$B$10*'Assumptions'!$B$33</x:f>
        <x:v>1950000</x:v>
      </x:c>
      <x:c r="N449" s="133" t="n">
        <x:f>-PMT(K449/12,'Assumptions'!$B$35*12,M449)*12</x:f>
        <x:v>154463.1677500081</x:v>
      </x:c>
      <x:c r="O449" s="133" t="n">
        <x:f>(L449*(1+'Assumptions'!$B$29)^('Assumptions'!$B$14/12)/J449)*(1-'Assumptions'!$B$42)-'Debt Schedule'!$F$9</x:f>
        <x:v>3585791.9776031133</x:v>
      </x:c>
      <x:c r="P449" s="132" t="n">
        <x:f>((O449+(L449-N449-'Assumptions'!$B$27-'Assumptions'!$B$28)*('Assumptions'!$B$14/12))/ABS('Monthly Cash Flow'!$S$5))^(1/('Assumptions'!$B$14/12))-1</x:f>
        <x:v>0.2373325565407578</x:v>
      </x:c>
      <x:c r="Q449" s="133" t="n">
        <x:f>-ABS('Monthly Cash Flow'!$S$5)+((L449-N449-'Assumptions'!$B$27-'Assumptions'!$B$28)*(1-(1+'Assumptions'!$B$43)^-('Assumptions'!$B$14/12))/'Assumptions'!$B$43)+(O449/(1+'Assumptions'!$B$43)^('Assumptions'!$B$14/12))</x:f>
        <x:v>1059784.915058254</x:v>
      </x:c>
    </x:row>
    <x:row r="450">
      <x:c r="A450" s="131" t="n">
        <x:f>443</x:f>
        <x:v>443</x:v>
      </x:c>
      <x:c r="B450" s="131" t="n">
        <x:f>MOD(ABS(SIN((A450+1)*12.9898+78.233)*43758.5453),1)</x:f>
        <x:v>0.1754914881348668</x:v>
      </x:c>
      <x:c r="C450" s="131" t="n">
        <x:f>MOD(ABS(SIN((A450+2)*12.9898+78.233)*43758.5453),1)</x:f>
        <x:v>0.42951928239199333</x:v>
      </x:c>
      <x:c r="D450" s="131" t="n">
        <x:f>MOD(ABS(SIN((A450+3)*12.9898+78.233)*43758.5453),1)</x:f>
        <x:v>0.596095716814034</x:v>
      </x:c>
      <x:c r="E450" s="131" t="n">
        <x:f>MOD(ABS(SIN((A450+4)*12.9898+78.233)*43758.5453),1)</x:f>
        <x:v>0.48284142301781685</x:v>
      </x:c>
      <x:c r="F450" s="131" t="n">
        <x:f>MOD(ABS(SIN((A450+5)*12.9898+78.233)*43758.5453),1)</x:f>
        <x:v>0.12990436238032999</x:v>
      </x:c>
      <x:c r="G450" s="132" t="n">
        <x:f>IF(B450&lt;(('Assumptions'!$C$47-'Assumptions'!$B$47)/('Assumptions'!$D$47-'Assumptions'!$B$47)),'Assumptions'!$B$47+SQRT(B450*('Assumptions'!$D$47-'Assumptions'!$B$47)*('Assumptions'!$C$47-'Assumptions'!$B$47)),'Assumptions'!$D$47-SQRT((1-B450)*('Assumptions'!$D$47-'Assumptions'!$B$47)*('Assumptions'!$D$47-'Assumptions'!$C$47)))</x:f>
        <x:v>-0.03510165090515166</x:v>
      </x:c>
      <x:c r="H450" s="132" t="n">
        <x:f>IF(C450&lt;(('Assumptions'!$C$48-'Assumptions'!$B$48)/('Assumptions'!$D$48-'Assumptions'!$B$48)),'Assumptions'!$B$48+SQRT(C450*('Assumptions'!$D$48-'Assumptions'!$B$48)*('Assumptions'!$C$48-'Assumptions'!$B$48)),'Assumptions'!$D$48-SQRT((1-C450)*('Assumptions'!$D$48-'Assumptions'!$B$48)*('Assumptions'!$D$48-'Assumptions'!$C$48)))</x:f>
        <x:v>0.06914641635774195</x:v>
      </x:c>
      <x:c r="I450" s="132" t="n">
        <x:f>IF(D450&lt;(('Assumptions'!$C$49-'Assumptions'!$B$49)/('Assumptions'!$D$49-'Assumptions'!$B$49)),'Assumptions'!$B$49+SQRT(D450*('Assumptions'!$D$49-'Assumptions'!$B$49)*('Assumptions'!$C$49-'Assumptions'!$B$49)),'Assumptions'!$D$49-SQRT((1-D450)*('Assumptions'!$D$49-'Assumptions'!$B$49)*('Assumptions'!$D$49-'Assumptions'!$C$49)))</x:f>
        <x:v>0.0565958645625534</x:v>
      </x:c>
      <x:c r="J450" s="132" t="n">
        <x:f>IF(E450&lt;(('Assumptions'!$C$50-'Assumptions'!$B$50)/('Assumptions'!$D$50-'Assumptions'!$B$50)),'Assumptions'!$B$50+SQRT(E450*('Assumptions'!$D$50-'Assumptions'!$B$50)*('Assumptions'!$C$50-'Assumptions'!$B$50)),'Assumptions'!$D$50-SQRT((1-E450)*('Assumptions'!$D$50-'Assumptions'!$B$50)*('Assumptions'!$D$50-'Assumptions'!$C$50)))</x:f>
        <x:v>0.06793969943259129</x:v>
      </x:c>
      <x:c r="K450" s="132" t="n">
        <x:f>IF(F450&lt;(('Assumptions'!$C$51-'Assumptions'!$B$51)/('Assumptions'!$D$51-'Assumptions'!$B$51)),'Assumptions'!$B$51+SQRT(F450*('Assumptions'!$D$51-'Assumptions'!$B$51)*('Assumptions'!$C$51-'Assumptions'!$B$51)),'Assumptions'!$D$51-SQRT((1-F450)*('Assumptions'!$D$51-'Assumptions'!$B$51)*('Assumptions'!$D$51-'Assumptions'!$C$51)))</x:f>
        <x:v>0.06347693062153065</x:v>
      </x:c>
      <x:c r="L450" s="133" t="n">
        <x:f>(('Assumptions'!$B$17*(1+G450)+'Assumptions'!$B$18)*(1-H450-'Assumptions'!$B$20)-SUM('Assumptions'!$B$21:$B$25)*(1+I450))-(('Assumptions'!$B$17*(1+G450)+'Assumptions'!$B$18)*(1-H450-'Assumptions'!$B$20)*'Assumptions'!$B$26)</x:f>
        <x:v>189857.2744540241</x:v>
      </x:c>
      <x:c r="M450" s="133" t="n">
        <x:f>'Assumptions'!$B$10*'Assumptions'!$B$33</x:f>
        <x:v>1950000</x:v>
      </x:c>
      <x:c r="N450" s="133" t="n">
        <x:f>-PMT(K450/12,'Assumptions'!$B$35*12,M450)*12</x:f>
        <x:v>145567.8895080526</x:v>
      </x:c>
      <x:c r="O450" s="133" t="n">
        <x:f>(L450*(1+'Assumptions'!$B$29)^('Assumptions'!$B$14/12)/J450)*(1-'Assumptions'!$B$42)-'Debt Schedule'!$F$9</x:f>
        <x:v>3045212.4583149664</x:v>
      </x:c>
      <x:c r="P450" s="132" t="n">
        <x:f>((O450+(L450-N450-'Assumptions'!$B$27-'Assumptions'!$B$28)*('Assumptions'!$B$14/12))/ABS('Monthly Cash Flow'!$S$5))^(1/('Assumptions'!$B$14/12))-1</x:f>
        <x:v>0.18826333640361614</x:v>
      </x:c>
      <x:c r="Q450" s="133" t="n">
        <x:f>-ABS('Monthly Cash Flow'!$S$5)+((L450-N450-'Assumptions'!$B$27-'Assumptions'!$B$28)*(1-(1+'Assumptions'!$B$43)^-('Assumptions'!$B$14/12))/'Assumptions'!$B$43)+(O450/(1+'Assumptions'!$B$43)^('Assumptions'!$B$14/12))</x:f>
        <x:v>612597.492315239</x:v>
      </x:c>
    </x:row>
    <x:row r="451">
      <x:c r="A451" s="131" t="n">
        <x:f>444</x:f>
        <x:v>444</x:v>
      </x:c>
      <x:c r="B451" s="131" t="n">
        <x:f>MOD(ABS(SIN((A451+1)*12.9898+78.233)*43758.5453),1)</x:f>
        <x:v>0.42951928239199333</x:v>
      </x:c>
      <x:c r="C451" s="131" t="n">
        <x:f>MOD(ABS(SIN((A451+2)*12.9898+78.233)*43758.5453),1)</x:f>
        <x:v>0.596095716814034</x:v>
      </x:c>
      <x:c r="D451" s="131" t="n">
        <x:f>MOD(ABS(SIN((A451+3)*12.9898+78.233)*43758.5453),1)</x:f>
        <x:v>0.48284142301781685</x:v>
      </x:c>
      <x:c r="E451" s="131" t="n">
        <x:f>MOD(ABS(SIN((A451+4)*12.9898+78.233)*43758.5453),1)</x:f>
        <x:v>0.12990436238032999</x:v>
      </x:c>
      <x:c r="F451" s="131" t="n">
        <x:f>MOD(ABS(SIN((A451+5)*12.9898+78.233)*43758.5453),1)</x:f>
        <x:v>0.38888278910599183</x:v>
      </x:c>
      <x:c r="G451" s="132" t="n">
        <x:f>IF(B451&lt;(('Assumptions'!$C$47-'Assumptions'!$B$47)/('Assumptions'!$D$47-'Assumptions'!$B$47)),'Assumptions'!$B$47+SQRT(B451*('Assumptions'!$D$47-'Assumptions'!$B$47)*('Assumptions'!$C$47-'Assumptions'!$B$47)),'Assumptions'!$D$47-SQRT((1-B451)*('Assumptions'!$D$47-'Assumptions'!$B$47)*('Assumptions'!$D$47-'Assumptions'!$C$47)))</x:f>
        <x:v>0.0015306002021451687</x:v>
      </x:c>
      <x:c r="H451" s="132" t="n">
        <x:f>IF(C451&lt;(('Assumptions'!$C$48-'Assumptions'!$B$48)/('Assumptions'!$D$48-'Assumptions'!$B$48)),'Assumptions'!$B$48+SQRT(C451*('Assumptions'!$D$48-'Assumptions'!$B$48)*('Assumptions'!$C$48-'Assumptions'!$B$48)),'Assumptions'!$D$48-SQRT((1-C451)*('Assumptions'!$D$48-'Assumptions'!$B$48)*('Assumptions'!$D$48-'Assumptions'!$C$48)))</x:f>
        <x:v>0.08038156583709616</x:v>
      </x:c>
      <x:c r="I451" s="132" t="n">
        <x:f>IF(D451&lt;(('Assumptions'!$C$49-'Assumptions'!$B$49)/('Assumptions'!$D$49-'Assumptions'!$B$49)),'Assumptions'!$B$49+SQRT(D451*('Assumptions'!$D$49-'Assumptions'!$B$49)*('Assumptions'!$C$49-'Assumptions'!$B$49)),'Assumptions'!$D$49-SQRT((1-D451)*('Assumptions'!$D$49-'Assumptions'!$B$49)*('Assumptions'!$D$49-'Assumptions'!$C$49)))</x:f>
        <x:v>0.04430882126300627</x:v>
      </x:c>
      <x:c r="J451" s="132" t="n">
        <x:f>IF(E451&lt;(('Assumptions'!$C$50-'Assumptions'!$B$50)/('Assumptions'!$D$50-'Assumptions'!$B$50)),'Assumptions'!$B$50+SQRT(E451*('Assumptions'!$D$50-'Assumptions'!$B$50)*('Assumptions'!$C$50-'Assumptions'!$B$50)),'Assumptions'!$D$50-SQRT((1-E451)*('Assumptions'!$D$50-'Assumptions'!$B$50)*('Assumptions'!$D$50-'Assumptions'!$C$50)))</x:f>
        <x:v>0.06290633716443715</x:v>
      </x:c>
      <x:c r="K451" s="132" t="n">
        <x:f>IF(F451&lt;(('Assumptions'!$C$51-'Assumptions'!$B$51)/('Assumptions'!$D$51-'Assumptions'!$B$51)),'Assumptions'!$B$51+SQRT(F451*('Assumptions'!$D$51-'Assumptions'!$B$51)*('Assumptions'!$C$51-'Assumptions'!$B$51)),'Assumptions'!$D$51-SQRT((1-F451)*('Assumptions'!$D$51-'Assumptions'!$B$51)*('Assumptions'!$D$51-'Assumptions'!$C$51)))</x:f>
        <x:v>0.06785065139013317</x:v>
      </x:c>
      <x:c r="L451" s="133" t="n">
        <x:f>(('Assumptions'!$B$17*(1+G451)+'Assumptions'!$B$18)*(1-H451-'Assumptions'!$B$20)-SUM('Assumptions'!$B$21:$B$25)*(1+I451))-(('Assumptions'!$B$17*(1+G451)+'Assumptions'!$B$18)*(1-H451-'Assumptions'!$B$20)*'Assumptions'!$B$26)</x:f>
        <x:v>198980.5917121169</x:v>
      </x:c>
      <x:c r="M451" s="133" t="n">
        <x:f>'Assumptions'!$B$10*'Assumptions'!$B$33</x:f>
        <x:v>1950000</x:v>
      </x:c>
      <x:c r="N451" s="133" t="n">
        <x:f>-PMT(K451/12,'Assumptions'!$B$35*12,M451)*12</x:f>
        <x:v>152317.77611331205</x:v>
      </x:c>
      <x:c r="O451" s="133" t="n">
        <x:f>(L451*(1+'Assumptions'!$B$29)^('Assumptions'!$B$14/12)/J451)*(1-'Assumptions'!$B$42)-'Debt Schedule'!$F$9</x:f>
        <x:v>3446912.800188735</x:v>
      </x:c>
      <x:c r="P451" s="132" t="n">
        <x:f>((O451+(L451-N451-'Assumptions'!$B$27-'Assumptions'!$B$28)*('Assumptions'!$B$14/12))/ABS('Monthly Cash Flow'!$S$5))^(1/('Assumptions'!$B$14/12))-1</x:f>
        <x:v>0.2187120364513564</x:v>
      </x:c>
      <x:c r="Q451" s="133" t="n">
        <x:f>-ABS('Monthly Cash Flow'!$S$5)+((L451-N451-'Assumptions'!$B$27-'Assumptions'!$B$28)*(1-(1+'Assumptions'!$B$43)^-('Assumptions'!$B$14/12))/'Assumptions'!$B$43)+(O451/(1+'Assumptions'!$B$43)^('Assumptions'!$B$14/12))</x:f>
        <x:v>871018.9695816836</x:v>
      </x:c>
    </x:row>
    <x:row r="452">
      <x:c r="A452" s="131" t="n">
        <x:f>445</x:f>
        <x:v>445</x:v>
      </x:c>
      <x:c r="B452" s="131" t="n">
        <x:f>MOD(ABS(SIN((A452+1)*12.9898+78.233)*43758.5453),1)</x:f>
        <x:v>0.596095716814034</x:v>
      </x:c>
      <x:c r="C452" s="131" t="n">
        <x:f>MOD(ABS(SIN((A452+2)*12.9898+78.233)*43758.5453),1)</x:f>
        <x:v>0.48284142301781685</x:v>
      </x:c>
      <x:c r="D452" s="131" t="n">
        <x:f>MOD(ABS(SIN((A452+3)*12.9898+78.233)*43758.5453),1)</x:f>
        <x:v>0.12990436238032999</x:v>
      </x:c>
      <x:c r="E452" s="131" t="n">
        <x:f>MOD(ABS(SIN((A452+4)*12.9898+78.233)*43758.5453),1)</x:f>
        <x:v>0.38888278910599183</x:v>
      </x:c>
      <x:c r="F452" s="131" t="n">
        <x:f>MOD(ABS(SIN((A452+5)*12.9898+78.233)*43758.5453),1)</x:f>
        <x:v>0.3731906382381567</x:v>
      </x:c>
      <x:c r="G452" s="132" t="n">
        <x:f>IF(B452&lt;(('Assumptions'!$C$47-'Assumptions'!$B$47)/('Assumptions'!$D$47-'Assumptions'!$B$47)),'Assumptions'!$B$47+SQRT(B452*('Assumptions'!$D$47-'Assumptions'!$B$47)*('Assumptions'!$C$47-'Assumptions'!$B$47)),'Assumptions'!$D$47-SQRT((1-B452)*('Assumptions'!$D$47-'Assumptions'!$B$47)*('Assumptions'!$D$47-'Assumptions'!$C$47)))</x:f>
        <x:v>0.01960893446367966</x:v>
      </x:c>
      <x:c r="H452" s="132" t="n">
        <x:f>IF(C452&lt;(('Assumptions'!$C$48-'Assumptions'!$B$48)/('Assumptions'!$D$48-'Assumptions'!$B$48)),'Assumptions'!$B$48+SQRT(C452*('Assumptions'!$D$48-'Assumptions'!$B$48)*('Assumptions'!$C$48-'Assumptions'!$B$48)),'Assumptions'!$D$48-SQRT((1-C452)*('Assumptions'!$D$48-'Assumptions'!$B$48)*('Assumptions'!$D$48-'Assumptions'!$C$48)))</x:f>
        <x:v>0.07253893361765461</x:v>
      </x:c>
      <x:c r="I452" s="132" t="n">
        <x:f>IF(D452&lt;(('Assumptions'!$C$49-'Assumptions'!$B$49)/('Assumptions'!$D$49-'Assumptions'!$B$49)),'Assumptions'!$B$49+SQRT(D452*('Assumptions'!$D$49-'Assumptions'!$B$49)*('Assumptions'!$C$49-'Assumptions'!$B$49)),'Assumptions'!$D$49-SQRT((1-D452)*('Assumptions'!$D$49-'Assumptions'!$B$49)*('Assumptions'!$D$49-'Assumptions'!$C$49)))</x:f>
        <x:v>0.00745620260661195</x:v>
      </x:c>
      <x:c r="J452" s="132" t="n">
        <x:f>IF(E452&lt;(('Assumptions'!$C$50-'Assumptions'!$B$50)/('Assumptions'!$D$50-'Assumptions'!$B$50)),'Assumptions'!$B$50+SQRT(E452*('Assumptions'!$D$50-'Assumptions'!$B$50)*('Assumptions'!$C$50-'Assumptions'!$B$50)),'Assumptions'!$D$50-SQRT((1-E452)*('Assumptions'!$D$50-'Assumptions'!$B$50)*('Assumptions'!$D$50-'Assumptions'!$C$50)))</x:f>
        <x:v>0.06685407010604733</x:v>
      </x:c>
      <x:c r="K452" s="132" t="n">
        <x:f>IF(F452&lt;(('Assumptions'!$C$51-'Assumptions'!$B$51)/('Assumptions'!$D$51-'Assumptions'!$B$51)),'Assumptions'!$B$51+SQRT(F452*('Assumptions'!$D$51-'Assumptions'!$B$51)*('Assumptions'!$C$51-'Assumptions'!$B$51)),'Assumptions'!$D$51-SQRT((1-F452)*('Assumptions'!$D$51-'Assumptions'!$B$51)*('Assumptions'!$D$51-'Assumptions'!$C$51)))</x:f>
        <x:v>0.06763186811001579</x:v>
      </x:c>
      <x:c r="L452" s="133" t="n">
        <x:f>(('Assumptions'!$B$17*(1+G452)+'Assumptions'!$B$18)*(1-H452-'Assumptions'!$B$20)-SUM('Assumptions'!$B$21:$B$25)*(1+I452))-(('Assumptions'!$B$17*(1+G452)+'Assumptions'!$B$18)*(1-H452-'Assumptions'!$B$20)*'Assumptions'!$B$26)</x:f>
        <x:v>212206.28420441243</x:v>
      </x:c>
      <x:c r="M452" s="133" t="n">
        <x:f>'Assumptions'!$B$10*'Assumptions'!$B$33</x:f>
        <x:v>1950000</x:v>
      </x:c>
      <x:c r="N452" s="133" t="n">
        <x:f>-PMT(K452/12,'Assumptions'!$B$35*12,M452)*12</x:f>
        <x:v>151977.12560106828</x:v>
      </x:c>
      <x:c r="O452" s="133" t="n">
        <x:f>(L452*(1+'Assumptions'!$B$29)^('Assumptions'!$B$14/12)/J452)*(1-'Assumptions'!$B$42)-'Debt Schedule'!$F$9</x:f>
        <x:v>3458950.647193173</x:v>
      </x:c>
      <x:c r="P452" s="132" t="n">
        <x:f>((O452+(L452-N452-'Assumptions'!$B$27-'Assumptions'!$B$28)*('Assumptions'!$B$14/12))/ABS('Monthly Cash Flow'!$S$5))^(1/('Assumptions'!$B$14/12))-1</x:f>
        <x:v>0.22425515562943454</x:v>
      </x:c>
      <x:c r="Q452" s="133" t="n">
        <x:f>-ABS('Monthly Cash Flow'!$S$5)+((L452-N452-'Assumptions'!$B$27-'Assumptions'!$B$28)*(1-(1+'Assumptions'!$B$43)^-('Assumptions'!$B$14/12))/'Assumptions'!$B$43)+(O452/(1+'Assumptions'!$B$43)^('Assumptions'!$B$14/12))</x:f>
        <x:v>929920.6390413274</x:v>
      </x:c>
    </x:row>
    <x:row r="453">
      <x:c r="A453" s="131" t="n">
        <x:f>446</x:f>
        <x:v>446</x:v>
      </x:c>
      <x:c r="B453" s="131" t="n">
        <x:f>MOD(ABS(SIN((A453+1)*12.9898+78.233)*43758.5453),1)</x:f>
        <x:v>0.48284142301781685</x:v>
      </x:c>
      <x:c r="C453" s="131" t="n">
        <x:f>MOD(ABS(SIN((A453+2)*12.9898+78.233)*43758.5453),1)</x:f>
        <x:v>0.12990436238032999</x:v>
      </x:c>
      <x:c r="D453" s="131" t="n">
        <x:f>MOD(ABS(SIN((A453+3)*12.9898+78.233)*43758.5453),1)</x:f>
        <x:v>0.38888278910599183</x:v>
      </x:c>
      <x:c r="E453" s="131" t="n">
        <x:f>MOD(ABS(SIN((A453+4)*12.9898+78.233)*43758.5453),1)</x:f>
        <x:v>0.3731906382381567</x:v>
      </x:c>
      <x:c r="F453" s="131" t="n">
        <x:f>MOD(ABS(SIN((A453+5)*12.9898+78.233)*43758.5453),1)</x:f>
        <x:v>0.7873351107846247</x:v>
      </x:c>
      <x:c r="G453" s="132" t="n">
        <x:f>IF(B453&lt;(('Assumptions'!$C$47-'Assumptions'!$B$47)/('Assumptions'!$D$47-'Assumptions'!$B$47)),'Assumptions'!$B$47+SQRT(B453*('Assumptions'!$D$47-'Assumptions'!$B$47)*('Assumptions'!$C$47-'Assumptions'!$B$47)),'Assumptions'!$D$47-SQRT((1-B453)*('Assumptions'!$D$47-'Assumptions'!$B$47)*('Assumptions'!$D$47-'Assumptions'!$C$47)))</x:f>
        <x:v>0.007648474919190587</x:v>
      </x:c>
      <x:c r="H453" s="132" t="n">
        <x:f>IF(C453&lt;(('Assumptions'!$C$48-'Assumptions'!$B$48)/('Assumptions'!$D$48-'Assumptions'!$B$48)),'Assumptions'!$B$48+SQRT(C453*('Assumptions'!$D$48-'Assumptions'!$B$48)*('Assumptions'!$C$48-'Assumptions'!$B$48)),'Assumptions'!$D$48-SQRT((1-C453)*('Assumptions'!$D$48-'Assumptions'!$B$48)*('Assumptions'!$D$48-'Assumptions'!$C$48)))</x:f>
        <x:v>0.05070469501961063</x:v>
      </x:c>
      <x:c r="I453" s="132" t="n">
        <x:f>IF(D453&lt;(('Assumptions'!$C$49-'Assumptions'!$B$49)/('Assumptions'!$D$49-'Assumptions'!$B$49)),'Assumptions'!$B$49+SQRT(D453*('Assumptions'!$D$49-'Assumptions'!$B$49)*('Assumptions'!$C$49-'Assumptions'!$B$49)),'Assumptions'!$D$49-SQRT((1-D453)*('Assumptions'!$D$49-'Assumptions'!$B$49)*('Assumptions'!$D$49-'Assumptions'!$C$49)))</x:f>
        <x:v>0.035108173679279625</x:v>
      </x:c>
      <x:c r="J453" s="132" t="n">
        <x:f>IF(E453&lt;(('Assumptions'!$C$50-'Assumptions'!$B$50)/('Assumptions'!$D$50-'Assumptions'!$B$50)),'Assumptions'!$B$50+SQRT(E453*('Assumptions'!$D$50-'Assumptions'!$B$50)*('Assumptions'!$C$50-'Assumptions'!$B$50)),'Assumptions'!$D$50-SQRT((1-E453)*('Assumptions'!$D$50-'Assumptions'!$B$50)*('Assumptions'!$D$50-'Assumptions'!$C$50)))</x:f>
        <x:v>0.06666339967498883</x:v>
      </x:c>
      <x:c r="K453" s="132" t="n">
        <x:f>IF(F453&lt;(('Assumptions'!$C$51-'Assumptions'!$B$51)/('Assumptions'!$D$51-'Assumptions'!$B$51)),'Assumptions'!$B$51+SQRT(F453*('Assumptions'!$D$51-'Assumptions'!$B$51)*('Assumptions'!$C$51-'Assumptions'!$B$51)),'Assumptions'!$D$51-SQRT((1-F453)*('Assumptions'!$D$51-'Assumptions'!$B$51)*('Assumptions'!$D$51-'Assumptions'!$C$51)))</x:f>
        <x:v>0.07488343052537574</x:v>
      </x:c>
      <x:c r="L453" s="133" t="n">
        <x:f>(('Assumptions'!$B$17*(1+G453)+'Assumptions'!$B$18)*(1-H453-'Assumptions'!$B$20)-SUM('Assumptions'!$B$21:$B$25)*(1+I453))-(('Assumptions'!$B$17*(1+G453)+'Assumptions'!$B$18)*(1-H453-'Assumptions'!$B$20)*'Assumptions'!$B$26)</x:f>
        <x:v>212910.70181438385</x:v>
      </x:c>
      <x:c r="M453" s="133" t="n">
        <x:f>'Assumptions'!$B$10*'Assumptions'!$B$33</x:f>
        <x:v>1950000</x:v>
      </x:c>
      <x:c r="N453" s="133" t="n">
        <x:f>-PMT(K453/12,'Assumptions'!$B$35*12,M453)*12</x:f>
        <x:v>163429.4539873745</x:v>
      </x:c>
      <x:c r="O453" s="133" t="n">
        <x:f>(L453*(1+'Assumptions'!$B$29)^('Assumptions'!$B$14/12)/J453)*(1-'Assumptions'!$B$42)-'Debt Schedule'!$F$9</x:f>
        <x:v>3480358.7347828443</x:v>
      </x:c>
      <x:c r="P453" s="132" t="n">
        <x:f>((O453+(L453-N453-'Assumptions'!$B$27-'Assumptions'!$B$28)*('Assumptions'!$B$14/12))/ABS('Monthly Cash Flow'!$S$5))^(1/('Assumptions'!$B$14/12))-1</x:f>
        <x:v>0.2220233879837623</x:v>
      </x:c>
      <x:c r="Q453" s="133" t="n">
        <x:f>-ABS('Monthly Cash Flow'!$S$5)+((L453-N453-'Assumptions'!$B$27-'Assumptions'!$B$28)*(1-(1+'Assumptions'!$B$43)^-('Assumptions'!$B$14/12))/'Assumptions'!$B$43)+(O453/(1+'Assumptions'!$B$43)^('Assumptions'!$B$14/12))</x:f>
        <x:v>902470.33914196</x:v>
      </x:c>
    </x:row>
    <x:row r="454">
      <x:c r="A454" s="131" t="n">
        <x:f>447</x:f>
        <x:v>447</x:v>
      </x:c>
      <x:c r="B454" s="131" t="n">
        <x:f>MOD(ABS(SIN((A454+1)*12.9898+78.233)*43758.5453),1)</x:f>
        <x:v>0.12990436238032999</x:v>
      </x:c>
      <x:c r="C454" s="131" t="n">
        <x:f>MOD(ABS(SIN((A454+2)*12.9898+78.233)*43758.5453),1)</x:f>
        <x:v>0.38888278910599183</x:v>
      </x:c>
      <x:c r="D454" s="131" t="n">
        <x:f>MOD(ABS(SIN((A454+3)*12.9898+78.233)*43758.5453),1)</x:f>
        <x:v>0.3731906382381567</x:v>
      </x:c>
      <x:c r="E454" s="131" t="n">
        <x:f>MOD(ABS(SIN((A454+4)*12.9898+78.233)*43758.5453),1)</x:f>
        <x:v>0.7873351107846247</x:v>
      </x:c>
      <x:c r="F454" s="131" t="n">
        <x:f>MOD(ABS(SIN((A454+5)*12.9898+78.233)*43758.5453),1)</x:f>
        <x:v>0.8241038316082268</x:v>
      </x:c>
      <x:c r="G454" s="132" t="n">
        <x:f>IF(B454&lt;(('Assumptions'!$C$47-'Assumptions'!$B$47)/('Assumptions'!$D$47-'Assumptions'!$B$47)),'Assumptions'!$B$47+SQRT(B454*('Assumptions'!$D$47-'Assumptions'!$B$47)*('Assumptions'!$C$47-'Assumptions'!$B$47)),'Assumptions'!$D$47-SQRT((1-B454)*('Assumptions'!$D$47-'Assumptions'!$B$47)*('Assumptions'!$D$47-'Assumptions'!$C$47)))</x:f>
        <x:v>-0.04416358986174058</x:v>
      </x:c>
      <x:c r="H454" s="132" t="n">
        <x:f>IF(C454&lt;(('Assumptions'!$C$48-'Assumptions'!$B$48)/('Assumptions'!$D$48-'Assumptions'!$B$48)),'Assumptions'!$B$48+SQRT(C454*('Assumptions'!$D$48-'Assumptions'!$B$48)*('Assumptions'!$C$48-'Assumptions'!$B$48)),'Assumptions'!$D$48-SQRT((1-C454)*('Assumptions'!$D$48-'Assumptions'!$B$48)*('Assumptions'!$D$48-'Assumptions'!$C$48)))</x:f>
        <x:v>0.06666630068060611</x:v>
      </x:c>
      <x:c r="I454" s="132" t="n">
        <x:f>IF(D454&lt;(('Assumptions'!$C$49-'Assumptions'!$B$49)/('Assumptions'!$D$49-'Assumptions'!$B$49)),'Assumptions'!$B$49+SQRT(D454*('Assumptions'!$D$49-'Assumptions'!$B$49)*('Assumptions'!$C$49-'Assumptions'!$B$49)),'Assumptions'!$D$49-SQRT((1-D454)*('Assumptions'!$D$49-'Assumptions'!$B$49)*('Assumptions'!$D$49-'Assumptions'!$C$49)))</x:f>
        <x:v>0.03364243808821098</x:v>
      </x:c>
      <x:c r="J454" s="132" t="n">
        <x:f>IF(E454&lt;(('Assumptions'!$C$50-'Assumptions'!$B$50)/('Assumptions'!$D$50-'Assumptions'!$B$50)),'Assumptions'!$B$50+SQRT(E454*('Assumptions'!$D$50-'Assumptions'!$B$50)*('Assumptions'!$C$50-'Assumptions'!$B$50)),'Assumptions'!$D$50-SQRT((1-E454)*('Assumptions'!$D$50-'Assumptions'!$B$50)*('Assumptions'!$D$50-'Assumptions'!$C$50)))</x:f>
        <x:v>0.0722661781704112</x:v>
      </x:c>
      <x:c r="K454" s="132" t="n">
        <x:f>IF(F454&lt;(('Assumptions'!$C$51-'Assumptions'!$B$51)/('Assumptions'!$D$51-'Assumptions'!$B$51)),'Assumptions'!$B$51+SQRT(F454*('Assumptions'!$D$51-'Assumptions'!$B$51)*('Assumptions'!$C$51-'Assumptions'!$B$51)),'Assumptions'!$D$51-SQRT((1-F454)*('Assumptions'!$D$51-'Assumptions'!$B$51)*('Assumptions'!$D$51-'Assumptions'!$C$51)))</x:f>
        <x:v>0.0757994548510134</x:v>
      </x:c>
      <x:c r="L454" s="133" t="n">
        <x:f>(('Assumptions'!$B$17*(1+G454)+'Assumptions'!$B$18)*(1-H454-'Assumptions'!$B$20)-SUM('Assumptions'!$B$21:$B$25)*(1+I454))-(('Assumptions'!$B$17*(1+G454)+'Assumptions'!$B$18)*(1-H454-'Assumptions'!$B$20)*'Assumptions'!$B$26)</x:f>
        <x:v>190727.60184464414</x:v>
      </x:c>
      <x:c r="M454" s="133" t="n">
        <x:f>'Assumptions'!$B$10*'Assumptions'!$B$33</x:f>
        <x:v>1950000</x:v>
      </x:c>
      <x:c r="N454" s="133" t="n">
        <x:f>-PMT(K454/12,'Assumptions'!$B$35*12,M454)*12</x:f>
        <x:v>164899.07968437584</x:v>
      </x:c>
      <x:c r="O454" s="133" t="n">
        <x:f>(L454*(1+'Assumptions'!$B$29)^('Assumptions'!$B$14/12)/J454)*(1-'Assumptions'!$B$42)-'Debt Schedule'!$F$9</x:f>
        <x:v>2876023.5491835154</x:v>
      </x:c>
      <x:c r="P454" s="132" t="n">
        <x:f>((O454+(L454-N454-'Assumptions'!$B$27-'Assumptions'!$B$28)*('Assumptions'!$B$14/12))/ABS('Monthly Cash Flow'!$S$5))^(1/('Assumptions'!$B$14/12))-1</x:f>
        <x:v>0.16726995541528833</x:v>
      </x:c>
      <x:c r="Q454" s="133" t="n">
        <x:f>-ABS('Monthly Cash Flow'!$S$5)+((L454-N454-'Assumptions'!$B$27-'Assumptions'!$B$28)*(1-(1+'Assumptions'!$B$43)^-('Assumptions'!$B$14/12))/'Assumptions'!$B$43)+(O454/(1+'Assumptions'!$B$43)^('Assumptions'!$B$14/12))</x:f>
        <x:v>437563.2966104951</x:v>
      </x:c>
    </x:row>
    <x:row r="455">
      <x:c r="A455" s="131" t="n">
        <x:f>448</x:f>
        <x:v>448</x:v>
      </x:c>
      <x:c r="B455" s="131" t="n">
        <x:f>MOD(ABS(SIN((A455+1)*12.9898+78.233)*43758.5453),1)</x:f>
        <x:v>0.38888278910599183</x:v>
      </x:c>
      <x:c r="C455" s="131" t="n">
        <x:f>MOD(ABS(SIN((A455+2)*12.9898+78.233)*43758.5453),1)</x:f>
        <x:v>0.3731906382381567</x:v>
      </x:c>
      <x:c r="D455" s="131" t="n">
        <x:f>MOD(ABS(SIN((A455+3)*12.9898+78.233)*43758.5453),1)</x:f>
        <x:v>0.7873351107846247</x:v>
      </x:c>
      <x:c r="E455" s="131" t="n">
        <x:f>MOD(ABS(SIN((A455+4)*12.9898+78.233)*43758.5453),1)</x:f>
        <x:v>0.8241038316082268</x:v>
      </x:c>
      <x:c r="F455" s="131" t="n">
        <x:f>MOD(ABS(SIN((A455+5)*12.9898+78.233)*43758.5453),1)</x:f>
        <x:v>0.40871124796376535</x:v>
      </x:c>
      <x:c r="G455" s="132" t="n">
        <x:f>IF(B455&lt;(('Assumptions'!$C$47-'Assumptions'!$B$47)/('Assumptions'!$D$47-'Assumptions'!$B$47)),'Assumptions'!$B$47+SQRT(B455*('Assumptions'!$D$47-'Assumptions'!$B$47)*('Assumptions'!$C$47-'Assumptions'!$B$47)),'Assumptions'!$D$47-SQRT((1-B455)*('Assumptions'!$D$47-'Assumptions'!$B$47)*('Assumptions'!$D$47-'Assumptions'!$C$47)))</x:f>
        <x:v>-0.0033915793600588634</x:v>
      </x:c>
      <x:c r="H455" s="132" t="n">
        <x:f>IF(C455&lt;(('Assumptions'!$C$48-'Assumptions'!$B$48)/('Assumptions'!$D$48-'Assumptions'!$B$48)),'Assumptions'!$B$48+SQRT(C455*('Assumptions'!$D$48-'Assumptions'!$B$48)*('Assumptions'!$C$48-'Assumptions'!$B$48)),'Assumptions'!$D$48-SQRT((1-C455)*('Assumptions'!$D$48-'Assumptions'!$B$48)*('Assumptions'!$D$48-'Assumptions'!$C$48)))</x:f>
        <x:v>0.06573074402214453</x:v>
      </x:c>
      <x:c r="I455" s="132" t="n">
        <x:f>IF(D455&lt;(('Assumptions'!$C$49-'Assumptions'!$B$49)/('Assumptions'!$D$49-'Assumptions'!$B$49)),'Assumptions'!$B$49+SQRT(D455*('Assumptions'!$D$49-'Assumptions'!$B$49)*('Assumptions'!$C$49-'Assumptions'!$B$49)),'Assumptions'!$D$49-SQRT((1-D455)*('Assumptions'!$D$49-'Assumptions'!$B$49)*('Assumptions'!$D$49-'Assumptions'!$C$49)))</x:f>
        <x:v>0.0822241812513334</x:v>
      </x:c>
      <x:c r="J455" s="132" t="n">
        <x:f>IF(E455&lt;(('Assumptions'!$C$50-'Assumptions'!$B$50)/('Assumptions'!$D$50-'Assumptions'!$B$50)),'Assumptions'!$B$50+SQRT(E455*('Assumptions'!$D$50-'Assumptions'!$B$50)*('Assumptions'!$C$50-'Assumptions'!$B$50)),'Assumptions'!$D$50-SQRT((1-E455)*('Assumptions'!$D$50-'Assumptions'!$B$50)*('Assumptions'!$D$50-'Assumptions'!$C$50)))</x:f>
        <x:v>0.07296645200768587</x:v>
      </x:c>
      <x:c r="K455" s="132" t="n">
        <x:f>IF(F455&lt;(('Assumptions'!$C$51-'Assumptions'!$B$51)/('Assumptions'!$D$51-'Assumptions'!$B$51)),'Assumptions'!$B$51+SQRT(F455*('Assumptions'!$D$51-'Assumptions'!$B$51)*('Assumptions'!$C$51-'Assumptions'!$B$51)),'Assumptions'!$D$51-SQRT((1-F455)*('Assumptions'!$D$51-'Assumptions'!$B$51)*('Assumptions'!$D$51-'Assumptions'!$C$51)))</x:f>
        <x:v>0.06813116151249773</x:v>
      </x:c>
      <x:c r="L455" s="133" t="n">
        <x:f>(('Assumptions'!$B$17*(1+G455)+'Assumptions'!$B$18)*(1-H455-'Assumptions'!$B$20)-SUM('Assumptions'!$B$21:$B$25)*(1+I455))-(('Assumptions'!$B$17*(1+G455)+'Assumptions'!$B$18)*(1-H455-'Assumptions'!$B$20)*'Assumptions'!$B$26)</x:f>
        <x:v>197955.21720861673</x:v>
      </x:c>
      <x:c r="M455" s="133" t="n">
        <x:f>'Assumptions'!$B$10*'Assumptions'!$B$33</x:f>
        <x:v>1950000</x:v>
      </x:c>
      <x:c r="N455" s="133" t="n">
        <x:f>-PMT(K455/12,'Assumptions'!$B$35*12,M455)*12</x:f>
        <x:v>152754.99185358523</x:v>
      </x:c>
      <x:c r="O455" s="133" t="n">
        <x:f>(L455*(1+'Assumptions'!$B$29)^('Assumptions'!$B$14/12)/J455)*(1-'Assumptions'!$B$42)-'Debt Schedule'!$F$9</x:f>
        <x:v>2956362.604676323</x:v>
      </x:c>
      <x:c r="P455" s="132" t="n">
        <x:f>((O455+(L455-N455-'Assumptions'!$B$27-'Assumptions'!$B$28)*('Assumptions'!$B$14/12))/ABS('Monthly Cash Flow'!$S$5))^(1/('Assumptions'!$B$14/12))-1</x:f>
        <x:v>0.1816577587736543</x:v>
      </x:c>
      <x:c r="Q455" s="133" t="n">
        <x:f>-ABS('Monthly Cash Flow'!$S$5)+((L455-N455-'Assumptions'!$B$27-'Assumptions'!$B$28)*(1-(1+'Assumptions'!$B$43)^-('Assumptions'!$B$14/12))/'Assumptions'!$B$43)+(O455/(1+'Assumptions'!$B$43)^('Assumptions'!$B$14/12))</x:f>
        <x:v>560881.5254120277</x:v>
      </x:c>
    </x:row>
    <x:row r="456">
      <x:c r="A456" s="131" t="n">
        <x:f>449</x:f>
        <x:v>449</x:v>
      </x:c>
      <x:c r="B456" s="131" t="n">
        <x:f>MOD(ABS(SIN((A456+1)*12.9898+78.233)*43758.5453),1)</x:f>
        <x:v>0.3731906382381567</x:v>
      </x:c>
      <x:c r="C456" s="131" t="n">
        <x:f>MOD(ABS(SIN((A456+2)*12.9898+78.233)*43758.5453),1)</x:f>
        <x:v>0.7873351107846247</x:v>
      </x:c>
      <x:c r="D456" s="131" t="n">
        <x:f>MOD(ABS(SIN((A456+3)*12.9898+78.233)*43758.5453),1)</x:f>
        <x:v>0.8241038316082268</x:v>
      </x:c>
      <x:c r="E456" s="131" t="n">
        <x:f>MOD(ABS(SIN((A456+4)*12.9898+78.233)*43758.5453),1)</x:f>
        <x:v>0.40871124796376535</x:v>
      </x:c>
      <x:c r="F456" s="131" t="n">
        <x:f>MOD(ABS(SIN((A456+5)*12.9898+78.233)*43758.5453),1)</x:f>
        <x:v>0.4544873795166495</x:v>
      </x:c>
      <x:c r="G456" s="132" t="n">
        <x:f>IF(B456&lt;(('Assumptions'!$C$47-'Assumptions'!$B$47)/('Assumptions'!$D$47-'Assumptions'!$B$47)),'Assumptions'!$B$47+SQRT(B456*('Assumptions'!$D$47-'Assumptions'!$B$47)*('Assumptions'!$C$47-'Assumptions'!$B$47)),'Assumptions'!$D$47-SQRT((1-B456)*('Assumptions'!$D$47-'Assumptions'!$B$47)*('Assumptions'!$D$47-'Assumptions'!$C$47)))</x:f>
        <x:v>-0.005360815104335559</x:v>
      </x:c>
      <x:c r="H456" s="132" t="n">
        <x:f>IF(C456&lt;(('Assumptions'!$C$48-'Assumptions'!$B$48)/('Assumptions'!$D$48-'Assumptions'!$B$48)),'Assumptions'!$B$48+SQRT(C456*('Assumptions'!$D$48-'Assumptions'!$B$48)*('Assumptions'!$C$48-'Assumptions'!$B$48)),'Assumptions'!$D$48-SQRT((1-C456)*('Assumptions'!$D$48-'Assumptions'!$B$48)*('Assumptions'!$D$48-'Assumptions'!$C$48)))</x:f>
        <x:v>0.09673972925309757</x:v>
      </x:c>
      <x:c r="I456" s="132" t="n">
        <x:f>IF(D456&lt;(('Assumptions'!$C$49-'Assumptions'!$B$49)/('Assumptions'!$D$49-'Assumptions'!$B$49)),'Assumptions'!$B$49+SQRT(D456*('Assumptions'!$D$49-'Assumptions'!$B$49)*('Assumptions'!$C$49-'Assumptions'!$B$49)),'Assumptions'!$D$49-SQRT((1-D456)*('Assumptions'!$D$49-'Assumptions'!$B$49)*('Assumptions'!$D$49-'Assumptions'!$C$49)))</x:f>
        <x:v>0.08836107368502999</x:v>
      </x:c>
      <x:c r="J456" s="132" t="n">
        <x:f>IF(E456&lt;(('Assumptions'!$C$50-'Assumptions'!$B$50)/('Assumptions'!$D$50-'Assumptions'!$B$50)),'Assumptions'!$B$50+SQRT(E456*('Assumptions'!$D$50-'Assumptions'!$B$50)*('Assumptions'!$C$50-'Assumptions'!$B$50)),'Assumptions'!$D$50-SQRT((1-E456)*('Assumptions'!$D$50-'Assumptions'!$B$50)*('Assumptions'!$D$50-'Assumptions'!$C$50)))</x:f>
        <x:v>0.0670895792812744</x:v>
      </x:c>
      <x:c r="K456" s="132" t="n">
        <x:f>IF(F456&lt;(('Assumptions'!$C$51-'Assumptions'!$B$51)/('Assumptions'!$D$51-'Assumptions'!$B$51)),'Assumptions'!$B$51+SQRT(F456*('Assumptions'!$D$51-'Assumptions'!$B$51)*('Assumptions'!$C$51-'Assumptions'!$B$51)),'Assumptions'!$D$51-SQRT((1-F456)*('Assumptions'!$D$51-'Assumptions'!$B$51)*('Assumptions'!$D$51-'Assumptions'!$C$51)))</x:f>
        <x:v>0.06879728576418098</x:v>
      </x:c>
      <x:c r="L456" s="133" t="n">
        <x:f>(('Assumptions'!$B$17*(1+G456)+'Assumptions'!$B$18)*(1-H456-'Assumptions'!$B$20)-SUM('Assumptions'!$B$21:$B$25)*(1+I456))-(('Assumptions'!$B$17*(1+G456)+'Assumptions'!$B$18)*(1-H456-'Assumptions'!$B$20)*'Assumptions'!$B$26)</x:f>
        <x:v>185357.85051515585</x:v>
      </x:c>
      <x:c r="M456" s="133" t="n">
        <x:f>'Assumptions'!$B$10*'Assumptions'!$B$33</x:f>
        <x:v>1950000</x:v>
      </x:c>
      <x:c r="N456" s="133" t="n">
        <x:f>-PMT(K456/12,'Assumptions'!$B$35*12,M456)*12</x:f>
        <x:v>153795.28329503126</x:v>
      </x:c>
      <x:c r="O456" s="133" t="n">
        <x:f>(L456*(1+'Assumptions'!$B$29)^('Assumptions'!$B$14/12)/J456)*(1-'Assumptions'!$B$42)-'Debt Schedule'!$F$9</x:f>
        <x:v>3010716.711892704</x:v>
      </x:c>
      <x:c r="P456" s="132" t="n">
        <x:f>((O456+(L456-N456-'Assumptions'!$B$27-'Assumptions'!$B$28)*('Assumptions'!$B$14/12))/ABS('Monthly Cash Flow'!$S$5))^(1/('Assumptions'!$B$14/12))-1</x:f>
        <x:v>0.18055945634063097</x:v>
      </x:c>
      <x:c r="Q456" s="133" t="n">
        <x:f>-ABS('Monthly Cash Flow'!$S$5)+((L456-N456-'Assumptions'!$B$27-'Assumptions'!$B$28)*(1-(1+'Assumptions'!$B$43)^-('Assumptions'!$B$14/12))/'Assumptions'!$B$43)+(O456/(1+'Assumptions'!$B$43)^('Assumptions'!$B$14/12))</x:f>
        <x:v>542933.6955550015</x:v>
      </x:c>
    </x:row>
    <x:row r="457">
      <x:c r="A457" s="131" t="n">
        <x:f>450</x:f>
        <x:v>450</x:v>
      </x:c>
      <x:c r="B457" s="131" t="n">
        <x:f>MOD(ABS(SIN((A457+1)*12.9898+78.233)*43758.5453),1)</x:f>
        <x:v>0.7873351107846247</x:v>
      </x:c>
      <x:c r="C457" s="131" t="n">
        <x:f>MOD(ABS(SIN((A457+2)*12.9898+78.233)*43758.5453),1)</x:f>
        <x:v>0.8241038316082268</x:v>
      </x:c>
      <x:c r="D457" s="131" t="n">
        <x:f>MOD(ABS(SIN((A457+3)*12.9898+78.233)*43758.5453),1)</x:f>
        <x:v>0.40871124796376535</x:v>
      </x:c>
      <x:c r="E457" s="131" t="n">
        <x:f>MOD(ABS(SIN((A457+4)*12.9898+78.233)*43758.5453),1)</x:f>
        <x:v>0.4544873795166495</x:v>
      </x:c>
      <x:c r="F457" s="131" t="n">
        <x:f>MOD(ABS(SIN((A457+5)*12.9898+78.233)*43758.5453),1)</x:f>
        <x:v>0.16930504756601295</x:v>
      </x:c>
      <x:c r="G457" s="132" t="n">
        <x:f>IF(B457&lt;(('Assumptions'!$C$47-'Assumptions'!$B$47)/('Assumptions'!$D$47-'Assumptions'!$B$47)),'Assumptions'!$B$47+SQRT(B457*('Assumptions'!$D$47-'Assumptions'!$B$47)*('Assumptions'!$C$47-'Assumptions'!$B$47)),'Assumptions'!$D$47-SQRT((1-B457)*('Assumptions'!$D$47-'Assumptions'!$B$47)*('Assumptions'!$D$47-'Assumptions'!$C$47)))</x:f>
        <x:v>0.04166786282463153</x:v>
      </x:c>
      <x:c r="H457" s="132" t="n">
        <x:f>IF(C457&lt;(('Assumptions'!$C$48-'Assumptions'!$B$48)/('Assumptions'!$D$48-'Assumptions'!$B$48)),'Assumptions'!$B$48+SQRT(C457*('Assumptions'!$D$48-'Assumptions'!$B$48)*('Assumptions'!$C$48-'Assumptions'!$B$48)),'Assumptions'!$D$48-SQRT((1-C457)*('Assumptions'!$D$48-'Assumptions'!$B$48)*('Assumptions'!$D$48-'Assumptions'!$C$48)))</x:f>
        <x:v>0.10065681403536816</x:v>
      </x:c>
      <x:c r="I457" s="132" t="n">
        <x:f>IF(D457&lt;(('Assumptions'!$C$49-'Assumptions'!$B$49)/('Assumptions'!$D$49-'Assumptions'!$B$49)),'Assumptions'!$B$49+SQRT(D457*('Assumptions'!$D$49-'Assumptions'!$B$49)*('Assumptions'!$C$49-'Assumptions'!$B$49)),'Assumptions'!$D$49-SQRT((1-D457)*('Assumptions'!$D$49-'Assumptions'!$B$49)*('Assumptions'!$D$49-'Assumptions'!$C$49)))</x:f>
        <x:v>0.03698744740524321</x:v>
      </x:c>
      <x:c r="J457" s="132" t="n">
        <x:f>IF(E457&lt;(('Assumptions'!$C$50-'Assumptions'!$B$50)/('Assumptions'!$D$50-'Assumptions'!$B$50)),'Assumptions'!$B$50+SQRT(E457*('Assumptions'!$D$50-'Assumptions'!$B$50)*('Assumptions'!$C$50-'Assumptions'!$B$50)),'Assumptions'!$D$50-SQRT((1-E457)*('Assumptions'!$D$50-'Assumptions'!$B$50)*('Assumptions'!$D$50-'Assumptions'!$C$50)))</x:f>
        <x:v>0.06761349829407261</x:v>
      </x:c>
      <x:c r="K457" s="132" t="n">
        <x:f>IF(F457&lt;(('Assumptions'!$C$51-'Assumptions'!$B$51)/('Assumptions'!$D$51-'Assumptions'!$B$51)),'Assumptions'!$B$51+SQRT(F457*('Assumptions'!$D$51-'Assumptions'!$B$51)*('Assumptions'!$C$51-'Assumptions'!$B$51)),'Assumptions'!$D$51-SQRT((1-F457)*('Assumptions'!$D$51-'Assumptions'!$B$51)*('Assumptions'!$D$51-'Assumptions'!$C$51)))</x:f>
        <x:v>0.06432340736587328</x:v>
      </x:c>
      <x:c r="L457" s="133" t="n">
        <x:f>(('Assumptions'!$B$17*(1+G457)+'Assumptions'!$B$18)*(1-H457-'Assumptions'!$B$20)-SUM('Assumptions'!$B$21:$B$25)*(1+I457))-(('Assumptions'!$B$17*(1+G457)+'Assumptions'!$B$18)*(1-H457-'Assumptions'!$B$20)*'Assumptions'!$B$26)</x:f>
        <x:v>204871.34647520533</x:v>
      </x:c>
      <x:c r="M457" s="133" t="n">
        <x:f>'Assumptions'!$B$10*'Assumptions'!$B$33</x:f>
        <x:v>1950000</x:v>
      </x:c>
      <x:c r="N457" s="133" t="n">
        <x:f>-PMT(K457/12,'Assumptions'!$B$35*12,M457)*12</x:f>
        <x:v>146864.24725664503</x:v>
      </x:c>
      <x:c r="O457" s="133" t="n">
        <x:f>(L457*(1+'Assumptions'!$B$29)^('Assumptions'!$B$14/12)/J457)*(1-'Assumptions'!$B$42)-'Debt Schedule'!$F$9</x:f>
        <x:v>3301883.8506551804</x:v>
      </x:c>
      <x:c r="P457" s="132" t="n">
        <x:f>((O457+(L457-N457-'Assumptions'!$B$27-'Assumptions'!$B$28)*('Assumptions'!$B$14/12))/ABS('Monthly Cash Flow'!$S$5))^(1/('Assumptions'!$B$14/12))-1</x:f>
        <x:v>0.21246355299137543</x:v>
      </x:c>
      <x:c r="Q457" s="133" t="n">
        <x:f>-ABS('Monthly Cash Flow'!$S$5)+((L457-N457-'Assumptions'!$B$27-'Assumptions'!$B$28)*(1-(1+'Assumptions'!$B$43)^-('Assumptions'!$B$14/12))/'Assumptions'!$B$43)+(O457/(1+'Assumptions'!$B$43)^('Assumptions'!$B$14/12))</x:f>
        <x:v>823971.1626096154</x:v>
      </x:c>
    </x:row>
    <x:row r="458">
      <x:c r="A458" s="131" t="n">
        <x:f>451</x:f>
        <x:v>451</x:v>
      </x:c>
      <x:c r="B458" s="131" t="n">
        <x:f>MOD(ABS(SIN((A458+1)*12.9898+78.233)*43758.5453),1)</x:f>
        <x:v>0.8241038316082268</x:v>
      </x:c>
      <x:c r="C458" s="131" t="n">
        <x:f>MOD(ABS(SIN((A458+2)*12.9898+78.233)*43758.5453),1)</x:f>
        <x:v>0.40871124796376535</x:v>
      </x:c>
      <x:c r="D458" s="131" t="n">
        <x:f>MOD(ABS(SIN((A458+3)*12.9898+78.233)*43758.5453),1)</x:f>
        <x:v>0.4544873795166495</x:v>
      </x:c>
      <x:c r="E458" s="131" t="n">
        <x:f>MOD(ABS(SIN((A458+4)*12.9898+78.233)*43758.5453),1)</x:f>
        <x:v>0.16930504756601295</x:v>
      </x:c>
      <x:c r="F458" s="131" t="n">
        <x:f>MOD(ABS(SIN((A458+5)*12.9898+78.233)*43758.5453),1)</x:f>
        <x:v>0.40300378887332045</x:v>
      </x:c>
      <x:c r="G458" s="132" t="n">
        <x:f>IF(B458&lt;(('Assumptions'!$C$47-'Assumptions'!$B$47)/('Assumptions'!$D$47-'Assumptions'!$B$47)),'Assumptions'!$B$47+SQRT(B458*('Assumptions'!$D$47-'Assumptions'!$B$47)*('Assumptions'!$C$47-'Assumptions'!$B$47)),'Assumptions'!$D$47-SQRT((1-B458)*('Assumptions'!$D$47-'Assumptions'!$B$47)*('Assumptions'!$D$47-'Assumptions'!$C$47)))</x:f>
        <x:v>0.046949658867558905</x:v>
      </x:c>
      <x:c r="H458" s="132" t="n">
        <x:f>IF(C458&lt;(('Assumptions'!$C$48-'Assumptions'!$B$48)/('Assumptions'!$D$48-'Assumptions'!$B$48)),'Assumptions'!$B$48+SQRT(C458*('Assumptions'!$D$48-'Assumptions'!$B$48)*('Assumptions'!$C$48-'Assumptions'!$B$48)),'Assumptions'!$D$48-SQRT((1-C458)*('Assumptions'!$D$48-'Assumptions'!$B$48)*('Assumptions'!$D$48-'Assumptions'!$C$48)))</x:f>
        <x:v>0.06786581241936065</x:v>
      </x:c>
      <x:c r="I458" s="132" t="n">
        <x:f>IF(D458&lt;(('Assumptions'!$C$49-'Assumptions'!$B$49)/('Assumptions'!$D$49-'Assumptions'!$B$49)),'Assumptions'!$B$49+SQRT(D458*('Assumptions'!$D$49-'Assumptions'!$B$49)*('Assumptions'!$C$49-'Assumptions'!$B$49)),'Assumptions'!$D$49-SQRT((1-D458)*('Assumptions'!$D$49-'Assumptions'!$B$49)*('Assumptions'!$D$49-'Assumptions'!$C$49)))</x:f>
        <x:v>0.04145013771339749</x:v>
      </x:c>
      <x:c r="J458" s="132" t="n">
        <x:f>IF(E458&lt;(('Assumptions'!$C$50-'Assumptions'!$B$50)/('Assumptions'!$D$50-'Assumptions'!$B$50)),'Assumptions'!$B$50+SQRT(E458*('Assumptions'!$D$50-'Assumptions'!$B$50)*('Assumptions'!$C$50-'Assumptions'!$B$50)),'Assumptions'!$D$50-SQRT((1-E458)*('Assumptions'!$D$50-'Assumptions'!$B$50)*('Assumptions'!$D$50-'Assumptions'!$C$50)))</x:f>
        <x:v>0.0636720041884588</x:v>
      </x:c>
      <x:c r="K458" s="132" t="n">
        <x:f>IF(F458&lt;(('Assumptions'!$C$51-'Assumptions'!$B$51)/('Assumptions'!$D$51-'Assumptions'!$B$51)),'Assumptions'!$B$51+SQRT(F458*('Assumptions'!$D$51-'Assumptions'!$B$51)*('Assumptions'!$C$51-'Assumptions'!$B$51)),'Assumptions'!$D$51-SQRT((1-F458)*('Assumptions'!$D$51-'Assumptions'!$B$51)*('Assumptions'!$D$51-'Assumptions'!$C$51)))</x:f>
        <x:v>0.0680499431680978</x:v>
      </x:c>
      <x:c r="L458" s="133" t="n">
        <x:f>(('Assumptions'!$B$17*(1+G458)+'Assumptions'!$B$18)*(1-H458-'Assumptions'!$B$20)-SUM('Assumptions'!$B$21:$B$25)*(1+I458))-(('Assumptions'!$B$17*(1+G458)+'Assumptions'!$B$18)*(1-H458-'Assumptions'!$B$20)*'Assumptions'!$B$26)</x:f>
        <x:v>218363.70347896998</x:v>
      </x:c>
      <x:c r="M458" s="133" t="n">
        <x:f>'Assumptions'!$B$10*'Assumptions'!$B$33</x:f>
        <x:v>1950000</x:v>
      </x:c>
      <x:c r="N458" s="133" t="n">
        <x:f>-PMT(K458/12,'Assumptions'!$B$35*12,M458)*12</x:f>
        <x:v>152628.34875906777</x:v>
      </x:c>
      <x:c r="O458" s="133" t="n">
        <x:f>(L458*(1+'Assumptions'!$B$29)^('Assumptions'!$B$14/12)/J458)*(1-'Assumptions'!$B$42)-'Debt Schedule'!$F$9</x:f>
        <x:v>3737196.283225465</x:v>
      </x:c>
      <x:c r="P458" s="132" t="n">
        <x:f>((O458+(L458-N458-'Assumptions'!$B$27-'Assumptions'!$B$28)*('Assumptions'!$B$14/12))/ABS('Monthly Cash Flow'!$S$5))^(1/('Assumptions'!$B$14/12))-1</x:f>
        <x:v>0.24459802319837665</x:v>
      </x:c>
      <x:c r="Q458" s="133" t="n">
        <x:f>-ABS('Monthly Cash Flow'!$S$5)+((L458-N458-'Assumptions'!$B$27-'Assumptions'!$B$28)*(1-(1+'Assumptions'!$B$43)^-('Assumptions'!$B$14/12))/'Assumptions'!$B$43)+(O458/(1+'Assumptions'!$B$43)^('Assumptions'!$B$14/12))</x:f>
        <x:v>1123562.102890351</x:v>
      </x:c>
    </x:row>
    <x:row r="459">
      <x:c r="A459" s="131" t="n">
        <x:f>452</x:f>
        <x:v>452</x:v>
      </x:c>
      <x:c r="B459" s="131" t="n">
        <x:f>MOD(ABS(SIN((A459+1)*12.9898+78.233)*43758.5453),1)</x:f>
        <x:v>0.40871124796376535</x:v>
      </x:c>
      <x:c r="C459" s="131" t="n">
        <x:f>MOD(ABS(SIN((A459+2)*12.9898+78.233)*43758.5453),1)</x:f>
        <x:v>0.4544873795166495</x:v>
      </x:c>
      <x:c r="D459" s="131" t="n">
        <x:f>MOD(ABS(SIN((A459+3)*12.9898+78.233)*43758.5453),1)</x:f>
        <x:v>0.16930504756601295</x:v>
      </x:c>
      <x:c r="E459" s="131" t="n">
        <x:f>MOD(ABS(SIN((A459+4)*12.9898+78.233)*43758.5453),1)</x:f>
        <x:v>0.40300378887332045</x:v>
      </x:c>
      <x:c r="F459" s="131" t="n">
        <x:f>MOD(ABS(SIN((A459+5)*12.9898+78.233)*43758.5453),1)</x:f>
        <x:v>0.3029852252584533</x:v>
      </x:c>
      <x:c r="G459" s="132" t="n">
        <x:f>IF(B459&lt;(('Assumptions'!$C$47-'Assumptions'!$B$47)/('Assumptions'!$D$47-'Assumptions'!$B$47)),'Assumptions'!$B$47+SQRT(B459*('Assumptions'!$D$47-'Assumptions'!$B$47)*('Assumptions'!$C$47-'Assumptions'!$B$47)),'Assumptions'!$D$47-SQRT((1-B459)*('Assumptions'!$D$47-'Assumptions'!$B$47)*('Assumptions'!$D$47-'Assumptions'!$C$47)))</x:f>
        <x:v>-0.0009592510573028373</x:v>
      </x:c>
      <x:c r="H459" s="132" t="n">
        <x:f>IF(C459&lt;(('Assumptions'!$C$48-'Assumptions'!$B$48)/('Assumptions'!$D$48-'Assumptions'!$B$48)),'Assumptions'!$B$48+SQRT(C459*('Assumptions'!$D$48-'Assumptions'!$B$48)*('Assumptions'!$C$48-'Assumptions'!$B$48)),'Assumptions'!$D$48-SQRT((1-C459)*('Assumptions'!$D$48-'Assumptions'!$B$48)*('Assumptions'!$D$48-'Assumptions'!$C$48)))</x:f>
        <x:v>0.07071427953572623</x:v>
      </x:c>
      <x:c r="I459" s="132" t="n">
        <x:f>IF(D459&lt;(('Assumptions'!$C$49-'Assumptions'!$B$49)/('Assumptions'!$D$49-'Assumptions'!$B$49)),'Assumptions'!$B$49+SQRT(D459*('Assumptions'!$D$49-'Assumptions'!$B$49)*('Assumptions'!$C$49-'Assumptions'!$B$49)),'Assumptions'!$D$49-SQRT((1-D459)*('Assumptions'!$D$49-'Assumptions'!$B$49)*('Assumptions'!$D$49-'Assumptions'!$C$49)))</x:f>
        <x:v>0.012760899355754196</x:v>
      </x:c>
      <x:c r="J459" s="132" t="n">
        <x:f>IF(E459&lt;(('Assumptions'!$C$50-'Assumptions'!$B$50)/('Assumptions'!$D$50-'Assumptions'!$B$50)),'Assumptions'!$B$50+SQRT(E459*('Assumptions'!$D$50-'Assumptions'!$B$50)*('Assumptions'!$C$50-'Assumptions'!$B$50)),'Assumptions'!$D$50-SQRT((1-E459)*('Assumptions'!$D$50-'Assumptions'!$B$50)*('Assumptions'!$D$50-'Assumptions'!$C$50)))</x:f>
        <x:v>0.06702238691172005</x:v>
      </x:c>
      <x:c r="K459" s="132" t="n">
        <x:f>IF(F459&lt;(('Assumptions'!$C$51-'Assumptions'!$B$51)/('Assumptions'!$D$51-'Assumptions'!$B$51)),'Assumptions'!$B$51+SQRT(F459*('Assumptions'!$D$51-'Assumptions'!$B$51)*('Assumptions'!$C$51-'Assumptions'!$B$51)),'Assumptions'!$D$51-SQRT((1-F459)*('Assumptions'!$D$51-'Assumptions'!$B$51)*('Assumptions'!$D$51-'Assumptions'!$C$51)))</x:f>
        <x:v>0.06662803028840696</x:v>
      </x:c>
      <x:c r="L459" s="133" t="n">
        <x:f>(('Assumptions'!$B$17*(1+G459)+'Assumptions'!$B$18)*(1-H459-'Assumptions'!$B$20)-SUM('Assumptions'!$B$21:$B$25)*(1+I459))-(('Assumptions'!$B$17*(1+G459)+'Assumptions'!$B$18)*(1-H459-'Assumptions'!$B$20)*'Assumptions'!$B$26)</x:f>
        <x:v>205677.769927006</x:v>
      </x:c>
      <x:c r="M459" s="133" t="n">
        <x:f>'Assumptions'!$B$10*'Assumptions'!$B$33</x:f>
        <x:v>1950000</x:v>
      </x:c>
      <x:c r="N459" s="133" t="n">
        <x:f>-PMT(K459/12,'Assumptions'!$B$35*12,M459)*12</x:f>
        <x:v>150418.1385187826</x:v>
      </x:c>
      <x:c r="O459" s="133" t="n">
        <x:f>(L459*(1+'Assumptions'!$B$29)^('Assumptions'!$B$14/12)/J459)*(1-'Assumptions'!$B$42)-'Debt Schedule'!$F$9</x:f>
        <x:v>3344116.828474994</x:v>
      </x:c>
      <x:c r="P459" s="132" t="n">
        <x:f>((O459+(L459-N459-'Assumptions'!$B$27-'Assumptions'!$B$28)*('Assumptions'!$B$14/12))/ABS('Monthly Cash Flow'!$S$5))^(1/('Assumptions'!$B$14/12))-1</x:f>
        <x:v>0.2144939316438761</x:v>
      </x:c>
      <x:c r="Q459" s="133" t="n">
        <x:f>-ABS('Monthly Cash Flow'!$S$5)+((L459-N459-'Assumptions'!$B$27-'Assumptions'!$B$28)*(1-(1+'Assumptions'!$B$43)^-('Assumptions'!$B$14/12))/'Assumptions'!$B$43)+(O459/(1+'Assumptions'!$B$43)^('Assumptions'!$B$14/12))</x:f>
        <x:v>839779.4544494215</x:v>
      </x:c>
    </x:row>
    <x:row r="460">
      <x:c r="A460" s="131" t="n">
        <x:f>453</x:f>
        <x:v>453</x:v>
      </x:c>
      <x:c r="B460" s="131" t="n">
        <x:f>MOD(ABS(SIN((A460+1)*12.9898+78.233)*43758.5453),1)</x:f>
        <x:v>0.4544873795166495</x:v>
      </x:c>
      <x:c r="C460" s="131" t="n">
        <x:f>MOD(ABS(SIN((A460+2)*12.9898+78.233)*43758.5453),1)</x:f>
        <x:v>0.16930504756601295</x:v>
      </x:c>
      <x:c r="D460" s="131" t="n">
        <x:f>MOD(ABS(SIN((A460+3)*12.9898+78.233)*43758.5453),1)</x:f>
        <x:v>0.40300378887332045</x:v>
      </x:c>
      <x:c r="E460" s="131" t="n">
        <x:f>MOD(ABS(SIN((A460+4)*12.9898+78.233)*43758.5453),1)</x:f>
        <x:v>0.3029852252584533</x:v>
      </x:c>
      <x:c r="F460" s="131" t="n">
        <x:f>MOD(ABS(SIN((A460+5)*12.9898+78.233)*43758.5453),1)</x:f>
        <x:v>0.36856312889722176</x:v>
      </x:c>
      <x:c r="G460" s="132" t="n">
        <x:f>IF(B460&lt;(('Assumptions'!$C$47-'Assumptions'!$B$47)/('Assumptions'!$D$47-'Assumptions'!$B$47)),'Assumptions'!$B$47+SQRT(B460*('Assumptions'!$D$47-'Assumptions'!$B$47)*('Assumptions'!$C$47-'Assumptions'!$B$47)),'Assumptions'!$D$47-SQRT((1-B460)*('Assumptions'!$D$47-'Assumptions'!$B$47)*('Assumptions'!$D$47-'Assumptions'!$C$47)))</x:f>
        <x:v>0.004439921047459577</x:v>
      </x:c>
      <x:c r="H460" s="132" t="n">
        <x:f>IF(C460&lt;(('Assumptions'!$C$48-'Assumptions'!$B$48)/('Assumptions'!$D$48-'Assumptions'!$B$48)),'Assumptions'!$B$48+SQRT(C460*('Assumptions'!$D$48-'Assumptions'!$B$48)*('Assumptions'!$C$48-'Assumptions'!$B$48)),'Assumptions'!$D$48-SQRT((1-C460)*('Assumptions'!$D$48-'Assumptions'!$B$48)*('Assumptions'!$D$48-'Assumptions'!$C$48)))</x:f>
        <x:v>0.05363697647686444</x:v>
      </x:c>
      <x:c r="I460" s="132" t="n">
        <x:f>IF(D460&lt;(('Assumptions'!$C$49-'Assumptions'!$B$49)/('Assumptions'!$D$49-'Assumptions'!$B$49)),'Assumptions'!$B$49+SQRT(D460*('Assumptions'!$D$49-'Assumptions'!$B$49)*('Assumptions'!$C$49-'Assumptions'!$B$49)),'Assumptions'!$D$49-SQRT((1-D460)*('Assumptions'!$D$49-'Assumptions'!$B$49)*('Assumptions'!$D$49-'Assumptions'!$C$49)))</x:f>
        <x:v>0.03644332621841956</x:v>
      </x:c>
      <x:c r="J460" s="132" t="n">
        <x:f>IF(E460&lt;(('Assumptions'!$C$50-'Assumptions'!$B$50)/('Assumptions'!$D$50-'Assumptions'!$B$50)),'Assumptions'!$B$50+SQRT(E460*('Assumptions'!$D$50-'Assumptions'!$B$50)*('Assumptions'!$C$50-'Assumptions'!$B$50)),'Assumptions'!$D$50-SQRT((1-E460)*('Assumptions'!$D$50-'Assumptions'!$B$50)*('Assumptions'!$D$50-'Assumptions'!$C$50)))</x:f>
        <x:v>0.06575661405681239</x:v>
      </x:c>
      <x:c r="K460" s="132" t="n">
        <x:f>IF(F460&lt;(('Assumptions'!$C$51-'Assumptions'!$B$51)/('Assumptions'!$D$51-'Assumptions'!$B$51)),'Assumptions'!$B$51+SQRT(F460*('Assumptions'!$D$51-'Assumptions'!$B$51)*('Assumptions'!$C$51-'Assumptions'!$B$51)),'Assumptions'!$D$51-SQRT((1-F460)*('Assumptions'!$D$51-'Assumptions'!$B$51)*('Assumptions'!$D$51-'Assumptions'!$C$51)))</x:f>
        <x:v>0.06756787464999715</x:v>
      </x:c>
      <x:c r="L460" s="133" t="n">
        <x:f>(('Assumptions'!$B$17*(1+G460)+'Assumptions'!$B$18)*(1-H460-'Assumptions'!$B$20)-SUM('Assumptions'!$B$21:$B$25)*(1+I460))-(('Assumptions'!$B$17*(1+G460)+'Assumptions'!$B$18)*(1-H460-'Assumptions'!$B$20)*'Assumptions'!$B$26)</x:f>
        <x:v>210632.34467348232</x:v>
      </x:c>
      <x:c r="M460" s="133" t="n">
        <x:f>'Assumptions'!$B$10*'Assumptions'!$B$33</x:f>
        <x:v>1950000</x:v>
      </x:c>
      <x:c r="N460" s="133" t="n">
        <x:f>-PMT(K460/12,'Assumptions'!$B$35*12,M460)*12</x:f>
        <x:v>151877.54526868157</x:v>
      </x:c>
      <x:c r="O460" s="133" t="n">
        <x:f>(L460*(1+'Assumptions'!$B$29)^('Assumptions'!$B$14/12)/J460)*(1-'Assumptions'!$B$42)-'Debt Schedule'!$F$9</x:f>
        <x:v>3490596.082203096</x:v>
      </x:c>
      <x:c r="P460" s="132" t="n">
        <x:f>((O460+(L460-N460-'Assumptions'!$B$27-'Assumptions'!$B$28)*('Assumptions'!$B$14/12))/ABS('Monthly Cash Flow'!$S$5))^(1/('Assumptions'!$B$14/12))-1</x:f>
        <x:v>0.22592007738855568</x:v>
      </x:c>
      <x:c r="Q460" s="133" t="n">
        <x:f>-ABS('Monthly Cash Flow'!$S$5)+((L460-N460-'Assumptions'!$B$27-'Assumptions'!$B$28)*(1-(1+'Assumptions'!$B$43)^-('Assumptions'!$B$14/12))/'Assumptions'!$B$43)+(O460/(1+'Assumptions'!$B$43)^('Assumptions'!$B$14/12))</x:f>
        <x:v>943980.9830732774</x:v>
      </x:c>
    </x:row>
    <x:row r="461">
      <x:c r="A461" s="131" t="n">
        <x:f>454</x:f>
        <x:v>454</x:v>
      </x:c>
      <x:c r="B461" s="131" t="n">
        <x:f>MOD(ABS(SIN((A461+1)*12.9898+78.233)*43758.5453),1)</x:f>
        <x:v>0.16930504756601295</x:v>
      </x:c>
      <x:c r="C461" s="131" t="n">
        <x:f>MOD(ABS(SIN((A461+2)*12.9898+78.233)*43758.5453),1)</x:f>
        <x:v>0.40300378887332045</x:v>
      </x:c>
      <x:c r="D461" s="131" t="n">
        <x:f>MOD(ABS(SIN((A461+3)*12.9898+78.233)*43758.5453),1)</x:f>
        <x:v>0.3029852252584533</x:v>
      </x:c>
      <x:c r="E461" s="131" t="n">
        <x:f>MOD(ABS(SIN((A461+4)*12.9898+78.233)*43758.5453),1)</x:f>
        <x:v>0.36856312889722176</x:v>
      </x:c>
      <x:c r="F461" s="131" t="n">
        <x:f>MOD(ABS(SIN((A461+5)*12.9898+78.233)*43758.5453),1)</x:f>
        <x:v>0.23988858680968406</x:v>
      </x:c>
      <x:c r="G461" s="132" t="n">
        <x:f>IF(B461&lt;(('Assumptions'!$C$47-'Assumptions'!$B$47)/('Assumptions'!$D$47-'Assumptions'!$B$47)),'Assumptions'!$B$47+SQRT(B461*('Assumptions'!$D$47-'Assumptions'!$B$47)*('Assumptions'!$C$47-'Assumptions'!$B$47)),'Assumptions'!$D$47-SQRT((1-B461)*('Assumptions'!$D$47-'Assumptions'!$B$47)*('Assumptions'!$D$47-'Assumptions'!$C$47)))</x:f>
        <x:v>-0.03625581484100443</x:v>
      </x:c>
      <x:c r="H461" s="132" t="n">
        <x:f>IF(C461&lt;(('Assumptions'!$C$48-'Assumptions'!$B$48)/('Assumptions'!$D$48-'Assumptions'!$B$48)),'Assumptions'!$B$48+SQRT(C461*('Assumptions'!$D$48-'Assumptions'!$B$48)*('Assumptions'!$C$48-'Assumptions'!$B$48)),'Assumptions'!$D$48-SQRT((1-C461)*('Assumptions'!$D$48-'Assumptions'!$B$48)*('Assumptions'!$D$48-'Assumptions'!$C$48)))</x:f>
        <x:v>0.0675185081699143</x:v>
      </x:c>
      <x:c r="I461" s="132" t="n">
        <x:f>IF(D461&lt;(('Assumptions'!$C$49-'Assumptions'!$B$49)/('Assumptions'!$D$49-'Assumptions'!$B$49)),'Assumptions'!$B$49+SQRT(D461*('Assumptions'!$D$49-'Assumptions'!$B$49)*('Assumptions'!$C$49-'Assumptions'!$B$49)),'Assumptions'!$D$49-SQRT((1-D461)*('Assumptions'!$D$49-'Assumptions'!$B$49)*('Assumptions'!$D$49-'Assumptions'!$C$49)))</x:f>
        <x:v>0.027203500179545786</x:v>
      </x:c>
      <x:c r="J461" s="132" t="n">
        <x:f>IF(E461&lt;(('Assumptions'!$C$50-'Assumptions'!$B$50)/('Assumptions'!$D$50-'Assumptions'!$B$50)),'Assumptions'!$B$50+SQRT(E461*('Assumptions'!$D$50-'Assumptions'!$B$50)*('Assumptions'!$C$50-'Assumptions'!$B$50)),'Assumptions'!$D$50-SQRT((1-E461)*('Assumptions'!$D$50-'Assumptions'!$B$50)*('Assumptions'!$D$50-'Assumptions'!$C$50)))</x:f>
        <x:v>0.06660641005017208</x:v>
      </x:c>
      <x:c r="K461" s="132" t="n">
        <x:f>IF(F461&lt;(('Assumptions'!$C$51-'Assumptions'!$B$51)/('Assumptions'!$D$51-'Assumptions'!$B$51)),'Assumptions'!$B$51+SQRT(F461*('Assumptions'!$D$51-'Assumptions'!$B$51)*('Assumptions'!$C$51-'Assumptions'!$B$51)),'Assumptions'!$D$51-SQRT((1-F461)*('Assumptions'!$D$51-'Assumptions'!$B$51)*('Assumptions'!$D$51-'Assumptions'!$C$51)))</x:f>
        <x:v>0.06562215250858189</x:v>
      </x:c>
      <x:c r="L461" s="133" t="n">
        <x:f>(('Assumptions'!$B$17*(1+G461)+'Assumptions'!$B$18)*(1-H461-'Assumptions'!$B$20)-SUM('Assumptions'!$B$21:$B$25)*(1+I461))-(('Assumptions'!$B$17*(1+G461)+'Assumptions'!$B$18)*(1-H461-'Assumptions'!$B$20)*'Assumptions'!$B$26)</x:f>
        <x:v>193763.74077587595</x:v>
      </x:c>
      <x:c r="M461" s="133" t="n">
        <x:f>'Assumptions'!$B$10*'Assumptions'!$B$33</x:f>
        <x:v>1950000</x:v>
      </x:c>
      <x:c r="N461" s="133" t="n">
        <x:f>-PMT(K461/12,'Assumptions'!$B$35*12,M461)*12</x:f>
        <x:v>148862.64551523482</x:v>
      </x:c>
      <x:c r="O461" s="133" t="n">
        <x:f>(L461*(1+'Assumptions'!$B$29)^('Assumptions'!$B$14/12)/J461)*(1-'Assumptions'!$B$42)-'Debt Schedule'!$F$9</x:f>
        <x:v>3170081.7412101575</x:v>
      </x:c>
      <x:c r="P461" s="132" t="n">
        <x:f>((O461+(L461-N461-'Assumptions'!$B$27-'Assumptions'!$B$28)*('Assumptions'!$B$14/12))/ABS('Monthly Cash Flow'!$S$5))^(1/('Assumptions'!$B$14/12))-1</x:f>
        <x:v>0.19801578121675467</x:v>
      </x:c>
      <x:c r="Q461" s="133" t="n">
        <x:f>-ABS('Monthly Cash Flow'!$S$5)+((L461-N461-'Assumptions'!$B$27-'Assumptions'!$B$28)*(1-(1+'Assumptions'!$B$43)^-('Assumptions'!$B$14/12))/'Assumptions'!$B$43)+(O461/(1+'Assumptions'!$B$43)^('Assumptions'!$B$14/12))</x:f>
        <x:v>692450.3560275296</x:v>
      </x:c>
    </x:row>
    <x:row r="462">
      <x:c r="A462" s="131" t="n">
        <x:f>455</x:f>
        <x:v>455</x:v>
      </x:c>
      <x:c r="B462" s="131" t="n">
        <x:f>MOD(ABS(SIN((A462+1)*12.9898+78.233)*43758.5453),1)</x:f>
        <x:v>0.40300378887332045</x:v>
      </x:c>
      <x:c r="C462" s="131" t="n">
        <x:f>MOD(ABS(SIN((A462+2)*12.9898+78.233)*43758.5453),1)</x:f>
        <x:v>0.3029852252584533</x:v>
      </x:c>
      <x:c r="D462" s="131" t="n">
        <x:f>MOD(ABS(SIN((A462+3)*12.9898+78.233)*43758.5453),1)</x:f>
        <x:v>0.36856312889722176</x:v>
      </x:c>
      <x:c r="E462" s="131" t="n">
        <x:f>MOD(ABS(SIN((A462+4)*12.9898+78.233)*43758.5453),1)</x:f>
        <x:v>0.23988858680968406</x:v>
      </x:c>
      <x:c r="F462" s="131" t="n">
        <x:f>MOD(ABS(SIN((A462+5)*12.9898+78.233)*43758.5453),1)</x:f>
        <x:v>0.36261148285484524</x:v>
      </x:c>
      <x:c r="G462" s="132" t="n">
        <x:f>IF(B462&lt;(('Assumptions'!$C$47-'Assumptions'!$B$47)/('Assumptions'!$D$47-'Assumptions'!$B$47)),'Assumptions'!$B$47+SQRT(B462*('Assumptions'!$D$47-'Assumptions'!$B$47)*('Assumptions'!$C$47-'Assumptions'!$B$47)),'Assumptions'!$D$47-SQRT((1-B462)*('Assumptions'!$D$47-'Assumptions'!$B$47)*('Assumptions'!$D$47-'Assumptions'!$C$47)))</x:f>
        <x:v>-0.0016532108660395062</x:v>
      </x:c>
      <x:c r="H462" s="132" t="n">
        <x:f>IF(C462&lt;(('Assumptions'!$C$48-'Assumptions'!$B$48)/('Assumptions'!$D$48-'Assumptions'!$B$48)),'Assumptions'!$B$48+SQRT(C462*('Assumptions'!$D$48-'Assumptions'!$B$48)*('Assumptions'!$C$48-'Assumptions'!$B$48)),'Assumptions'!$D$48-SQRT((1-C462)*('Assumptions'!$D$48-'Assumptions'!$B$48)*('Assumptions'!$D$48-'Assumptions'!$C$48)))</x:f>
        <x:v>0.06168186660979712</x:v>
      </x:c>
      <x:c r="I462" s="132" t="n">
        <x:f>IF(D462&lt;(('Assumptions'!$C$49-'Assumptions'!$B$49)/('Assumptions'!$D$49-'Assumptions'!$B$49)),'Assumptions'!$B$49+SQRT(D462*('Assumptions'!$D$49-'Assumptions'!$B$49)*('Assumptions'!$C$49-'Assumptions'!$B$49)),'Assumptions'!$D$49-SQRT((1-D462)*('Assumptions'!$D$49-'Assumptions'!$B$49)*('Assumptions'!$D$49-'Assumptions'!$C$49)))</x:f>
        <x:v>0.033213714778575085</x:v>
      </x:c>
      <x:c r="J462" s="132" t="n">
        <x:f>IF(E462&lt;(('Assumptions'!$C$50-'Assumptions'!$B$50)/('Assumptions'!$D$50-'Assumptions'!$B$50)),'Assumptions'!$B$50+SQRT(E462*('Assumptions'!$D$50-'Assumptions'!$B$50)*('Assumptions'!$C$50-'Assumptions'!$B$50)),'Assumptions'!$D$50-SQRT((1-E462)*('Assumptions'!$D$50-'Assumptions'!$B$50)*('Assumptions'!$D$50-'Assumptions'!$C$50)))</x:f>
        <x:v>0.06484676337118454</x:v>
      </x:c>
      <x:c r="K462" s="132" t="n">
        <x:f>IF(F462&lt;(('Assumptions'!$C$51-'Assumptions'!$B$51)/('Assumptions'!$D$51-'Assumptions'!$B$51)),'Assumptions'!$B$51+SQRT(F462*('Assumptions'!$D$51-'Assumptions'!$B$51)*('Assumptions'!$C$51-'Assumptions'!$B$51)),'Assumptions'!$D$51-SQRT((1-F462)*('Assumptions'!$D$51-'Assumptions'!$B$51)*('Assumptions'!$D$51-'Assumptions'!$C$51)))</x:f>
        <x:v>0.06748589794585758</x:v>
      </x:c>
      <x:c r="L462" s="133" t="n">
        <x:f>(('Assumptions'!$B$17*(1+G462)+'Assumptions'!$B$18)*(1-H462-'Assumptions'!$B$20)-SUM('Assumptions'!$B$21:$B$25)*(1+I462))-(('Assumptions'!$B$17*(1+G462)+'Assumptions'!$B$18)*(1-H462-'Assumptions'!$B$20)*'Assumptions'!$B$26)</x:f>
        <x:v>206152.7619184457</x:v>
      </x:c>
      <x:c r="M462" s="133" t="n">
        <x:f>'Assumptions'!$B$10*'Assumptions'!$B$33</x:f>
        <x:v>1950000</x:v>
      </x:c>
      <x:c r="N462" s="133" t="n">
        <x:f>-PMT(K462/12,'Assumptions'!$B$35*12,M462)*12</x:f>
        <x:v>151750.02020236175</x:v>
      </x:c>
      <x:c r="O462" s="133" t="n">
        <x:f>(L462*(1+'Assumptions'!$B$29)^('Assumptions'!$B$14/12)/J462)*(1-'Assumptions'!$B$42)-'Debt Schedule'!$F$9</x:f>
        <x:v>3464294.7068500263</x:v>
      </x:c>
      <x:c r="P462" s="132" t="n">
        <x:f>((O462+(L462-N462-'Assumptions'!$B$27-'Assumptions'!$B$28)*('Assumptions'!$B$14/12))/ABS('Monthly Cash Flow'!$S$5))^(1/('Assumptions'!$B$14/12))-1</x:f>
        <x:v>0.22261470778510728</x:v>
      </x:c>
      <x:c r="Q462" s="133" t="n">
        <x:f>-ABS('Monthly Cash Flow'!$S$5)+((L462-N462-'Assumptions'!$B$27-'Assumptions'!$B$28)*(1-(1+'Assumptions'!$B$43)^-('Assumptions'!$B$14/12))/'Assumptions'!$B$43)+(O462/(1+'Assumptions'!$B$43)^('Assumptions'!$B$14/12))</x:f>
        <x:v>911152.1755846839</x:v>
      </x:c>
    </x:row>
    <x:row r="463">
      <x:c r="A463" s="131" t="n">
        <x:f>456</x:f>
        <x:v>456</x:v>
      </x:c>
      <x:c r="B463" s="131" t="n">
        <x:f>MOD(ABS(SIN((A463+1)*12.9898+78.233)*43758.5453),1)</x:f>
        <x:v>0.3029852252584533</x:v>
      </x:c>
      <x:c r="C463" s="131" t="n">
        <x:f>MOD(ABS(SIN((A463+2)*12.9898+78.233)*43758.5453),1)</x:f>
        <x:v>0.36856312889722176</x:v>
      </x:c>
      <x:c r="D463" s="131" t="n">
        <x:f>MOD(ABS(SIN((A463+3)*12.9898+78.233)*43758.5453),1)</x:f>
        <x:v>0.23988858680968406</x:v>
      </x:c>
      <x:c r="E463" s="131" t="n">
        <x:f>MOD(ABS(SIN((A463+4)*12.9898+78.233)*43758.5453),1)</x:f>
        <x:v>0.36261148285484524</x:v>
      </x:c>
      <x:c r="F463" s="131" t="n">
        <x:f>MOD(ABS(SIN((A463+5)*12.9898+78.233)*43758.5453),1)</x:f>
        <x:v>0.92345916380782</x:v>
      </x:c>
      <x:c r="G463" s="132" t="n">
        <x:f>IF(B463&lt;(('Assumptions'!$C$47-'Assumptions'!$B$47)/('Assumptions'!$D$47-'Assumptions'!$B$47)),'Assumptions'!$B$47+SQRT(B463*('Assumptions'!$D$47-'Assumptions'!$B$47)*('Assumptions'!$C$47-'Assumptions'!$B$47)),'Assumptions'!$D$47-SQRT((1-B463)*('Assumptions'!$D$47-'Assumptions'!$B$47)*('Assumptions'!$D$47-'Assumptions'!$C$47)))</x:f>
        <x:v>-0.014726056698409457</x:v>
      </x:c>
      <x:c r="H463" s="132" t="n">
        <x:f>IF(C463&lt;(('Assumptions'!$C$48-'Assumptions'!$B$48)/('Assumptions'!$D$48-'Assumptions'!$B$48)),'Assumptions'!$B$48+SQRT(C463*('Assumptions'!$D$48-'Assumptions'!$B$48)*('Assumptions'!$C$48-'Assumptions'!$B$48)),'Assumptions'!$D$48-SQRT((1-C463)*('Assumptions'!$D$48-'Assumptions'!$B$48)*('Assumptions'!$D$48-'Assumptions'!$C$48)))</x:f>
        <x:v>0.06545709647656292</x:v>
      </x:c>
      <x:c r="I463" s="132" t="n">
        <x:f>IF(D463&lt;(('Assumptions'!$C$49-'Assumptions'!$B$49)/('Assumptions'!$D$49-'Assumptions'!$B$49)),'Assumptions'!$B$49+SQRT(D463*('Assumptions'!$D$49-'Assumptions'!$B$49)*('Assumptions'!$C$49-'Assumptions'!$B$49)),'Assumptions'!$D$49-SQRT((1-D463)*('Assumptions'!$D$49-'Assumptions'!$B$49)*('Assumptions'!$D$49-'Assumptions'!$C$49)))</x:f>
        <x:v>0.020899869720310563</x:v>
      </x:c>
      <x:c r="J463" s="132" t="n">
        <x:f>IF(E463&lt;(('Assumptions'!$C$50-'Assumptions'!$B$50)/('Assumptions'!$D$50-'Assumptions'!$B$50)),'Assumptions'!$B$50+SQRT(E463*('Assumptions'!$D$50-'Assumptions'!$B$50)*('Assumptions'!$C$50-'Assumptions'!$B$50)),'Assumptions'!$D$50-SQRT((1-E463)*('Assumptions'!$D$50-'Assumptions'!$B$50)*('Assumptions'!$D$50-'Assumptions'!$C$50)))</x:f>
        <x:v>0.06653258454941553</x:v>
      </x:c>
      <x:c r="K463" s="132" t="n">
        <x:f>IF(F463&lt;(('Assumptions'!$C$51-'Assumptions'!$B$51)/('Assumptions'!$D$51-'Assumptions'!$B$51)),'Assumptions'!$B$51+SQRT(F463*('Assumptions'!$D$51-'Assumptions'!$B$51)*('Assumptions'!$C$51-'Assumptions'!$B$51)),'Assumptions'!$D$51-SQRT((1-F463)*('Assumptions'!$D$51-'Assumptions'!$B$51)*('Assumptions'!$D$51-'Assumptions'!$C$51)))</x:f>
        <x:v>0.0789307926862327</x:v>
      </x:c>
      <x:c r="L463" s="133" t="n">
        <x:f>(('Assumptions'!$B$17*(1+G463)+'Assumptions'!$B$18)*(1-H463-'Assumptions'!$B$20)-SUM('Assumptions'!$B$21:$B$25)*(1+I463))-(('Assumptions'!$B$17*(1+G463)+'Assumptions'!$B$18)*(1-H463-'Assumptions'!$B$20)*'Assumptions'!$B$26)</x:f>
        <x:v>202159.44575309285</x:v>
      </x:c>
      <x:c r="M463" s="133" t="n">
        <x:f>'Assumptions'!$B$10*'Assumptions'!$B$33</x:f>
        <x:v>1950000</x:v>
      </x:c>
      <x:c r="N463" s="133" t="n">
        <x:f>-PMT(K463/12,'Assumptions'!$B$35*12,M463)*12</x:f>
        <x:v>169959.97372359887</x:v>
      </x:c>
      <x:c r="O463" s="133" t="n">
        <x:f>(L463*(1+'Assumptions'!$B$29)^('Assumptions'!$B$14/12)/J463)*(1-'Assumptions'!$B$42)-'Debt Schedule'!$F$9</x:f>
        <x:v>3311110.0909151128</x:v>
      </x:c>
      <x:c r="P463" s="132" t="n">
        <x:f>((O463+(L463-N463-'Assumptions'!$B$27-'Assumptions'!$B$28)*('Assumptions'!$B$14/12))/ABS('Monthly Cash Flow'!$S$5))^(1/('Assumptions'!$B$14/12))-1</x:f>
        <x:v>0.20377439229265137</x:v>
      </x:c>
      <x:c r="Q463" s="133" t="n">
        <x:f>-ABS('Monthly Cash Flow'!$S$5)+((L463-N463-'Assumptions'!$B$27-'Assumptions'!$B$28)*(1-(1+'Assumptions'!$B$43)^-('Assumptions'!$B$14/12))/'Assumptions'!$B$43)+(O463/(1+'Assumptions'!$B$43)^('Assumptions'!$B$14/12))</x:f>
        <x:v>731868.720220536</x:v>
      </x:c>
    </x:row>
    <x:row r="464">
      <x:c r="A464" s="131" t="n">
        <x:f>457</x:f>
        <x:v>457</x:v>
      </x:c>
      <x:c r="B464" s="131" t="n">
        <x:f>MOD(ABS(SIN((A464+1)*12.9898+78.233)*43758.5453),1)</x:f>
        <x:v>0.36856312889722176</x:v>
      </x:c>
      <x:c r="C464" s="131" t="n">
        <x:f>MOD(ABS(SIN((A464+2)*12.9898+78.233)*43758.5453),1)</x:f>
        <x:v>0.23988858680968406</x:v>
      </x:c>
      <x:c r="D464" s="131" t="n">
        <x:f>MOD(ABS(SIN((A464+3)*12.9898+78.233)*43758.5453),1)</x:f>
        <x:v>0.36261148285484524</x:v>
      </x:c>
      <x:c r="E464" s="131" t="n">
        <x:f>MOD(ABS(SIN((A464+4)*12.9898+78.233)*43758.5453),1)</x:f>
        <x:v>0.92345916380782</x:v>
      </x:c>
      <x:c r="F464" s="131" t="n">
        <x:f>MOD(ABS(SIN((A464+5)*12.9898+78.233)*43758.5453),1)</x:f>
        <x:v>0.3631842351751402</x:v>
      </x:c>
      <x:c r="G464" s="132" t="n">
        <x:f>IF(B464&lt;(('Assumptions'!$C$47-'Assumptions'!$B$47)/('Assumptions'!$D$47-'Assumptions'!$B$47)),'Assumptions'!$B$47+SQRT(B464*('Assumptions'!$D$47-'Assumptions'!$B$47)*('Assumptions'!$C$47-'Assumptions'!$B$47)),'Assumptions'!$D$47-SQRT((1-B464)*('Assumptions'!$D$47-'Assumptions'!$B$47)*('Assumptions'!$D$47-'Assumptions'!$C$47)))</x:f>
        <x:v>-0.0059494014185272615</x:v>
      </x:c>
      <x:c r="H464" s="132" t="n">
        <x:f>IF(C464&lt;(('Assumptions'!$C$48-'Assumptions'!$B$48)/('Assumptions'!$D$48-'Assumptions'!$B$48)),'Assumptions'!$B$48+SQRT(C464*('Assumptions'!$D$48-'Assumptions'!$B$48)*('Assumptions'!$C$48-'Assumptions'!$B$48)),'Assumptions'!$D$48-SQRT((1-C464)*('Assumptions'!$D$48-'Assumptions'!$B$48)*('Assumptions'!$D$48-'Assumptions'!$C$48)))</x:f>
        <x:v>0.0581359616233737</x:v>
      </x:c>
      <x:c r="I464" s="132" t="n">
        <x:f>IF(D464&lt;(('Assumptions'!$C$49-'Assumptions'!$B$49)/('Assumptions'!$D$49-'Assumptions'!$B$49)),'Assumptions'!$B$49+SQRT(D464*('Assumptions'!$D$49-'Assumptions'!$B$49)*('Assumptions'!$C$49-'Assumptions'!$B$49)),'Assumptions'!$D$49-SQRT((1-D464)*('Assumptions'!$D$49-'Assumptions'!$B$49)*('Assumptions'!$D$49-'Assumptions'!$C$49)))</x:f>
        <x:v>0.03266461756854695</x:v>
      </x:c>
      <x:c r="J464" s="132" t="n">
        <x:f>IF(E464&lt;(('Assumptions'!$C$50-'Assumptions'!$B$50)/('Assumptions'!$D$50-'Assumptions'!$B$50)),'Assumptions'!$B$50+SQRT(E464*('Assumptions'!$D$50-'Assumptions'!$B$50)*('Assumptions'!$C$50-'Assumptions'!$B$50)),'Assumptions'!$D$50-SQRT((1-E464)*('Assumptions'!$D$50-'Assumptions'!$B$50)*('Assumptions'!$D$50-'Assumptions'!$C$50)))</x:f>
        <x:v>0.07536026830742869</x:v>
      </x:c>
      <x:c r="K464" s="132" t="n">
        <x:f>IF(F464&lt;(('Assumptions'!$C$51-'Assumptions'!$B$51)/('Assumptions'!$D$51-'Assumptions'!$B$51)),'Assumptions'!$B$51+SQRT(F464*('Assumptions'!$D$51-'Assumptions'!$B$51)*('Assumptions'!$C$51-'Assumptions'!$B$51)),'Assumptions'!$D$51-SQRT((1-F464)*('Assumptions'!$D$51-'Assumptions'!$B$51)*('Assumptions'!$D$51-'Assumptions'!$C$51)))</x:f>
        <x:v>0.06749378130004673</x:v>
      </x:c>
      <x:c r="L464" s="133" t="n">
        <x:f>(('Assumptions'!$B$17*(1+G464)+'Assumptions'!$B$18)*(1-H464-'Assumptions'!$B$20)-SUM('Assumptions'!$B$21:$B$25)*(1+I464))-(('Assumptions'!$B$17*(1+G464)+'Assumptions'!$B$18)*(1-H464-'Assumptions'!$B$20)*'Assumptions'!$B$26)</x:f>
        <x:v>206123.06254756576</x:v>
      </x:c>
      <x:c r="M464" s="133" t="n">
        <x:f>'Assumptions'!$B$10*'Assumptions'!$B$33</x:f>
        <x:v>1950000</x:v>
      </x:c>
      <x:c r="N464" s="133" t="n">
        <x:f>-PMT(K464/12,'Assumptions'!$B$35*12,M464)*12</x:f>
        <x:v>151762.2818447805</x:v>
      </x:c>
      <x:c r="O464" s="133" t="n">
        <x:f>(L464*(1+'Assumptions'!$B$29)^('Assumptions'!$B$14/12)/J464)*(1-'Assumptions'!$B$42)-'Debt Schedule'!$F$9</x:f>
        <x:v>2980561.7763832454</x:v>
      </x:c>
      <x:c r="P464" s="132" t="n">
        <x:f>((O464+(L464-N464-'Assumptions'!$B$27-'Assumptions'!$B$28)*('Assumptions'!$B$14/12))/ABS('Monthly Cash Flow'!$S$5))^(1/('Assumptions'!$B$14/12))-1</x:f>
        <x:v>0.18715356604008915</x:v>
      </x:c>
      <x:c r="Q464" s="133" t="n">
        <x:f>-ABS('Monthly Cash Flow'!$S$5)+((L464-N464-'Assumptions'!$B$27-'Assumptions'!$B$28)*(1-(1+'Assumptions'!$B$43)^-('Assumptions'!$B$14/12))/'Assumptions'!$B$43)+(O464/(1+'Assumptions'!$B$43)^('Assumptions'!$B$14/12))</x:f>
        <x:v>610633.0191379245</x:v>
      </x:c>
    </x:row>
    <x:row r="465">
      <x:c r="A465" s="131" t="n">
        <x:f>458</x:f>
        <x:v>458</x:v>
      </x:c>
      <x:c r="B465" s="131" t="n">
        <x:f>MOD(ABS(SIN((A465+1)*12.9898+78.233)*43758.5453),1)</x:f>
        <x:v>0.23988858680968406</x:v>
      </x:c>
      <x:c r="C465" s="131" t="n">
        <x:f>MOD(ABS(SIN((A465+2)*12.9898+78.233)*43758.5453),1)</x:f>
        <x:v>0.36261148285484524</x:v>
      </x:c>
      <x:c r="D465" s="131" t="n">
        <x:f>MOD(ABS(SIN((A465+3)*12.9898+78.233)*43758.5453),1)</x:f>
        <x:v>0.92345916380782</x:v>
      </x:c>
      <x:c r="E465" s="131" t="n">
        <x:f>MOD(ABS(SIN((A465+4)*12.9898+78.233)*43758.5453),1)</x:f>
        <x:v>0.3631842351751402</x:v>
      </x:c>
      <x:c r="F465" s="131" t="n">
        <x:f>MOD(ABS(SIN((A465+5)*12.9898+78.233)*43758.5453),1)</x:f>
        <x:v>0.874618129702867</x:v>
      </x:c>
      <x:c r="G465" s="132" t="n">
        <x:f>IF(B465&lt;(('Assumptions'!$C$47-'Assumptions'!$B$47)/('Assumptions'!$D$47-'Assumptions'!$B$47)),'Assumptions'!$B$47+SQRT(B465*('Assumptions'!$D$47-'Assumptions'!$B$47)*('Assumptions'!$C$47-'Assumptions'!$B$47)),'Assumptions'!$D$47-SQRT((1-B465)*('Assumptions'!$D$47-'Assumptions'!$B$47)*('Assumptions'!$D$47-'Assumptions'!$C$47)))</x:f>
        <x:v>-0.024122954173001587</x:v>
      </x:c>
      <x:c r="H465" s="132" t="n">
        <x:f>IF(C465&lt;(('Assumptions'!$C$48-'Assumptions'!$B$48)/('Assumptions'!$D$48-'Assumptions'!$B$48)),'Assumptions'!$B$48+SQRT(C465*('Assumptions'!$D$48-'Assumptions'!$B$48)*('Assumptions'!$C$48-'Assumptions'!$B$48)),'Assumptions'!$D$48-SQRT((1-C465)*('Assumptions'!$D$48-'Assumptions'!$B$48)*('Assumptions'!$D$48-'Assumptions'!$C$48)))</x:f>
        <x:v>0.06510661610744671</x:v>
      </x:c>
      <x:c r="I465" s="132" t="n">
        <x:f>IF(D465&lt;(('Assumptions'!$C$49-'Assumptions'!$B$49)/('Assumptions'!$D$49-'Assumptions'!$B$49)),'Assumptions'!$B$49+SQRT(D465*('Assumptions'!$D$49-'Assumptions'!$B$49)*('Assumptions'!$C$49-'Assumptions'!$B$49)),'Assumptions'!$D$49-SQRT((1-D465)*('Assumptions'!$D$49-'Assumptions'!$B$49)*('Assumptions'!$D$49-'Assumptions'!$C$49)))</x:f>
        <x:v>0.1093394286593131</x:v>
      </x:c>
      <x:c r="J465" s="132" t="n">
        <x:f>IF(E465&lt;(('Assumptions'!$C$50-'Assumptions'!$B$50)/('Assumptions'!$D$50-'Assumptions'!$B$50)),'Assumptions'!$B$50+SQRT(E465*('Assumptions'!$D$50-'Assumptions'!$B$50)*('Assumptions'!$C$50-'Assumptions'!$B$50)),'Assumptions'!$D$50-SQRT((1-E465)*('Assumptions'!$D$50-'Assumptions'!$B$50)*('Assumptions'!$D$50-'Assumptions'!$C$50)))</x:f>
        <x:v>0.0665397153115796</x:v>
      </x:c>
      <x:c r="K465" s="132" t="n">
        <x:f>IF(F465&lt;(('Assumptions'!$C$51-'Assumptions'!$B$51)/('Assumptions'!$D$51-'Assumptions'!$B$51)),'Assumptions'!$B$51+SQRT(F465*('Assumptions'!$D$51-'Assumptions'!$B$51)*('Assumptions'!$C$51-'Assumptions'!$B$51)),'Assumptions'!$D$51-SQRT((1-F465)*('Assumptions'!$D$51-'Assumptions'!$B$51)*('Assumptions'!$D$51-'Assumptions'!$C$51)))</x:f>
        <x:v>0.07723211579125337</x:v>
      </x:c>
      <x:c r="L465" s="133" t="n">
        <x:f>(('Assumptions'!$B$17*(1+G465)+'Assumptions'!$B$18)*(1-H465-'Assumptions'!$B$20)-SUM('Assumptions'!$B$21:$B$25)*(1+I465))-(('Assumptions'!$B$17*(1+G465)+'Assumptions'!$B$18)*(1-H465-'Assumptions'!$B$20)*'Assumptions'!$B$26)</x:f>
        <x:v>188137.80599290697</x:v>
      </x:c>
      <x:c r="M465" s="133" t="n">
        <x:f>'Assumptions'!$B$10*'Assumptions'!$B$33</x:f>
        <x:v>1950000</x:v>
      </x:c>
      <x:c r="N465" s="133" t="n">
        <x:f>-PMT(K465/12,'Assumptions'!$B$35*12,M465)*12</x:f>
        <x:v>167207.49935813993</x:v>
      </x:c>
      <x:c r="O465" s="133" t="n">
        <x:f>(L465*(1+'Assumptions'!$B$29)^('Assumptions'!$B$14/12)/J465)*(1-'Assumptions'!$B$42)-'Debt Schedule'!$F$9</x:f>
        <x:v>3081123.552606881</x:v>
      </x:c>
      <x:c r="P465" s="132" t="n">
        <x:f>((O465+(L465-N465-'Assumptions'!$B$27-'Assumptions'!$B$28)*('Assumptions'!$B$14/12))/ABS('Monthly Cash Flow'!$S$5))^(1/('Assumptions'!$B$14/12))-1</x:f>
        <x:v>0.18192796124274602</x:v>
      </x:c>
      <x:c r="Q465" s="133" t="n">
        <x:f>-ABS('Monthly Cash Flow'!$S$5)+((L465-N465-'Assumptions'!$B$27-'Assumptions'!$B$28)*(1-(1+'Assumptions'!$B$43)^-('Assumptions'!$B$14/12))/'Assumptions'!$B$43)+(O465/(1+'Assumptions'!$B$43)^('Assumptions'!$B$14/12))</x:f>
        <x:v>546346.1714877873</x:v>
      </x:c>
    </x:row>
    <x:row r="466">
      <x:c r="A466" s="131" t="n">
        <x:f>459</x:f>
        <x:v>459</x:v>
      </x:c>
      <x:c r="B466" s="131" t="n">
        <x:f>MOD(ABS(SIN((A466+1)*12.9898+78.233)*43758.5453),1)</x:f>
        <x:v>0.36261148285484524</x:v>
      </x:c>
      <x:c r="C466" s="131" t="n">
        <x:f>MOD(ABS(SIN((A466+2)*12.9898+78.233)*43758.5453),1)</x:f>
        <x:v>0.92345916380782</x:v>
      </x:c>
      <x:c r="D466" s="131" t="n">
        <x:f>MOD(ABS(SIN((A466+3)*12.9898+78.233)*43758.5453),1)</x:f>
        <x:v>0.3631842351751402</x:v>
      </x:c>
      <x:c r="E466" s="131" t="n">
        <x:f>MOD(ABS(SIN((A466+4)*12.9898+78.233)*43758.5453),1)</x:f>
        <x:v>0.874618129702867</x:v>
      </x:c>
      <x:c r="F466" s="131" t="n">
        <x:f>MOD(ABS(SIN((A466+5)*12.9898+78.233)*43758.5453),1)</x:f>
        <x:v>0.876095911989978</x:v>
      </x:c>
      <x:c r="G466" s="132" t="n">
        <x:f>IF(B466&lt;(('Assumptions'!$C$47-'Assumptions'!$B$47)/('Assumptions'!$D$47-'Assumptions'!$B$47)),'Assumptions'!$B$47+SQRT(B466*('Assumptions'!$D$47-'Assumptions'!$B$47)*('Assumptions'!$C$47-'Assumptions'!$B$47)),'Assumptions'!$D$47-SQRT((1-B466)*('Assumptions'!$D$47-'Assumptions'!$B$47)*('Assumptions'!$D$47-'Assumptions'!$C$47)))</x:f>
        <x:v>-0.006711867911741928</x:v>
      </x:c>
      <x:c r="H466" s="132" t="n">
        <x:f>IF(C466&lt;(('Assumptions'!$C$48-'Assumptions'!$B$48)/('Assumptions'!$D$48-'Assumptions'!$B$48)),'Assumptions'!$B$48+SQRT(C466*('Assumptions'!$D$48-'Assumptions'!$B$48)*('Assumptions'!$C$48-'Assumptions'!$B$48)),'Assumptions'!$D$48-SQRT((1-C466)*('Assumptions'!$D$48-'Assumptions'!$B$48)*('Assumptions'!$D$48-'Assumptions'!$C$48)))</x:f>
        <x:v>0.11404697785437727</x:v>
      </x:c>
      <x:c r="I466" s="132" t="n">
        <x:f>IF(D466&lt;(('Assumptions'!$C$49-'Assumptions'!$B$49)/('Assumptions'!$D$49-'Assumptions'!$B$49)),'Assumptions'!$B$49+SQRT(D466*('Assumptions'!$D$49-'Assumptions'!$B$49)*('Assumptions'!$C$49-'Assumptions'!$B$49)),'Assumptions'!$D$49-SQRT((1-D466)*('Assumptions'!$D$49-'Assumptions'!$B$49)*('Assumptions'!$D$49-'Assumptions'!$C$49)))</x:f>
        <x:v>0.03271734774393541</x:v>
      </x:c>
      <x:c r="J466" s="132" t="n">
        <x:f>IF(E466&lt;(('Assumptions'!$C$50-'Assumptions'!$B$50)/('Assumptions'!$D$50-'Assumptions'!$B$50)),'Assumptions'!$B$50+SQRT(E466*('Assumptions'!$D$50-'Assumptions'!$B$50)*('Assumptions'!$C$50-'Assumptions'!$B$50)),'Assumptions'!$D$50-SQRT((1-E466)*('Assumptions'!$D$50-'Assumptions'!$B$50)*('Assumptions'!$D$50-'Assumptions'!$C$50)))</x:f>
        <x:v>0.0740616794443994</x:v>
      </x:c>
      <x:c r="K466" s="132" t="n">
        <x:f>IF(F466&lt;(('Assumptions'!$C$51-'Assumptions'!$B$51)/('Assumptions'!$D$51-'Assumptions'!$B$51)),'Assumptions'!$B$51+SQRT(F466*('Assumptions'!$D$51-'Assumptions'!$B$51)*('Assumptions'!$C$51-'Assumptions'!$B$51)),'Assumptions'!$D$51-SQRT((1-F466)*('Assumptions'!$D$51-'Assumptions'!$B$51)*('Assumptions'!$D$51-'Assumptions'!$C$51)))</x:f>
        <x:v>0.07727802859660676</x:v>
      </x:c>
      <x:c r="L466" s="133" t="n">
        <x:f>(('Assumptions'!$B$17*(1+G466)+'Assumptions'!$B$18)*(1-H466-'Assumptions'!$B$20)-SUM('Assumptions'!$B$21:$B$25)*(1+I466))-(('Assumptions'!$B$17*(1+G466)+'Assumptions'!$B$18)*(1-H466-'Assumptions'!$B$20)*'Assumptions'!$B$26)</x:f>
        <x:v>185711.56735325008</x:v>
      </x:c>
      <x:c r="M466" s="133" t="n">
        <x:f>'Assumptions'!$B$10*'Assumptions'!$B$33</x:f>
        <x:v>1950000</x:v>
      </x:c>
      <x:c r="N466" s="133" t="n">
        <x:f>-PMT(K466/12,'Assumptions'!$B$35*12,M466)*12</x:f>
        <x:v>167281.67607601645</x:v>
      </x:c>
      <x:c r="O466" s="133" t="n">
        <x:f>(L466*(1+'Assumptions'!$B$29)^('Assumptions'!$B$14/12)/J466)*(1-'Assumptions'!$B$42)-'Debt Schedule'!$F$9</x:f>
        <x:v>2732495.003200069</x:v>
      </x:c>
      <x:c r="P466" s="132" t="n">
        <x:f>((O466+(L466-N466-'Assumptions'!$B$27-'Assumptions'!$B$28)*('Assumptions'!$B$14/12))/ABS('Monthly Cash Flow'!$S$5))^(1/('Assumptions'!$B$14/12))-1</x:f>
        <x:v>0.1518440554052598</x:v>
      </x:c>
      <x:c r="Q466" s="133" t="n">
        <x:f>-ABS('Monthly Cash Flow'!$S$5)+((L466-N466-'Assumptions'!$B$27-'Assumptions'!$B$28)*(1-(1+'Assumptions'!$B$43)^-('Assumptions'!$B$14/12))/'Assumptions'!$B$43)+(O466/(1+'Assumptions'!$B$43)^('Assumptions'!$B$14/12))</x:f>
        <x:v>320396.72987855226</x:v>
      </x:c>
    </x:row>
    <x:row r="467">
      <x:c r="A467" s="131" t="n">
        <x:f>460</x:f>
        <x:v>460</x:v>
      </x:c>
      <x:c r="B467" s="131" t="n">
        <x:f>MOD(ABS(SIN((A467+1)*12.9898+78.233)*43758.5453),1)</x:f>
        <x:v>0.92345916380782</x:v>
      </x:c>
      <x:c r="C467" s="131" t="n">
        <x:f>MOD(ABS(SIN((A467+2)*12.9898+78.233)*43758.5453),1)</x:f>
        <x:v>0.3631842351751402</x:v>
      </x:c>
      <x:c r="D467" s="131" t="n">
        <x:f>MOD(ABS(SIN((A467+3)*12.9898+78.233)*43758.5453),1)</x:f>
        <x:v>0.874618129702867</x:v>
      </x:c>
      <x:c r="E467" s="131" t="n">
        <x:f>MOD(ABS(SIN((A467+4)*12.9898+78.233)*43758.5453),1)</x:f>
        <x:v>0.876095911989978</x:v>
      </x:c>
      <x:c r="F467" s="131" t="n">
        <x:f>MOD(ABS(SIN((A467+5)*12.9898+78.233)*43758.5453),1)</x:f>
        <x:v>0.8842441664382932</x:v>
      </x:c>
      <x:c r="G467" s="132" t="n">
        <x:f>IF(B467&lt;(('Assumptions'!$C$47-'Assumptions'!$B$47)/('Assumptions'!$D$47-'Assumptions'!$B$47)),'Assumptions'!$B$47+SQRT(B467*('Assumptions'!$D$47-'Assumptions'!$B$47)*('Assumptions'!$C$47-'Assumptions'!$B$47)),'Assumptions'!$D$47-SQRT((1-B467)*('Assumptions'!$D$47-'Assumptions'!$B$47)*('Assumptions'!$D$47-'Assumptions'!$C$47)))</x:f>
        <x:v>0.06500495207783136</x:v>
      </x:c>
      <x:c r="H467" s="132" t="n">
        <x:f>IF(C467&lt;(('Assumptions'!$C$48-'Assumptions'!$B$48)/('Assumptions'!$D$48-'Assumptions'!$B$48)),'Assumptions'!$B$48+SQRT(C467*('Assumptions'!$D$48-'Assumptions'!$B$48)*('Assumptions'!$C$48-'Assumptions'!$B$48)),'Assumptions'!$D$48-SQRT((1-C467)*('Assumptions'!$D$48-'Assumptions'!$B$48)*('Assumptions'!$D$48-'Assumptions'!$C$48)))</x:f>
        <x:v>0.06514027297365581</x:v>
      </x:c>
      <x:c r="I467" s="132" t="n">
        <x:f>IF(D467&lt;(('Assumptions'!$C$49-'Assumptions'!$B$49)/('Assumptions'!$D$49-'Assumptions'!$B$49)),'Assumptions'!$B$49+SQRT(D467*('Assumptions'!$D$49-'Assumptions'!$B$49)*('Assumptions'!$C$49-'Assumptions'!$B$49)),'Assumptions'!$D$49-SQRT((1-D467)*('Assumptions'!$D$49-'Assumptions'!$B$49)*('Assumptions'!$D$49-'Assumptions'!$C$49)))</x:f>
        <x:v>0.09795916604801502</x:v>
      </x:c>
      <x:c r="J467" s="132" t="n">
        <x:f>IF(E467&lt;(('Assumptions'!$C$50-'Assumptions'!$B$50)/('Assumptions'!$D$50-'Assumptions'!$B$50)),'Assumptions'!$B$50+SQRT(E467*('Assumptions'!$D$50-'Assumptions'!$B$50)*('Assumptions'!$C$50-'Assumptions'!$B$50)),'Assumptions'!$D$50-SQRT((1-E467)*('Assumptions'!$D$50-'Assumptions'!$B$50)*('Assumptions'!$D$50-'Assumptions'!$C$50)))</x:f>
        <x:v>0.07409677844284845</x:v>
      </x:c>
      <x:c r="K467" s="132" t="n">
        <x:f>IF(F467&lt;(('Assumptions'!$C$51-'Assumptions'!$B$51)/('Assumptions'!$D$51-'Assumptions'!$B$51)),'Assumptions'!$B$51+SQRT(F467*('Assumptions'!$D$51-'Assumptions'!$B$51)*('Assumptions'!$C$51-'Assumptions'!$B$51)),'Assumptions'!$D$51-SQRT((1-F467)*('Assumptions'!$D$51-'Assumptions'!$B$51)*('Assumptions'!$D$51-'Assumptions'!$C$51)))</x:f>
        <x:v>0.07753625463312344</x:v>
      </x:c>
      <x:c r="L467" s="133" t="n">
        <x:f>(('Assumptions'!$B$17*(1+G467)+'Assumptions'!$B$18)*(1-H467-'Assumptions'!$B$20)-SUM('Assumptions'!$B$21:$B$25)*(1+I467))-(('Assumptions'!$B$17*(1+G467)+'Assumptions'!$B$18)*(1-H467-'Assumptions'!$B$20)*'Assumptions'!$B$26)</x:f>
        <x:v>218047.87456936232</x:v>
      </x:c>
      <x:c r="M467" s="133" t="n">
        <x:f>'Assumptions'!$B$10*'Assumptions'!$B$33</x:f>
        <x:v>1950000</x:v>
      </x:c>
      <x:c r="N467" s="133" t="n">
        <x:f>-PMT(K467/12,'Assumptions'!$B$35*12,M467)*12</x:f>
        <x:v>167699.0937155669</x:v>
      </x:c>
      <x:c r="O467" s="133" t="n">
        <x:f>(L467*(1+'Assumptions'!$B$29)^('Assumptions'!$B$14/12)/J467)*(1-'Assumptions'!$B$42)-'Debt Schedule'!$F$9</x:f>
        <x:v>3206760.3755685887</x:v>
      </x:c>
      <x:c r="P467" s="132" t="n">
        <x:f>((O467+(L467-N467-'Assumptions'!$B$27-'Assumptions'!$B$28)*('Assumptions'!$B$14/12))/ABS('Monthly Cash Flow'!$S$5))^(1/('Assumptions'!$B$14/12))-1</x:f>
        <x:v>0.20277183059912596</x:v>
      </x:c>
      <x:c r="Q467" s="133" t="n">
        <x:f>-ABS('Monthly Cash Flow'!$S$5)+((L467-N467-'Assumptions'!$B$27-'Assumptions'!$B$28)*(1-(1+'Assumptions'!$B$43)^-('Assumptions'!$B$14/12))/'Assumptions'!$B$43)+(O467/(1+'Assumptions'!$B$43)^('Assumptions'!$B$14/12))</x:f>
        <x:v>735875.9166717958</x:v>
      </x:c>
    </x:row>
    <x:row r="468">
      <x:c r="A468" s="131" t="n">
        <x:f>461</x:f>
        <x:v>461</x:v>
      </x:c>
      <x:c r="B468" s="131" t="n">
        <x:f>MOD(ABS(SIN((A468+1)*12.9898+78.233)*43758.5453),1)</x:f>
        <x:v>0.3631842351751402</x:v>
      </x:c>
      <x:c r="C468" s="131" t="n">
        <x:f>MOD(ABS(SIN((A468+2)*12.9898+78.233)*43758.5453),1)</x:f>
        <x:v>0.874618129702867</x:v>
      </x:c>
      <x:c r="D468" s="131" t="n">
        <x:f>MOD(ABS(SIN((A468+3)*12.9898+78.233)*43758.5453),1)</x:f>
        <x:v>0.876095911989978</x:v>
      </x:c>
      <x:c r="E468" s="131" t="n">
        <x:f>MOD(ABS(SIN((A468+4)*12.9898+78.233)*43758.5453),1)</x:f>
        <x:v>0.8842441664382932</x:v>
      </x:c>
      <x:c r="F468" s="131" t="n">
        <x:f>MOD(ABS(SIN((A468+5)*12.9898+78.233)*43758.5453),1)</x:f>
        <x:v>0.2694922856753692</x:v>
      </x:c>
      <x:c r="G468" s="132" t="n">
        <x:f>IF(B468&lt;(('Assumptions'!$C$47-'Assumptions'!$B$47)/('Assumptions'!$D$47-'Assumptions'!$B$47)),'Assumptions'!$B$47+SQRT(B468*('Assumptions'!$D$47-'Assumptions'!$B$47)*('Assumptions'!$C$47-'Assumptions'!$B$47)),'Assumptions'!$D$47-SQRT((1-B468)*('Assumptions'!$D$47-'Assumptions'!$B$47)*('Assumptions'!$D$47-'Assumptions'!$C$47)))</x:f>
        <x:v>-0.006638221716789447</x:v>
      </x:c>
      <x:c r="H468" s="132" t="n">
        <x:f>IF(C468&lt;(('Assumptions'!$C$48-'Assumptions'!$B$48)/('Assumptions'!$D$48-'Assumptions'!$B$48)),'Assumptions'!$B$48+SQRT(C468*('Assumptions'!$D$48-'Assumptions'!$B$48)*('Assumptions'!$C$48-'Assumptions'!$B$48)),'Assumptions'!$D$48-SQRT((1-C468)*('Assumptions'!$D$48-'Assumptions'!$B$48)*('Assumptions'!$D$48-'Assumptions'!$C$48)))</x:f>
        <x:v>0.10678312990941546</x:v>
      </x:c>
      <x:c r="I468" s="132" t="n">
        <x:f>IF(D468&lt;(('Assumptions'!$C$49-'Assumptions'!$B$49)/('Assumptions'!$D$49-'Assumptions'!$B$49)),'Assumptions'!$B$49+SQRT(D468*('Assumptions'!$D$49-'Assumptions'!$B$49)*('Assumptions'!$C$49-'Assumptions'!$B$49)),'Assumptions'!$D$49-SQRT((1-D468)*('Assumptions'!$D$49-'Assumptions'!$B$49)*('Assumptions'!$D$49-'Assumptions'!$C$49)))</x:f>
        <x:v>0.09826675825915726</x:v>
      </x:c>
      <x:c r="J468" s="132" t="n">
        <x:f>IF(E468&lt;(('Assumptions'!$C$50-'Assumptions'!$B$50)/('Assumptions'!$D$50-'Assumptions'!$B$50)),'Assumptions'!$B$50+SQRT(E468*('Assumptions'!$D$50-'Assumptions'!$B$50)*('Assumptions'!$C$50-'Assumptions'!$B$50)),'Assumptions'!$D$50-SQRT((1-E468)*('Assumptions'!$D$50-'Assumptions'!$B$50)*('Assumptions'!$D$50-'Assumptions'!$C$50)))</x:f>
        <x:v>0.07429418470424866</x:v>
      </x:c>
      <x:c r="K468" s="132" t="n">
        <x:f>IF(F468&lt;(('Assumptions'!$C$51-'Assumptions'!$B$51)/('Assumptions'!$D$51-'Assumptions'!$B$51)),'Assumptions'!$B$51+SQRT(F468*('Assumptions'!$D$51-'Assumptions'!$B$51)*('Assumptions'!$C$51-'Assumptions'!$B$51)),'Assumptions'!$D$51-SQRT((1-F468)*('Assumptions'!$D$51-'Assumptions'!$B$51)*('Assumptions'!$D$51-'Assumptions'!$C$51)))</x:f>
        <x:v>0.06610873849996192</x:v>
      </x:c>
      <x:c r="L468" s="133" t="n">
        <x:f>(('Assumptions'!$B$17*(1+G468)+'Assumptions'!$B$18)*(1-H468-'Assumptions'!$B$20)-SUM('Assumptions'!$B$21:$B$25)*(1+I468))-(('Assumptions'!$B$17*(1+G468)+'Assumptions'!$B$18)*(1-H468-'Assumptions'!$B$20)*'Assumptions'!$B$26)</x:f>
        <x:v>180093.8771385267</x:v>
      </x:c>
      <x:c r="M468" s="133" t="n">
        <x:f>'Assumptions'!$B$10*'Assumptions'!$B$33</x:f>
        <x:v>1950000</x:v>
      </x:c>
      <x:c r="N468" s="133" t="n">
        <x:f>-PMT(K468/12,'Assumptions'!$B$35*12,M468)*12</x:f>
        <x:v>149614.266364748</x:v>
      </x:c>
      <x:c r="O468" s="133" t="n">
        <x:f>(L468*(1+'Assumptions'!$B$29)^('Assumptions'!$B$14/12)/J468)*(1-'Assumptions'!$B$42)-'Debt Schedule'!$F$9</x:f>
        <x:v>2641545.549300962</x:v>
      </x:c>
      <x:c r="P468" s="132" t="n">
        <x:f>((O468+(L468-N468-'Assumptions'!$B$27-'Assumptions'!$B$28)*('Assumptions'!$B$14/12))/ABS('Monthly Cash Flow'!$S$5))^(1/('Assumptions'!$B$14/12))-1</x:f>
        <x:v>0.14913670003177537</x:v>
      </x:c>
      <x:c r="Q468" s="133" t="n">
        <x:f>-ABS('Monthly Cash Flow'!$S$5)+((L468-N468-'Assumptions'!$B$27-'Assumptions'!$B$28)*(1-(1+'Assumptions'!$B$43)^-('Assumptions'!$B$14/12))/'Assumptions'!$B$43)+(O468/(1+'Assumptions'!$B$43)^('Assumptions'!$B$14/12))</x:f>
        <x:v>309602.1918745972</x:v>
      </x:c>
    </x:row>
    <x:row r="469">
      <x:c r="A469" s="131" t="n">
        <x:f>462</x:f>
        <x:v>462</x:v>
      </x:c>
      <x:c r="B469" s="131" t="n">
        <x:f>MOD(ABS(SIN((A469+1)*12.9898+78.233)*43758.5453),1)</x:f>
        <x:v>0.874618129702867</x:v>
      </x:c>
      <x:c r="C469" s="131" t="n">
        <x:f>MOD(ABS(SIN((A469+2)*12.9898+78.233)*43758.5453),1)</x:f>
        <x:v>0.876095911989978</x:v>
      </x:c>
      <x:c r="D469" s="131" t="n">
        <x:f>MOD(ABS(SIN((A469+3)*12.9898+78.233)*43758.5453),1)</x:f>
        <x:v>0.8842441664382932</x:v>
      </x:c>
      <x:c r="E469" s="131" t="n">
        <x:f>MOD(ABS(SIN((A469+4)*12.9898+78.233)*43758.5453),1)</x:f>
        <x:v>0.2694922856753692</x:v>
      </x:c>
      <x:c r="F469" s="131" t="n">
        <x:f>MOD(ABS(SIN((A469+5)*12.9898+78.233)*43758.5453),1)</x:f>
        <x:v>0.0004989841545466334</x:v>
      </x:c>
      <x:c r="G469" s="132" t="n">
        <x:f>IF(B469&lt;(('Assumptions'!$C$47-'Assumptions'!$B$47)/('Assumptions'!$D$47-'Assumptions'!$B$47)),'Assumptions'!$B$47+SQRT(B469*('Assumptions'!$D$47-'Assumptions'!$B$47)*('Assumptions'!$C$47-'Assumptions'!$B$47)),'Assumptions'!$D$47-SQRT((1-B469)*('Assumptions'!$D$47-'Assumptions'!$B$47)*('Assumptions'!$D$47-'Assumptions'!$C$47)))</x:f>
        <x:v>0.05521038150693704</x:v>
      </x:c>
      <x:c r="H469" s="132" t="n">
        <x:f>IF(C469&lt;(('Assumptions'!$C$48-'Assumptions'!$B$48)/('Assumptions'!$D$48-'Assumptions'!$B$48)),'Assumptions'!$B$48+SQRT(C469*('Assumptions'!$D$48-'Assumptions'!$B$48)*('Assumptions'!$C$48-'Assumptions'!$B$48)),'Assumptions'!$D$48-SQRT((1-C469)*('Assumptions'!$D$48-'Assumptions'!$B$48)*('Assumptions'!$D$48-'Assumptions'!$C$48)))</x:f>
        <x:v>0.10697946132347032</x:v>
      </x:c>
      <x:c r="I469" s="132" t="n">
        <x:f>IF(D469&lt;(('Assumptions'!$C$49-'Assumptions'!$B$49)/('Assumptions'!$D$49-'Assumptions'!$B$49)),'Assumptions'!$B$49+SQRT(D469*('Assumptions'!$D$49-'Assumptions'!$B$49)*('Assumptions'!$C$49-'Assumptions'!$B$49)),'Assumptions'!$D$49-SQRT((1-D469)*('Assumptions'!$D$49-'Assumptions'!$B$49)*('Assumptions'!$D$49-'Assumptions'!$C$49)))</x:f>
        <x:v>0.09999674005694362</x:v>
      </x:c>
      <x:c r="J469" s="132" t="n">
        <x:f>IF(E469&lt;(('Assumptions'!$C$50-'Assumptions'!$B$50)/('Assumptions'!$D$50-'Assumptions'!$B$50)),'Assumptions'!$B$50+SQRT(E469*('Assumptions'!$D$50-'Assumptions'!$B$50)*('Assumptions'!$C$50-'Assumptions'!$B$50)),'Assumptions'!$D$50-SQRT((1-E469)*('Assumptions'!$D$50-'Assumptions'!$B$50)*('Assumptions'!$D$50-'Assumptions'!$C$50)))</x:f>
        <x:v>0.06528689696072563</x:v>
      </x:c>
      <x:c r="K469" s="132" t="n">
        <x:f>IF(F469&lt;(('Assumptions'!$C$51-'Assumptions'!$B$51)/('Assumptions'!$D$51-'Assumptions'!$B$51)),'Assumptions'!$B$51+SQRT(F469*('Assumptions'!$D$51-'Assumptions'!$B$51)*('Assumptions'!$C$51-'Assumptions'!$B$51)),'Assumptions'!$D$51-SQRT((1-F469)*('Assumptions'!$D$51-'Assumptions'!$B$51)*('Assumptions'!$D$51-'Assumptions'!$C$51)))</x:f>
        <x:v>0.057870433047257294</x:v>
      </x:c>
      <x:c r="L469" s="133" t="n">
        <x:f>(('Assumptions'!$B$17*(1+G469)+'Assumptions'!$B$18)*(1-H469-'Assumptions'!$B$20)-SUM('Assumptions'!$B$21:$B$25)*(1+I469))-(('Assumptions'!$B$17*(1+G469)+'Assumptions'!$B$18)*(1-H469-'Assumptions'!$B$20)*'Assumptions'!$B$26)</x:f>
        <x:v>198679.5607507388</x:v>
      </x:c>
      <x:c r="M469" s="133" t="n">
        <x:f>'Assumptions'!$B$10*'Assumptions'!$B$33</x:f>
        <x:v>1950000</x:v>
      </x:c>
      <x:c r="N469" s="133" t="n">
        <x:f>-PMT(K469/12,'Assumptions'!$B$35*12,M469)*12</x:f>
        <x:v>137107.19952937728</x:v>
      </x:c>
      <x:c r="O469" s="133" t="n">
        <x:f>(L469*(1+'Assumptions'!$B$29)^('Assumptions'!$B$14/12)/J469)*(1-'Assumptions'!$B$42)-'Debt Schedule'!$F$9</x:f>
        <x:v>3316203.25238595</x:v>
      </x:c>
      <x:c r="P469" s="132" t="n">
        <x:f>((O469+(L469-N469-'Assumptions'!$B$27-'Assumptions'!$B$28)*('Assumptions'!$B$14/12))/ABS('Monthly Cash Flow'!$S$5))^(1/('Assumptions'!$B$14/12))-1</x:f>
        <x:v>0.21475302888527836</x:v>
      </x:c>
      <x:c r="Q469" s="133" t="n">
        <x:f>-ABS('Monthly Cash Flow'!$S$5)+((L469-N469-'Assumptions'!$B$27-'Assumptions'!$B$28)*(1-(1+'Assumptions'!$B$43)^-('Assumptions'!$B$14/12))/'Assumptions'!$B$43)+(O469/(1+'Assumptions'!$B$43)^('Assumptions'!$B$14/12))</x:f>
        <x:v>846377.5325073942</x:v>
      </x:c>
    </x:row>
    <x:row r="470">
      <x:c r="A470" s="131" t="n">
        <x:f>463</x:f>
        <x:v>463</x:v>
      </x:c>
      <x:c r="B470" s="131" t="n">
        <x:f>MOD(ABS(SIN((A470+1)*12.9898+78.233)*43758.5453),1)</x:f>
        <x:v>0.876095911989978</x:v>
      </x:c>
      <x:c r="C470" s="131" t="n">
        <x:f>MOD(ABS(SIN((A470+2)*12.9898+78.233)*43758.5453),1)</x:f>
        <x:v>0.8842441664382932</x:v>
      </x:c>
      <x:c r="D470" s="131" t="n">
        <x:f>MOD(ABS(SIN((A470+3)*12.9898+78.233)*43758.5453),1)</x:f>
        <x:v>0.2694922856753692</x:v>
      </x:c>
      <x:c r="E470" s="131" t="n">
        <x:f>MOD(ABS(SIN((A470+4)*12.9898+78.233)*43758.5453),1)</x:f>
        <x:v>0.0004989841545466334</x:v>
      </x:c>
      <x:c r="F470" s="131" t="n">
        <x:f>MOD(ABS(SIN((A470+5)*12.9898+78.233)*43758.5453),1)</x:f>
        <x:v>0.072080183664184</x:v>
      </x:c>
      <x:c r="G470" s="132" t="n">
        <x:f>IF(B470&lt;(('Assumptions'!$C$47-'Assumptions'!$B$47)/('Assumptions'!$D$47-'Assumptions'!$B$47)),'Assumptions'!$B$47+SQRT(B470*('Assumptions'!$D$47-'Assumptions'!$B$47)*('Assumptions'!$C$47-'Assumptions'!$B$47)),'Assumptions'!$D$47-SQRT((1-B470)*('Assumptions'!$D$47-'Assumptions'!$B$47)*('Assumptions'!$D$47-'Assumptions'!$C$47)))</x:f>
        <x:v>0.055475114731643044</x:v>
      </x:c>
      <x:c r="H470" s="132" t="n">
        <x:f>IF(C470&lt;(('Assumptions'!$C$48-'Assumptions'!$B$48)/('Assumptions'!$D$48-'Assumptions'!$B$48)),'Assumptions'!$B$48+SQRT(C470*('Assumptions'!$D$48-'Assumptions'!$B$48)*('Assumptions'!$C$48-'Assumptions'!$B$48)),'Assumptions'!$D$48-SQRT((1-C470)*('Assumptions'!$D$48-'Assumptions'!$B$48)*('Assumptions'!$D$48-'Assumptions'!$C$48)))</x:f>
        <x:v>0.10808368230288745</x:v>
      </x:c>
      <x:c r="I470" s="132" t="n">
        <x:f>IF(D470&lt;(('Assumptions'!$C$49-'Assumptions'!$B$49)/('Assumptions'!$D$49-'Assumptions'!$B$49)),'Assumptions'!$B$49+SQRT(D470*('Assumptions'!$D$49-'Assumptions'!$B$49)*('Assumptions'!$C$49-'Assumptions'!$B$49)),'Assumptions'!$D$49-SQRT((1-D470)*('Assumptions'!$D$49-'Assumptions'!$B$49)*('Assumptions'!$D$49-'Assumptions'!$C$49)))</x:f>
        <x:v>0.02394920467712186</x:v>
      </x:c>
      <x:c r="J470" s="132" t="n">
        <x:f>IF(E470&lt;(('Assumptions'!$C$50-'Assumptions'!$B$50)/('Assumptions'!$D$50-'Assumptions'!$B$50)),'Assumptions'!$B$50+SQRT(E470*('Assumptions'!$D$50-'Assumptions'!$B$50)*('Assumptions'!$C$50-'Assumptions'!$B$50)),'Assumptions'!$D$50-SQRT((1-E470)*('Assumptions'!$D$50-'Assumptions'!$B$50)*('Assumptions'!$D$50-'Assumptions'!$C$50)))</x:f>
        <x:v>0.05783506929846376</x:v>
      </x:c>
      <x:c r="K470" s="132" t="n">
        <x:f>IF(F470&lt;(('Assumptions'!$C$51-'Assumptions'!$B$51)/('Assumptions'!$D$51-'Assumptions'!$B$51)),'Assumptions'!$B$51+SQRT(F470*('Assumptions'!$D$51-'Assumptions'!$B$51)*('Assumptions'!$C$51-'Assumptions'!$B$51)),'Assumptions'!$D$51-SQRT((1-F470)*('Assumptions'!$D$51-'Assumptions'!$B$51)*('Assumptions'!$D$51-'Assumptions'!$C$51)))</x:f>
        <x:v>0.061952196144337154</x:v>
      </x:c>
      <x:c r="L470" s="133" t="n">
        <x:f>(('Assumptions'!$B$17*(1+G470)+'Assumptions'!$B$18)*(1-H470-'Assumptions'!$B$20)-SUM('Assumptions'!$B$21:$B$25)*(1+I470))-(('Assumptions'!$B$17*(1+G470)+'Assumptions'!$B$18)*(1-H470-'Assumptions'!$B$20)*'Assumptions'!$B$26)</x:f>
        <x:v>207920.46929520028</x:v>
      </x:c>
      <x:c r="M470" s="133" t="n">
        <x:f>'Assumptions'!$B$10*'Assumptions'!$B$33</x:f>
        <x:v>1950000</x:v>
      </x:c>
      <x:c r="N470" s="133" t="n">
        <x:f>-PMT(K470/12,'Assumptions'!$B$35*12,M470)*12</x:f>
        <x:v>143245.16141791036</x:v>
      </x:c>
      <x:c r="O470" s="133" t="n">
        <x:f>(L470*(1+'Assumptions'!$B$29)^('Assumptions'!$B$14/12)/J470)*(1-'Assumptions'!$B$42)-'Debt Schedule'!$F$9</x:f>
        <x:v>3917598.850391978</x:v>
      </x:c>
      <x:c r="P470" s="132" t="n">
        <x:f>((O470+(L470-N470-'Assumptions'!$B$27-'Assumptions'!$B$28)*('Assumptions'!$B$14/12))/ABS('Monthly Cash Flow'!$S$5))^(1/('Assumptions'!$B$14/12))-1</x:f>
        <x:v>0.2556737927277737</x:v>
      </x:c>
      <x:c r="Q470" s="133" t="n">
        <x:f>-ABS('Monthly Cash Flow'!$S$5)+((L470-N470-'Assumptions'!$B$27-'Assumptions'!$B$28)*(1-(1+'Assumptions'!$B$43)^-('Assumptions'!$B$14/12))/'Assumptions'!$B$43)+(O470/(1+'Assumptions'!$B$43)^('Assumptions'!$B$14/12))</x:f>
        <x:v>1231559.492032722</x:v>
      </x:c>
    </x:row>
    <x:row r="471">
      <x:c r="A471" s="131" t="n">
        <x:f>464</x:f>
        <x:v>464</x:v>
      </x:c>
      <x:c r="B471" s="131" t="n">
        <x:f>MOD(ABS(SIN((A471+1)*12.9898+78.233)*43758.5453),1)</x:f>
        <x:v>0.8842441664382932</x:v>
      </x:c>
      <x:c r="C471" s="131" t="n">
        <x:f>MOD(ABS(SIN((A471+2)*12.9898+78.233)*43758.5453),1)</x:f>
        <x:v>0.2694922856753692</x:v>
      </x:c>
      <x:c r="D471" s="131" t="n">
        <x:f>MOD(ABS(SIN((A471+3)*12.9898+78.233)*43758.5453),1)</x:f>
        <x:v>0.0004989841545466334</x:v>
      </x:c>
      <x:c r="E471" s="131" t="n">
        <x:f>MOD(ABS(SIN((A471+4)*12.9898+78.233)*43758.5453),1)</x:f>
        <x:v>0.072080183664184</x:v>
      </x:c>
      <x:c r="F471" s="131" t="n">
        <x:f>MOD(ABS(SIN((A471+5)*12.9898+78.233)*43758.5453),1)</x:f>
        <x:v>0.3015497980559303</x:v>
      </x:c>
      <x:c r="G471" s="132" t="n">
        <x:f>IF(B471&lt;(('Assumptions'!$C$47-'Assumptions'!$B$47)/('Assumptions'!$D$47-'Assumptions'!$B$47)),'Assumptions'!$B$47+SQRT(B471*('Assumptions'!$D$47-'Assumptions'!$B$47)*('Assumptions'!$C$47-'Assumptions'!$B$47)),'Assumptions'!$D$47-SQRT((1-B471)*('Assumptions'!$D$47-'Assumptions'!$B$47)*('Assumptions'!$D$47-'Assumptions'!$C$47)))</x:f>
        <x:v>0.056964045996547155</x:v>
      </x:c>
      <x:c r="H471" s="132" t="n">
        <x:f>IF(C471&lt;(('Assumptions'!$C$48-'Assumptions'!$B$48)/('Assumptions'!$D$48-'Assumptions'!$B$48)),'Assumptions'!$B$48+SQRT(C471*('Assumptions'!$D$48-'Assumptions'!$B$48)*('Assumptions'!$C$48-'Assumptions'!$B$48)),'Assumptions'!$D$48-SQRT((1-C471)*('Assumptions'!$D$48-'Assumptions'!$B$48)*('Assumptions'!$D$48-'Assumptions'!$C$48)))</x:f>
        <x:v>0.05982154494201664</x:v>
      </x:c>
      <x:c r="I471" s="132" t="n">
        <x:f>IF(D471&lt;(('Assumptions'!$C$49-'Assumptions'!$B$49)/('Assumptions'!$D$49-'Assumptions'!$B$49)),'Assumptions'!$B$49+SQRT(D471*('Assumptions'!$D$49-'Assumptions'!$B$49)*('Assumptions'!$C$49-'Assumptions'!$B$49)),'Assumptions'!$D$49-SQRT((1-D471)*('Assumptions'!$D$49-'Assumptions'!$B$49)*('Assumptions'!$D$49-'Assumptions'!$C$49)))</x:f>
        <x:v>-0.02767857180401727</x:v>
      </x:c>
      <x:c r="J471" s="132" t="n">
        <x:f>IF(E471&lt;(('Assumptions'!$C$50-'Assumptions'!$B$50)/('Assumptions'!$D$50-'Assumptions'!$B$50)),'Assumptions'!$B$50+SQRT(E471*('Assumptions'!$D$50-'Assumptions'!$B$50)*('Assumptions'!$C$50-'Assumptions'!$B$50)),'Assumptions'!$D$50-SQRT((1-E471)*('Assumptions'!$D$50-'Assumptions'!$B$50)*('Assumptions'!$D$50-'Assumptions'!$C$50)))</x:f>
        <x:v>0.06152716293740909</x:v>
      </x:c>
      <x:c r="K471" s="132" t="n">
        <x:f>IF(F471&lt;(('Assumptions'!$C$51-'Assumptions'!$B$51)/('Assumptions'!$D$51-'Assumptions'!$B$51)),'Assumptions'!$B$51+SQRT(F471*('Assumptions'!$D$51-'Assumptions'!$B$51)*('Assumptions'!$C$51-'Assumptions'!$B$51)),'Assumptions'!$D$51-SQRT((1-F471)*('Assumptions'!$D$51-'Assumptions'!$B$51)*('Assumptions'!$D$51-'Assumptions'!$C$51)))</x:f>
        <x:v>0.06660638207332532</x:v>
      </x:c>
      <x:c r="L471" s="133" t="n">
        <x:f>(('Assumptions'!$B$17*(1+G471)+'Assumptions'!$B$18)*(1-H471-'Assumptions'!$B$20)-SUM('Assumptions'!$B$21:$B$25)*(1+I471))-(('Assumptions'!$B$17*(1+G471)+'Assumptions'!$B$18)*(1-H471-'Assumptions'!$B$20)*'Assumptions'!$B$26)</x:f>
        <x:v>233342.87111885403</x:v>
      </x:c>
      <x:c r="M471" s="133" t="n">
        <x:f>'Assumptions'!$B$10*'Assumptions'!$B$33</x:f>
        <x:v>1950000</x:v>
      </x:c>
      <x:c r="N471" s="133" t="n">
        <x:f>-PMT(K471/12,'Assumptions'!$B$35*12,M471)*12</x:f>
        <x:v>150384.5911534393</x:v>
      </x:c>
      <x:c r="O471" s="133" t="n">
        <x:f>(L471*(1+'Assumptions'!$B$29)^('Assumptions'!$B$14/12)/J471)*(1-'Assumptions'!$B$42)-'Debt Schedule'!$F$9</x:f>
        <x:v>4132773.694032324</x:v>
      </x:c>
      <x:c r="P471" s="132" t="n">
        <x:f>((O471+(L471-N471-'Assumptions'!$B$27-'Assumptions'!$B$28)*('Assumptions'!$B$14/12))/ABS('Monthly Cash Flow'!$S$5))^(1/('Assumptions'!$B$14/12))-1</x:f>
        <x:v>0.2741742018227842</x:v>
      </x:c>
      <x:c r="Q471" s="133" t="n">
        <x:f>-ABS('Monthly Cash Flow'!$S$5)+((L471-N471-'Assumptions'!$B$27-'Assumptions'!$B$28)*(1-(1+'Assumptions'!$B$43)^-('Assumptions'!$B$14/12))/'Assumptions'!$B$43)+(O471/(1+'Assumptions'!$B$43)^('Assumptions'!$B$14/12))</x:f>
        <x:v>1434472.9893320599</x:v>
      </x:c>
    </x:row>
    <x:row r="472">
      <x:c r="A472" s="131" t="n">
        <x:f>465</x:f>
        <x:v>465</x:v>
      </x:c>
      <x:c r="B472" s="131" t="n">
        <x:f>MOD(ABS(SIN((A472+1)*12.9898+78.233)*43758.5453),1)</x:f>
        <x:v>0.2694922856753692</x:v>
      </x:c>
      <x:c r="C472" s="131" t="n">
        <x:f>MOD(ABS(SIN((A472+2)*12.9898+78.233)*43758.5453),1)</x:f>
        <x:v>0.0004989841545466334</x:v>
      </x:c>
      <x:c r="D472" s="131" t="n">
        <x:f>MOD(ABS(SIN((A472+3)*12.9898+78.233)*43758.5453),1)</x:f>
        <x:v>0.072080183664184</x:v>
      </x:c>
      <x:c r="E472" s="131" t="n">
        <x:f>MOD(ABS(SIN((A472+4)*12.9898+78.233)*43758.5453),1)</x:f>
        <x:v>0.3015497980559303</x:v>
      </x:c>
      <x:c r="F472" s="131" t="n">
        <x:f>MOD(ABS(SIN((A472+5)*12.9898+78.233)*43758.5453),1)</x:f>
        <x:v>0.04533684964553686</x:v>
      </x:c>
      <x:c r="G472" s="132" t="n">
        <x:f>IF(B472&lt;(('Assumptions'!$C$47-'Assumptions'!$B$47)/('Assumptions'!$D$47-'Assumptions'!$B$47)),'Assumptions'!$B$47+SQRT(B472*('Assumptions'!$D$47-'Assumptions'!$B$47)*('Assumptions'!$C$47-'Assumptions'!$B$47)),'Assumptions'!$D$47-SQRT((1-B472)*('Assumptions'!$D$47-'Assumptions'!$B$47)*('Assumptions'!$D$47-'Assumptions'!$C$47)))</x:f>
        <x:v>-0.019577274006603945</x:v>
      </x:c>
      <x:c r="H472" s="132" t="n">
        <x:f>IF(C472&lt;(('Assumptions'!$C$48-'Assumptions'!$B$48)/('Assumptions'!$D$48-'Assumptions'!$B$48)),'Assumptions'!$B$48+SQRT(C472*('Assumptions'!$D$48-'Assumptions'!$B$48)*('Assumptions'!$C$48-'Assumptions'!$B$48)),'Assumptions'!$D$48-SQRT((1-C472)*('Assumptions'!$D$48-'Assumptions'!$B$48)*('Assumptions'!$D$48-'Assumptions'!$C$48)))</x:f>
        <x:v>0.03128321771730439</x:v>
      </x:c>
      <x:c r="I472" s="132" t="n">
        <x:f>IF(D472&lt;(('Assumptions'!$C$49-'Assumptions'!$B$49)/('Assumptions'!$D$49-'Assumptions'!$B$49)),'Assumptions'!$B$49+SQRT(D472*('Assumptions'!$D$49-'Assumptions'!$B$49)*('Assumptions'!$C$49-'Assumptions'!$B$49)),'Assumptions'!$D$49-SQRT((1-D472)*('Assumptions'!$D$49-'Assumptions'!$B$49)*('Assumptions'!$D$49-'Assumptions'!$C$49)))</x:f>
        <x:v>-0.0020989967281965435</x:v>
      </x:c>
      <x:c r="J472" s="132" t="n">
        <x:f>IF(E472&lt;(('Assumptions'!$C$50-'Assumptions'!$B$50)/('Assumptions'!$D$50-'Assumptions'!$B$50)),'Assumptions'!$B$50+SQRT(E472*('Assumptions'!$D$50-'Assumptions'!$B$50)*('Assumptions'!$C$50-'Assumptions'!$B$50)),'Assumptions'!$D$50-SQRT((1-E472)*('Assumptions'!$D$50-'Assumptions'!$B$50)*('Assumptions'!$D$50-'Assumptions'!$C$50)))</x:f>
        <x:v>0.06573703250950148</x:v>
      </x:c>
      <x:c r="K472" s="132" t="n">
        <x:f>IF(F472&lt;(('Assumptions'!$C$51-'Assumptions'!$B$51)/('Assumptions'!$D$51-'Assumptions'!$B$51)),'Assumptions'!$B$51+SQRT(F472*('Assumptions'!$D$51-'Assumptions'!$B$51)*('Assumptions'!$C$51-'Assumptions'!$B$51)),'Assumptions'!$D$51-SQRT((1-F472)*('Assumptions'!$D$51-'Assumptions'!$B$51)*('Assumptions'!$D$51-'Assumptions'!$C$51)))</x:f>
        <x:v>0.0610309536463288</x:v>
      </x:c>
      <x:c r="L472" s="133" t="n">
        <x:f>(('Assumptions'!$B$17*(1+G472)+'Assumptions'!$B$18)*(1-H472-'Assumptions'!$B$20)-SUM('Assumptions'!$B$21:$B$25)*(1+I472))-(('Assumptions'!$B$17*(1+G472)+'Assumptions'!$B$18)*(1-H472-'Assumptions'!$B$20)*'Assumptions'!$B$26)</x:f>
        <x:v>215677.03201200263</x:v>
      </x:c>
      <x:c r="M472" s="133" t="n">
        <x:f>'Assumptions'!$B$10*'Assumptions'!$B$33</x:f>
        <x:v>1950000</x:v>
      </x:c>
      <x:c r="N472" s="133" t="n">
        <x:f>-PMT(K472/12,'Assumptions'!$B$35*12,M472)*12</x:f>
        <x:v>141849.56871250816</x:v>
      </x:c>
      <x:c r="O472" s="133" t="n">
        <x:f>(L472*(1+'Assumptions'!$B$29)^('Assumptions'!$B$14/12)/J472)*(1-'Assumptions'!$B$42)-'Debt Schedule'!$F$9</x:f>
        <x:v>3575261.236526099</x:v>
      </x:c>
      <x:c r="P472" s="132" t="n">
        <x:f>((O472+(L472-N472-'Assumptions'!$B$27-'Assumptions'!$B$28)*('Assumptions'!$B$14/12))/ABS('Monthly Cash Flow'!$S$5))^(1/('Assumptions'!$B$14/12))-1</x:f>
        <x:v>0.23667619994718514</x:v>
      </x:c>
      <x:c r="Q472" s="133" t="n">
        <x:f>-ABS('Monthly Cash Flow'!$S$5)+((L472-N472-'Assumptions'!$B$27-'Assumptions'!$B$28)*(1-(1+'Assumptions'!$B$43)^-('Assumptions'!$B$14/12))/'Assumptions'!$B$43)+(O472/(1+'Assumptions'!$B$43)^('Assumptions'!$B$14/12))</x:f>
        <x:v>1053688.6375842693</x:v>
      </x:c>
    </x:row>
    <x:row r="473">
      <x:c r="A473" s="131" t="n">
        <x:f>466</x:f>
        <x:v>466</x:v>
      </x:c>
      <x:c r="B473" s="131" t="n">
        <x:f>MOD(ABS(SIN((A473+1)*12.9898+78.233)*43758.5453),1)</x:f>
        <x:v>0.0004989841545466334</x:v>
      </x:c>
      <x:c r="C473" s="131" t="n">
        <x:f>MOD(ABS(SIN((A473+2)*12.9898+78.233)*43758.5453),1)</x:f>
        <x:v>0.072080183664184</x:v>
      </x:c>
      <x:c r="D473" s="131" t="n">
        <x:f>MOD(ABS(SIN((A473+3)*12.9898+78.233)*43758.5453),1)</x:f>
        <x:v>0.3015497980559303</x:v>
      </x:c>
      <x:c r="E473" s="131" t="n">
        <x:f>MOD(ABS(SIN((A473+4)*12.9898+78.233)*43758.5453),1)</x:f>
        <x:v>0.04533684964553686</x:v>
      </x:c>
      <x:c r="F473" s="131" t="n">
        <x:f>MOD(ABS(SIN((A473+5)*12.9898+78.233)*43758.5453),1)</x:f>
        <x:v>0.570881008025026</x:v>
      </x:c>
      <x:c r="G473" s="132" t="n">
        <x:f>IF(B473&lt;(('Assumptions'!$C$47-'Assumptions'!$B$47)/('Assumptions'!$D$47-'Assumptions'!$B$47)),'Assumptions'!$B$47+SQRT(B473*('Assumptions'!$D$47-'Assumptions'!$B$47)*('Assumptions'!$C$47-'Assumptions'!$B$47)),'Assumptions'!$D$47-SQRT((1-B473)*('Assumptions'!$D$47-'Assumptions'!$B$47)*('Assumptions'!$D$47-'Assumptions'!$C$47)))</x:f>
        <x:v>-0.09653941916593195</x:v>
      </x:c>
      <x:c r="H473" s="132" t="n">
        <x:f>IF(C473&lt;(('Assumptions'!$C$48-'Assumptions'!$B$48)/('Assumptions'!$D$48-'Assumptions'!$B$48)),'Assumptions'!$B$48+SQRT(C473*('Assumptions'!$D$48-'Assumptions'!$B$48)*('Assumptions'!$C$48-'Assumptions'!$B$48)),'Assumptions'!$D$48-SQRT((1-C473)*('Assumptions'!$D$48-'Assumptions'!$B$48)*('Assumptions'!$D$48-'Assumptions'!$C$48)))</x:f>
        <x:v>0.04542285985450841</x:v>
      </x:c>
      <x:c r="I473" s="132" t="n">
        <x:f>IF(D473&lt;(('Assumptions'!$C$49-'Assumptions'!$B$49)/('Assumptions'!$D$49-'Assumptions'!$B$49)),'Assumptions'!$B$49+SQRT(D473*('Assumptions'!$D$49-'Assumptions'!$B$49)*('Assumptions'!$C$49-'Assumptions'!$B$49)),'Assumptions'!$D$49-SQRT((1-D473)*('Assumptions'!$D$49-'Assumptions'!$B$49)*('Assumptions'!$D$49-'Assumptions'!$C$49)))</x:f>
        <x:v>0.027067835240212564</x:v>
      </x:c>
      <x:c r="J473" s="132" t="n">
        <x:f>IF(E473&lt;(('Assumptions'!$C$50-'Assumptions'!$B$50)/('Assumptions'!$D$50-'Assumptions'!$B$50)),'Assumptions'!$B$50+SQRT(E473*('Assumptions'!$D$50-'Assumptions'!$B$50)*('Assumptions'!$C$50-'Assumptions'!$B$50)),'Assumptions'!$D$50-SQRT((1-E473)*('Assumptions'!$D$50-'Assumptions'!$B$50)*('Assumptions'!$D$50-'Assumptions'!$C$50)))</x:f>
        <x:v>0.060693867744639064</x:v>
      </x:c>
      <x:c r="K473" s="132" t="n">
        <x:f>IF(F473&lt;(('Assumptions'!$C$51-'Assumptions'!$B$51)/('Assumptions'!$D$51-'Assumptions'!$B$51)),'Assumptions'!$B$51+SQRT(F473*('Assumptions'!$D$51-'Assumptions'!$B$51)*('Assumptions'!$C$51-'Assumptions'!$B$51)),'Assumptions'!$D$51-SQRT((1-F473)*('Assumptions'!$D$51-'Assumptions'!$B$51)*('Assumptions'!$D$51-'Assumptions'!$C$51)))</x:f>
        <x:v>0.0706294219014002</x:v>
      </x:c>
      <x:c r="L473" s="133" t="n">
        <x:f>(('Assumptions'!$B$17*(1+G473)+'Assumptions'!$B$18)*(1-H473-'Assumptions'!$B$20)-SUM('Assumptions'!$B$21:$B$25)*(1+I473))-(('Assumptions'!$B$17*(1+G473)+'Assumptions'!$B$18)*(1-H473-'Assumptions'!$B$20)*'Assumptions'!$B$26)</x:f>
        <x:v>181842.71169751228</x:v>
      </x:c>
      <x:c r="M473" s="133" t="n">
        <x:f>'Assumptions'!$B$10*'Assumptions'!$B$33</x:f>
        <x:v>1950000</x:v>
      </x:c>
      <x:c r="N473" s="133" t="n">
        <x:f>-PMT(K473/12,'Assumptions'!$B$35*12,M473)*12</x:f>
        <x:v>156671.19626360163</x:v>
      </x:c>
      <x:c r="O473" s="133" t="n">
        <x:f>(L473*(1+'Assumptions'!$B$29)^('Assumptions'!$B$14/12)/J473)*(1-'Assumptions'!$B$42)-'Debt Schedule'!$F$9</x:f>
        <x:v>3264863.7524432265</x:v>
      </x:c>
      <x:c r="P473" s="132" t="n">
        <x:f>((O473+(L473-N473-'Assumptions'!$B$27-'Assumptions'!$B$28)*('Assumptions'!$B$14/12))/ABS('Monthly Cash Flow'!$S$5))^(1/('Assumptions'!$B$14/12))-1</x:f>
        <x:v>0.19772568813895552</x:v>
      </x:c>
      <x:c r="Q473" s="133" t="n">
        <x:f>-ABS('Monthly Cash Flow'!$S$5)+((L473-N473-'Assumptions'!$B$27-'Assumptions'!$B$28)*(1-(1+'Assumptions'!$B$43)^-('Assumptions'!$B$14/12))/'Assumptions'!$B$43)+(O473/(1+'Assumptions'!$B$43)^('Assumptions'!$B$14/12))</x:f>
        <x:v>676511.8976714166</x:v>
      </x:c>
    </x:row>
    <x:row r="474">
      <x:c r="A474" s="131" t="n">
        <x:f>467</x:f>
        <x:v>467</x:v>
      </x:c>
      <x:c r="B474" s="131" t="n">
        <x:f>MOD(ABS(SIN((A474+1)*12.9898+78.233)*43758.5453),1)</x:f>
        <x:v>0.072080183664184</x:v>
      </x:c>
      <x:c r="C474" s="131" t="n">
        <x:f>MOD(ABS(SIN((A474+2)*12.9898+78.233)*43758.5453),1)</x:f>
        <x:v>0.3015497980559303</x:v>
      </x:c>
      <x:c r="D474" s="131" t="n">
        <x:f>MOD(ABS(SIN((A474+3)*12.9898+78.233)*43758.5453),1)</x:f>
        <x:v>0.04533684964553686</x:v>
      </x:c>
      <x:c r="E474" s="131" t="n">
        <x:f>MOD(ABS(SIN((A474+4)*12.9898+78.233)*43758.5453),1)</x:f>
        <x:v>0.570881008025026</x:v>
      </x:c>
      <x:c r="F474" s="131" t="n">
        <x:f>MOD(ABS(SIN((A474+5)*12.9898+78.233)*43758.5453),1)</x:f>
        <x:v>0.9025110865259194</x:v>
      </x:c>
      <x:c r="G474" s="132" t="n">
        <x:f>IF(B474&lt;(('Assumptions'!$C$47-'Assumptions'!$B$47)/('Assumptions'!$D$47-'Assumptions'!$B$47)),'Assumptions'!$B$47+SQRT(B474*('Assumptions'!$D$47-'Assumptions'!$B$47)*('Assumptions'!$C$47-'Assumptions'!$B$47)),'Assumptions'!$D$47-SQRT((1-B474)*('Assumptions'!$D$47-'Assumptions'!$B$47)*('Assumptions'!$D$47-'Assumptions'!$C$47)))</x:f>
        <x:v>-0.05840764002920229</x:v>
      </x:c>
      <x:c r="H474" s="132" t="n">
        <x:f>IF(C474&lt;(('Assumptions'!$C$48-'Assumptions'!$B$48)/('Assumptions'!$D$48-'Assumptions'!$B$48)),'Assumptions'!$B$48+SQRT(C474*('Assumptions'!$D$48-'Assumptions'!$B$48)*('Assumptions'!$C$48-'Assumptions'!$B$48)),'Assumptions'!$D$48-SQRT((1-C474)*('Assumptions'!$D$48-'Assumptions'!$B$48)*('Assumptions'!$D$48-'Assumptions'!$C$48)))</x:f>
        <x:v>0.06160126418680073</x:v>
      </x:c>
      <x:c r="I474" s="132" t="n">
        <x:f>IF(D474&lt;(('Assumptions'!$C$49-'Assumptions'!$B$49)/('Assumptions'!$D$49-'Assumptions'!$B$49)),'Assumptions'!$B$49+SQRT(D474*('Assumptions'!$D$49-'Assumptions'!$B$49)*('Assumptions'!$C$49-'Assumptions'!$B$49)),'Assumptions'!$D$49-SQRT((1-D474)*('Assumptions'!$D$49-'Assumptions'!$B$49)*('Assumptions'!$D$49-'Assumptions'!$C$49)))</x:f>
        <x:v>-0.007872235174518908</x:v>
      </x:c>
      <x:c r="J474" s="132" t="n">
        <x:f>IF(E474&lt;(('Assumptions'!$C$50-'Assumptions'!$B$50)/('Assumptions'!$D$50-'Assumptions'!$B$50)),'Assumptions'!$B$50+SQRT(E474*('Assumptions'!$D$50-'Assumptions'!$B$50)*('Assumptions'!$C$50-'Assumptions'!$B$50)),'Assumptions'!$D$50-SQRT((1-E474)*('Assumptions'!$D$50-'Assumptions'!$B$50)*('Assumptions'!$D$50-'Assumptions'!$C$50)))</x:f>
        <x:v>0.06901411284907034</x:v>
      </x:c>
      <x:c r="K474" s="132" t="n">
        <x:f>IF(F474&lt;(('Assumptions'!$C$51-'Assumptions'!$B$51)/('Assumptions'!$D$51-'Assumptions'!$B$51)),'Assumptions'!$B$51+SQRT(F474*('Assumptions'!$D$51-'Assumptions'!$B$51)*('Assumptions'!$C$51-'Assumptions'!$B$51)),'Assumptions'!$D$51-SQRT((1-F474)*('Assumptions'!$D$51-'Assumptions'!$B$51)*('Assumptions'!$D$51-'Assumptions'!$C$51)))</x:f>
        <x:v>0.07815043507882426</x:v>
      </x:c>
      <x:c r="L474" s="133" t="n">
        <x:f>(('Assumptions'!$B$17*(1+G474)+'Assumptions'!$B$18)*(1-H474-'Assumptions'!$B$20)-SUM('Assumptions'!$B$21:$B$25)*(1+I474))-(('Assumptions'!$B$17*(1+G474)+'Assumptions'!$B$18)*(1-H474-'Assumptions'!$B$20)*'Assumptions'!$B$26)</x:f>
        <x:v>193148.87472447858</x:v>
      </x:c>
      <x:c r="M474" s="133" t="n">
        <x:f>'Assumptions'!$B$10*'Assumptions'!$B$33</x:f>
        <x:v>1950000</x:v>
      </x:c>
      <x:c r="N474" s="133" t="n">
        <x:f>-PMT(K474/12,'Assumptions'!$B$35*12,M474)*12</x:f>
        <x:v>168693.4526625787</x:v>
      </x:c>
      <x:c r="O474" s="133" t="n">
        <x:f>(L474*(1+'Assumptions'!$B$29)^('Assumptions'!$B$14/12)/J474)*(1-'Assumptions'!$B$42)-'Debt Schedule'!$F$9</x:f>
        <x:v>3049778.158153103</x:v>
      </x:c>
      <x:c r="P474" s="132" t="n">
        <x:f>((O474+(L474-N474-'Assumptions'!$B$27-'Assumptions'!$B$28)*('Assumptions'!$B$14/12))/ABS('Monthly Cash Flow'!$S$5))^(1/('Assumptions'!$B$14/12))-1</x:f>
        <x:v>0.18083975313714706</x:v>
      </x:c>
      <x:c r="Q474" s="133" t="n">
        <x:f>-ABS('Monthly Cash Flow'!$S$5)+((L474-N474-'Assumptions'!$B$27-'Assumptions'!$B$28)*(1-(1+'Assumptions'!$B$43)^-('Assumptions'!$B$14/12))/'Assumptions'!$B$43)+(O474/(1+'Assumptions'!$B$43)^('Assumptions'!$B$14/12))</x:f>
        <x:v>540246.1086135493</x:v>
      </x:c>
    </x:row>
    <x:row r="475">
      <x:c r="A475" s="131" t="n">
        <x:f>468</x:f>
        <x:v>468</x:v>
      </x:c>
      <x:c r="B475" s="131" t="n">
        <x:f>MOD(ABS(SIN((A475+1)*12.9898+78.233)*43758.5453),1)</x:f>
        <x:v>0.3015497980559303</x:v>
      </x:c>
      <x:c r="C475" s="131" t="n">
        <x:f>MOD(ABS(SIN((A475+2)*12.9898+78.233)*43758.5453),1)</x:f>
        <x:v>0.04533684964553686</x:v>
      </x:c>
      <x:c r="D475" s="131" t="n">
        <x:f>MOD(ABS(SIN((A475+3)*12.9898+78.233)*43758.5453),1)</x:f>
        <x:v>0.570881008025026</x:v>
      </x:c>
      <x:c r="E475" s="131" t="n">
        <x:f>MOD(ABS(SIN((A475+4)*12.9898+78.233)*43758.5453),1)</x:f>
        <x:v>0.9025110865259194</x:v>
      </x:c>
      <x:c r="F475" s="131" t="n">
        <x:f>MOD(ABS(SIN((A475+5)*12.9898+78.233)*43758.5453),1)</x:f>
        <x:v>0.4242106778692687</x:v>
      </x:c>
      <x:c r="G475" s="132" t="n">
        <x:f>IF(B475&lt;(('Assumptions'!$C$47-'Assumptions'!$B$47)/('Assumptions'!$D$47-'Assumptions'!$B$47)),'Assumptions'!$B$47+SQRT(B475*('Assumptions'!$D$47-'Assumptions'!$B$47)*('Assumptions'!$C$47-'Assumptions'!$B$47)),'Assumptions'!$D$47-SQRT((1-B475)*('Assumptions'!$D$47-'Assumptions'!$B$47)*('Assumptions'!$D$47-'Assumptions'!$C$47)))</x:f>
        <x:v>-0.01492829404941777</x:v>
      </x:c>
      <x:c r="H475" s="132" t="n">
        <x:f>IF(C475&lt;(('Assumptions'!$C$48-'Assumptions'!$B$48)/('Assumptions'!$D$48-'Assumptions'!$B$48)),'Assumptions'!$B$48+SQRT(C475*('Assumptions'!$D$48-'Assumptions'!$B$48)*('Assumptions'!$C$48-'Assumptions'!$B$48)),'Assumptions'!$D$48-SQRT((1-C475)*('Assumptions'!$D$48-'Assumptions'!$B$48)*('Assumptions'!$D$48-'Assumptions'!$C$48)))</x:f>
        <x:v>0.04223158222922413</x:v>
      </x:c>
      <x:c r="I475" s="132" t="n">
        <x:f>IF(D475&lt;(('Assumptions'!$C$49-'Assumptions'!$B$49)/('Assumptions'!$D$49-'Assumptions'!$B$49)),'Assumptions'!$B$49+SQRT(D475*('Assumptions'!$D$49-'Assumptions'!$B$49)*('Assumptions'!$C$49-'Assumptions'!$B$49)),'Assumptions'!$D$49-SQRT((1-D475)*('Assumptions'!$D$49-'Assumptions'!$B$49)*('Assumptions'!$D$49-'Assumptions'!$C$49)))</x:f>
        <x:v>0.0537245086916746</x:v>
      </x:c>
      <x:c r="J475" s="132" t="n">
        <x:f>IF(E475&lt;(('Assumptions'!$C$50-'Assumptions'!$B$50)/('Assumptions'!$D$50-'Assumptions'!$B$50)),'Assumptions'!$B$50+SQRT(E475*('Assumptions'!$D$50-'Assumptions'!$B$50)*('Assumptions'!$C$50-'Assumptions'!$B$50)),'Assumptions'!$D$50-SQRT((1-E475)*('Assumptions'!$D$50-'Assumptions'!$B$50)*('Assumptions'!$D$50-'Assumptions'!$C$50)))</x:f>
        <x:v>0.07476370771302965</x:v>
      </x:c>
      <x:c r="K475" s="132" t="n">
        <x:f>IF(F475&lt;(('Assumptions'!$C$51-'Assumptions'!$B$51)/('Assumptions'!$D$51-'Assumptions'!$B$51)),'Assumptions'!$B$51+SQRT(F475*('Assumptions'!$D$51-'Assumptions'!$B$51)*('Assumptions'!$C$51-'Assumptions'!$B$51)),'Assumptions'!$D$51-SQRT((1-F475)*('Assumptions'!$D$51-'Assumptions'!$B$51)*('Assumptions'!$D$51-'Assumptions'!$C$51)))</x:f>
        <x:v>0.06835372079786554</x:v>
      </x:c>
      <x:c r="L475" s="133" t="n">
        <x:f>(('Assumptions'!$B$17*(1+G475)+'Assumptions'!$B$18)*(1-H475-'Assumptions'!$B$20)-SUM('Assumptions'!$B$21:$B$25)*(1+I475))-(('Assumptions'!$B$17*(1+G475)+'Assumptions'!$B$18)*(1-H475-'Assumptions'!$B$20)*'Assumptions'!$B$26)</x:f>
        <x:v>206267.1710633538</x:v>
      </x:c>
      <x:c r="M475" s="133" t="n">
        <x:f>'Assumptions'!$B$10*'Assumptions'!$B$33</x:f>
        <x:v>1950000</x:v>
      </x:c>
      <x:c r="N475" s="133" t="n">
        <x:f>-PMT(K475/12,'Assumptions'!$B$35*12,M475)*12</x:f>
        <x:v>153102.2456498854</x:v>
      </x:c>
      <x:c r="O475" s="133" t="n">
        <x:f>(L475*(1+'Assumptions'!$B$29)^('Assumptions'!$B$14/12)/J475)*(1-'Assumptions'!$B$42)-'Debt Schedule'!$F$9</x:f>
        <x:v>3006444.9669635547</x:v>
      </x:c>
      <x:c r="P475" s="132" t="n">
        <x:f>((O475+(L475-N475-'Assumptions'!$B$27-'Assumptions'!$B$28)*('Assumptions'!$B$14/12))/ABS('Monthly Cash Flow'!$S$5))^(1/('Assumptions'!$B$14/12))-1</x:f>
        <x:v>0.18869778537712834</x:v>
      </x:c>
      <x:c r="Q475" s="133" t="n">
        <x:f>-ABS('Monthly Cash Flow'!$S$5)+((L475-N475-'Assumptions'!$B$27-'Assumptions'!$B$28)*(1-(1+'Assumptions'!$B$43)^-('Assumptions'!$B$14/12))/'Assumptions'!$B$43)+(O475/(1+'Assumptions'!$B$43)^('Assumptions'!$B$14/12))</x:f>
        <x:v>622171.2116691729</x:v>
      </x:c>
    </x:row>
    <x:row r="476">
      <x:c r="A476" s="131" t="n">
        <x:f>469</x:f>
        <x:v>469</x:v>
      </x:c>
      <x:c r="B476" s="131" t="n">
        <x:f>MOD(ABS(SIN((A476+1)*12.9898+78.233)*43758.5453),1)</x:f>
        <x:v>0.04533684964553686</x:v>
      </x:c>
      <x:c r="C476" s="131" t="n">
        <x:f>MOD(ABS(SIN((A476+2)*12.9898+78.233)*43758.5453),1)</x:f>
        <x:v>0.570881008025026</x:v>
      </x:c>
      <x:c r="D476" s="131" t="n">
        <x:f>MOD(ABS(SIN((A476+3)*12.9898+78.233)*43758.5453),1)</x:f>
        <x:v>0.9025110865259194</x:v>
      </x:c>
      <x:c r="E476" s="131" t="n">
        <x:f>MOD(ABS(SIN((A476+4)*12.9898+78.233)*43758.5453),1)</x:f>
        <x:v>0.4242106778692687</x:v>
      </x:c>
      <x:c r="F476" s="131" t="n">
        <x:f>MOD(ABS(SIN((A476+5)*12.9898+78.233)*43758.5453),1)</x:f>
        <x:v>0.18366378611608525</x:v>
      </x:c>
      <x:c r="G476" s="132" t="n">
        <x:f>IF(B476&lt;(('Assumptions'!$C$47-'Assumptions'!$B$47)/('Assumptions'!$D$47-'Assumptions'!$B$47)),'Assumptions'!$B$47+SQRT(B476*('Assumptions'!$D$47-'Assumptions'!$B$47)*('Assumptions'!$C$47-'Assumptions'!$B$47)),'Assumptions'!$D$47-SQRT((1-B476)*('Assumptions'!$D$47-'Assumptions'!$B$47)*('Assumptions'!$D$47-'Assumptions'!$C$47)))</x:f>
        <x:v>-0.06701387577339701</x:v>
      </x:c>
      <x:c r="H476" s="132" t="n">
        <x:f>IF(C476&lt;(('Assumptions'!$C$48-'Assumptions'!$B$48)/('Assumptions'!$D$48-'Assumptions'!$B$48)),'Assumptions'!$B$48+SQRT(C476*('Assumptions'!$D$48-'Assumptions'!$B$48)*('Assumptions'!$C$48-'Assumptions'!$B$48)),'Assumptions'!$D$48-SQRT((1-C476)*('Assumptions'!$D$48-'Assumptions'!$B$48)*('Assumptions'!$D$48-'Assumptions'!$C$48)))</x:f>
        <x:v>0.0785488232058997</x:v>
      </x:c>
      <x:c r="I476" s="132" t="n">
        <x:f>IF(D476&lt;(('Assumptions'!$C$49-'Assumptions'!$B$49)/('Assumptions'!$D$49-'Assumptions'!$B$49)),'Assumptions'!$B$49+SQRT(D476*('Assumptions'!$D$49-'Assumptions'!$B$49)*('Assumptions'!$C$49-'Assumptions'!$B$49)),'Assumptions'!$D$49-SQRT((1-D476)*('Assumptions'!$D$49-'Assumptions'!$B$49)*('Assumptions'!$D$49-'Assumptions'!$C$49)))</x:f>
        <x:v>0.1041114335477764</x:v>
      </x:c>
      <x:c r="J476" s="132" t="n">
        <x:f>IF(E476&lt;(('Assumptions'!$C$50-'Assumptions'!$B$50)/('Assumptions'!$D$50-'Assumptions'!$B$50)),'Assumptions'!$B$50+SQRT(E476*('Assumptions'!$D$50-'Assumptions'!$B$50)*('Assumptions'!$C$50-'Assumptions'!$B$50)),'Assumptions'!$D$50-SQRT((1-E476)*('Assumptions'!$D$50-'Assumptions'!$B$50)*('Assumptions'!$D$50-'Assumptions'!$C$50)))</x:f>
        <x:v>0.06726971865104546</x:v>
      </x:c>
      <x:c r="K476" s="132" t="n">
        <x:f>IF(F476&lt;(('Assumptions'!$C$51-'Assumptions'!$B$51)/('Assumptions'!$D$51-'Assumptions'!$B$51)),'Assumptions'!$B$51+SQRT(F476*('Assumptions'!$D$51-'Assumptions'!$B$51)*('Assumptions'!$C$51-'Assumptions'!$B$51)),'Assumptions'!$D$51-SQRT((1-F476)*('Assumptions'!$D$51-'Assumptions'!$B$51)*('Assumptions'!$D$51-'Assumptions'!$C$51)))</x:f>
        <x:v>0.06460686577767749</x:v>
      </x:c>
      <x:c r="L476" s="133" t="n">
        <x:f>(('Assumptions'!$B$17*(1+G476)+'Assumptions'!$B$18)*(1-H476-'Assumptions'!$B$20)-SUM('Assumptions'!$B$21:$B$25)*(1+I476))-(('Assumptions'!$B$17*(1+G476)+'Assumptions'!$B$18)*(1-H476-'Assumptions'!$B$20)*'Assumptions'!$B$26)</x:f>
        <x:v>170520.1572848194</x:v>
      </x:c>
      <x:c r="M476" s="133" t="n">
        <x:f>'Assumptions'!$B$10*'Assumptions'!$B$33</x:f>
        <x:v>1950000</x:v>
      </x:c>
      <x:c r="N476" s="133" t="n">
        <x:f>-PMT(K476/12,'Assumptions'!$B$35*12,M476)*12</x:f>
        <x:v>147299.44159258367</x:v>
      </x:c>
      <x:c r="O476" s="133" t="n">
        <x:f>(L476*(1+'Assumptions'!$B$29)^('Assumptions'!$B$14/12)/J476)*(1-'Assumptions'!$B$42)-'Debt Schedule'!$F$9</x:f>
        <x:v>2762295.210429137</x:v>
      </x:c>
      <x:c r="P476" s="132" t="n">
        <x:f>((O476+(L476-N476-'Assumptions'!$B$27-'Assumptions'!$B$28)*('Assumptions'!$B$14/12))/ABS('Monthly Cash Flow'!$S$5))^(1/('Assumptions'!$B$14/12))-1</x:f>
        <x:v>0.15652396650888156</x:v>
      </x:c>
      <x:c r="Q476" s="133" t="n">
        <x:f>-ABS('Monthly Cash Flow'!$S$5)+((L476-N476-'Assumptions'!$B$27-'Assumptions'!$B$28)*(1-(1+'Assumptions'!$B$43)^-('Assumptions'!$B$14/12))/'Assumptions'!$B$43)+(O476/(1+'Assumptions'!$B$43)^('Assumptions'!$B$14/12))</x:f>
        <x:v>357061.30778561113</x:v>
      </x:c>
    </x:row>
    <x:row r="477">
      <x:c r="A477" s="131" t="n">
        <x:f>470</x:f>
        <x:v>470</x:v>
      </x:c>
      <x:c r="B477" s="131" t="n">
        <x:f>MOD(ABS(SIN((A477+1)*12.9898+78.233)*43758.5453),1)</x:f>
        <x:v>0.570881008025026</x:v>
      </x:c>
      <x:c r="C477" s="131" t="n">
        <x:f>MOD(ABS(SIN((A477+2)*12.9898+78.233)*43758.5453),1)</x:f>
        <x:v>0.9025110865259194</x:v>
      </x:c>
      <x:c r="D477" s="131" t="n">
        <x:f>MOD(ABS(SIN((A477+3)*12.9898+78.233)*43758.5453),1)</x:f>
        <x:v>0.4242106778692687</x:v>
      </x:c>
      <x:c r="E477" s="131" t="n">
        <x:f>MOD(ABS(SIN((A477+4)*12.9898+78.233)*43758.5453),1)</x:f>
        <x:v>0.18366378611608525</x:v>
      </x:c>
      <x:c r="F477" s="131" t="n">
        <x:f>MOD(ABS(SIN((A477+5)*12.9898+78.233)*43758.5453),1)</x:f>
        <x:v>0.5095724660459382</x:v>
      </x:c>
      <x:c r="G477" s="132" t="n">
        <x:f>IF(B477&lt;(('Assumptions'!$C$47-'Assumptions'!$B$47)/('Assumptions'!$D$47-'Assumptions'!$B$47)),'Assumptions'!$B$47+SQRT(B477*('Assumptions'!$D$47-'Assumptions'!$B$47)*('Assumptions'!$C$47-'Assumptions'!$B$47)),'Assumptions'!$D$47-SQRT((1-B477)*('Assumptions'!$D$47-'Assumptions'!$B$47)*('Assumptions'!$D$47-'Assumptions'!$C$47)))</x:f>
        <x:v>0.017051886753698342</x:v>
      </x:c>
      <x:c r="H477" s="132" t="n">
        <x:f>IF(C477&lt;(('Assumptions'!$C$48-'Assumptions'!$B$48)/('Assumptions'!$D$48-'Assumptions'!$B$48)),'Assumptions'!$B$48+SQRT(C477*('Assumptions'!$D$48-'Assumptions'!$B$48)*('Assumptions'!$C$48-'Assumptions'!$B$48)),'Assumptions'!$D$48-SQRT((1-C477)*('Assumptions'!$D$48-'Assumptions'!$B$48)*('Assumptions'!$D$48-'Assumptions'!$C$48)))</x:f>
        <x:v>0.11071002836170869</x:v>
      </x:c>
      <x:c r="I477" s="132" t="n">
        <x:f>IF(D477&lt;(('Assumptions'!$C$49-'Assumptions'!$B$49)/('Assumptions'!$D$49-'Assumptions'!$B$49)),'Assumptions'!$B$49+SQRT(D477*('Assumptions'!$D$49-'Assumptions'!$B$49)*('Assumptions'!$C$49-'Assumptions'!$B$49)),'Assumptions'!$D$49-SQRT((1-D477)*('Assumptions'!$D$49-'Assumptions'!$B$49)*('Assumptions'!$D$49-'Assumptions'!$C$49)))</x:f>
        <x:v>0.03847848029181186</x:v>
      </x:c>
      <x:c r="J477" s="132" t="n">
        <x:f>IF(E477&lt;(('Assumptions'!$C$50-'Assumptions'!$B$50)/('Assumptions'!$D$50-'Assumptions'!$B$50)),'Assumptions'!$B$50+SQRT(E477*('Assumptions'!$D$50-'Assumptions'!$B$50)*('Assumptions'!$C$50-'Assumptions'!$B$50)),'Assumptions'!$D$50-SQRT((1-E477)*('Assumptions'!$D$50-'Assumptions'!$B$50)*('Assumptions'!$D$50-'Assumptions'!$C$50)))</x:f>
        <x:v>0.0639284019690837</x:v>
      </x:c>
      <x:c r="K477" s="132" t="n">
        <x:f>IF(F477&lt;(('Assumptions'!$C$51-'Assumptions'!$B$51)/('Assumptions'!$D$51-'Assumptions'!$B$51)),'Assumptions'!$B$51+SQRT(F477*('Assumptions'!$D$51-'Assumptions'!$B$51)*('Assumptions'!$C$51-'Assumptions'!$B$51)),'Assumptions'!$D$51-SQRT((1-F477)*('Assumptions'!$D$51-'Assumptions'!$B$51)*('Assumptions'!$D$51-'Assumptions'!$C$51)))</x:f>
        <x:v>0.06963711450555618</x:v>
      </x:c>
      <x:c r="L477" s="133" t="n">
        <x:f>(('Assumptions'!$B$17*(1+G477)+'Assumptions'!$B$18)*(1-H477-'Assumptions'!$B$20)-SUM('Assumptions'!$B$21:$B$25)*(1+I477))-(('Assumptions'!$B$17*(1+G477)+'Assumptions'!$B$18)*(1-H477-'Assumptions'!$B$20)*'Assumptions'!$B$26)</x:f>
        <x:v>193410.2283150603</x:v>
      </x:c>
      <x:c r="M477" s="133" t="n">
        <x:f>'Assumptions'!$B$10*'Assumptions'!$B$33</x:f>
        <x:v>1950000</x:v>
      </x:c>
      <x:c r="N477" s="133" t="n">
        <x:f>-PMT(K477/12,'Assumptions'!$B$35*12,M477)*12</x:f>
        <x:v>155110.9143713995</x:v>
      </x:c>
      <x:c r="O477" s="133" t="n">
        <x:f>(L477*(1+'Assumptions'!$B$29)^('Assumptions'!$B$14/12)/J477)*(1-'Assumptions'!$B$42)-'Debt Schedule'!$F$9</x:f>
        <x:v>3296852.8712576623</x:v>
      </x:c>
      <x:c r="P477" s="132" t="n">
        <x:f>((O477+(L477-N477-'Assumptions'!$B$27-'Assumptions'!$B$28)*('Assumptions'!$B$14/12))/ABS('Monthly Cash Flow'!$S$5))^(1/('Assumptions'!$B$14/12))-1</x:f>
        <x:v>0.2049670784744395</x:v>
      </x:c>
      <x:c r="Q477" s="133" t="n">
        <x:f>-ABS('Monthly Cash Flow'!$S$5)+((L477-N477-'Assumptions'!$B$27-'Assumptions'!$B$28)*(1-(1+'Assumptions'!$B$43)^-('Assumptions'!$B$14/12))/'Assumptions'!$B$43)+(O477/(1+'Assumptions'!$B$43)^('Assumptions'!$B$14/12))</x:f>
        <x:v>746139.3085513932</x:v>
      </x:c>
    </x:row>
    <x:row r="478">
      <x:c r="A478" s="131" t="n">
        <x:f>471</x:f>
        <x:v>471</x:v>
      </x:c>
      <x:c r="B478" s="131" t="n">
        <x:f>MOD(ABS(SIN((A478+1)*12.9898+78.233)*43758.5453),1)</x:f>
        <x:v>0.9025110865259194</x:v>
      </x:c>
      <x:c r="C478" s="131" t="n">
        <x:f>MOD(ABS(SIN((A478+2)*12.9898+78.233)*43758.5453),1)</x:f>
        <x:v>0.4242106778692687</x:v>
      </x:c>
      <x:c r="D478" s="131" t="n">
        <x:f>MOD(ABS(SIN((A478+3)*12.9898+78.233)*43758.5453),1)</x:f>
        <x:v>0.18366378611608525</x:v>
      </x:c>
      <x:c r="E478" s="131" t="n">
        <x:f>MOD(ABS(SIN((A478+4)*12.9898+78.233)*43758.5453),1)</x:f>
        <x:v>0.5095724660459382</x:v>
      </x:c>
      <x:c r="F478" s="131" t="n">
        <x:f>MOD(ABS(SIN((A478+5)*12.9898+78.233)*43758.5453),1)</x:f>
        <x:v>0.789204139146932</x:v>
      </x:c>
      <x:c r="G478" s="132" t="n">
        <x:f>IF(B478&lt;(('Assumptions'!$C$47-'Assumptions'!$B$47)/('Assumptions'!$D$47-'Assumptions'!$B$47)),'Assumptions'!$B$47+SQRT(B478*('Assumptions'!$D$47-'Assumptions'!$B$47)*('Assumptions'!$C$47-'Assumptions'!$B$47)),'Assumptions'!$D$47-SQRT((1-B478)*('Assumptions'!$D$47-'Assumptions'!$B$47)*('Assumptions'!$D$47-'Assumptions'!$C$47)))</x:f>
        <x:v>0.060505410299823474</x:v>
      </x:c>
      <x:c r="H478" s="132" t="n">
        <x:f>IF(C478&lt;(('Assumptions'!$C$48-'Assumptions'!$B$48)/('Assumptions'!$D$48-'Assumptions'!$B$48)),'Assumptions'!$B$48+SQRT(C478*('Assumptions'!$D$48-'Assumptions'!$B$48)*('Assumptions'!$C$48-'Assumptions'!$B$48)),'Assumptions'!$D$48-SQRT((1-C478)*('Assumptions'!$D$48-'Assumptions'!$B$48)*('Assumptions'!$D$48-'Assumptions'!$C$48)))</x:f>
        <x:v>0.06881751595546531</x:v>
      </x:c>
      <x:c r="I478" s="132" t="n">
        <x:f>IF(D478&lt;(('Assumptions'!$C$49-'Assumptions'!$B$49)/('Assumptions'!$D$49-'Assumptions'!$B$49)),'Assumptions'!$B$49+SQRT(D478*('Assumptions'!$D$49-'Assumptions'!$B$49)*('Assumptions'!$C$49-'Assumptions'!$B$49)),'Assumptions'!$D$49-SQRT((1-D478)*('Assumptions'!$D$49-'Assumptions'!$B$49)*('Assumptions'!$D$49-'Assumptions'!$C$49)))</x:f>
        <x:v>0.014537275287715125</x:v>
      </x:c>
      <x:c r="J478" s="132" t="n">
        <x:f>IF(E478&lt;(('Assumptions'!$C$50-'Assumptions'!$B$50)/('Assumptions'!$D$50-'Assumptions'!$B$50)),'Assumptions'!$B$50+SQRT(E478*('Assumptions'!$D$50-'Assumptions'!$B$50)*('Assumptions'!$C$50-'Assumptions'!$B$50)),'Assumptions'!$D$50-SQRT((1-E478)*('Assumptions'!$D$50-'Assumptions'!$B$50)*('Assumptions'!$D$50-'Assumptions'!$C$50)))</x:f>
        <x:v>0.06825552283306831</x:v>
      </x:c>
      <x:c r="K478" s="132" t="n">
        <x:f>IF(F478&lt;(('Assumptions'!$C$51-'Assumptions'!$B$51)/('Assumptions'!$D$51-'Assumptions'!$B$51)),'Assumptions'!$B$51+SQRT(F478*('Assumptions'!$D$51-'Assumptions'!$B$51)*('Assumptions'!$C$51-'Assumptions'!$B$51)),'Assumptions'!$D$51-SQRT((1-F478)*('Assumptions'!$D$51-'Assumptions'!$B$51)*('Assumptions'!$D$51-'Assumptions'!$C$51)))</x:f>
        <x:v>0.0749279839140548</x:v>
      </x:c>
      <x:c r="L478" s="133" t="n">
        <x:f>(('Assumptions'!$B$17*(1+G478)+'Assumptions'!$B$18)*(1-H478-'Assumptions'!$B$20)-SUM('Assumptions'!$B$21:$B$25)*(1+I478))-(('Assumptions'!$B$17*(1+G478)+'Assumptions'!$B$18)*(1-H478-'Assumptions'!$B$20)*'Assumptions'!$B$26)</x:f>
        <x:v>225709.54587287665</x:v>
      </x:c>
      <x:c r="M478" s="133" t="n">
        <x:f>'Assumptions'!$B$10*'Assumptions'!$B$33</x:f>
        <x:v>1950000</x:v>
      </x:c>
      <x:c r="N478" s="133" t="n">
        <x:f>-PMT(K478/12,'Assumptions'!$B$35*12,M478)*12</x:f>
        <x:v>163500.81767262213</x:v>
      </x:c>
      <x:c r="O478" s="133" t="n">
        <x:f>(L478*(1+'Assumptions'!$B$29)^('Assumptions'!$B$14/12)/J478)*(1-'Assumptions'!$B$42)-'Debt Schedule'!$F$9</x:f>
        <x:v>3603513.1100357384</x:v>
      </x:c>
      <x:c r="P478" s="132" t="n">
        <x:f>((O478+(L478-N478-'Assumptions'!$B$27-'Assumptions'!$B$28)*('Assumptions'!$B$14/12))/ABS('Monthly Cash Flow'!$S$5))^(1/('Assumptions'!$B$14/12))-1</x:f>
        <x:v>0.23469869358182427</x:v>
      </x:c>
      <x:c r="Q478" s="133" t="n">
        <x:f>-ABS('Monthly Cash Flow'!$S$5)+((L478-N478-'Assumptions'!$B$27-'Assumptions'!$B$28)*(1-(1+'Assumptions'!$B$43)^-('Assumptions'!$B$14/12))/'Assumptions'!$B$43)+(O478/(1+'Assumptions'!$B$43)^('Assumptions'!$B$14/12))</x:f>
        <x:v>1027186.6809713142</x:v>
      </x:c>
    </x:row>
    <x:row r="479">
      <x:c r="A479" s="131" t="n">
        <x:f>472</x:f>
        <x:v>472</x:v>
      </x:c>
      <x:c r="B479" s="131" t="n">
        <x:f>MOD(ABS(SIN((A479+1)*12.9898+78.233)*43758.5453),1)</x:f>
        <x:v>0.4242106778692687</x:v>
      </x:c>
      <x:c r="C479" s="131" t="n">
        <x:f>MOD(ABS(SIN((A479+2)*12.9898+78.233)*43758.5453),1)</x:f>
        <x:v>0.18366378611608525</x:v>
      </x:c>
      <x:c r="D479" s="131" t="n">
        <x:f>MOD(ABS(SIN((A479+3)*12.9898+78.233)*43758.5453),1)</x:f>
        <x:v>0.5095724660459382</x:v>
      </x:c>
      <x:c r="E479" s="131" t="n">
        <x:f>MOD(ABS(SIN((A479+4)*12.9898+78.233)*43758.5453),1)</x:f>
        <x:v>0.789204139146932</x:v>
      </x:c>
      <x:c r="F479" s="131" t="n">
        <x:f>MOD(ABS(SIN((A479+5)*12.9898+78.233)*43758.5453),1)</x:f>
        <x:v>0.6781748972243804</x:v>
      </x:c>
      <x:c r="G479" s="132" t="n">
        <x:f>IF(B479&lt;(('Assumptions'!$C$47-'Assumptions'!$B$47)/('Assumptions'!$D$47-'Assumptions'!$B$47)),'Assumptions'!$B$47+SQRT(B479*('Assumptions'!$D$47-'Assumptions'!$B$47)*('Assumptions'!$C$47-'Assumptions'!$B$47)),'Assumptions'!$D$47-SQRT((1-B479)*('Assumptions'!$D$47-'Assumptions'!$B$47)*('Assumptions'!$D$47-'Assumptions'!$C$47)))</x:f>
        <x:v>0.0009012203536827856</x:v>
      </x:c>
      <x:c r="H479" s="132" t="n">
        <x:f>IF(C479&lt;(('Assumptions'!$C$48-'Assumptions'!$B$48)/('Assumptions'!$D$48-'Assumptions'!$B$48)),'Assumptions'!$B$48+SQRT(C479*('Assumptions'!$D$48-'Assumptions'!$B$48)*('Assumptions'!$C$48-'Assumptions'!$B$48)),'Assumptions'!$D$48-SQRT((1-C479)*('Assumptions'!$D$48-'Assumptions'!$B$48)*('Assumptions'!$D$48-'Assumptions'!$C$48)))</x:f>
        <x:v>0.05461890521901982</x:v>
      </x:c>
      <x:c r="I479" s="132" t="n">
        <x:f>IF(D479&lt;(('Assumptions'!$C$49-'Assumptions'!$B$49)/('Assumptions'!$D$49-'Assumptions'!$B$49)),'Assumptions'!$B$49+SQRT(D479*('Assumptions'!$D$49-'Assumptions'!$B$49)*('Assumptions'!$C$49-'Assumptions'!$B$49)),'Assumptions'!$D$49-SQRT((1-D479)*('Assumptions'!$D$49-'Assumptions'!$B$49)*('Assumptions'!$D$49-'Assumptions'!$C$49)))</x:f>
        <x:v>0.047076558873074326</x:v>
      </x:c>
      <x:c r="J479" s="132" t="n">
        <x:f>IF(E479&lt;(('Assumptions'!$C$50-'Assumptions'!$B$50)/('Assumptions'!$D$50-'Assumptions'!$B$50)),'Assumptions'!$B$50+SQRT(E479*('Assumptions'!$D$50-'Assumptions'!$B$50)*('Assumptions'!$C$50-'Assumptions'!$B$50)),'Assumptions'!$D$50-SQRT((1-E479)*('Assumptions'!$D$50-'Assumptions'!$B$50)*('Assumptions'!$D$50-'Assumptions'!$C$50)))</x:f>
        <x:v>0.07230023793452517</x:v>
      </x:c>
      <x:c r="K479" s="132" t="n">
        <x:f>IF(F479&lt;(('Assumptions'!$C$51-'Assumptions'!$B$51)/('Assumptions'!$D$51-'Assumptions'!$B$51)),'Assumptions'!$B$51+SQRT(F479*('Assumptions'!$D$51-'Assumptions'!$B$51)*('Assumptions'!$C$51-'Assumptions'!$B$51)),'Assumptions'!$D$51-SQRT((1-F479)*('Assumptions'!$D$51-'Assumptions'!$B$51)*('Assumptions'!$D$51-'Assumptions'!$C$51)))</x:f>
        <x:v>0.07255498771753251</x:v>
      </x:c>
      <x:c r="L479" s="133" t="n">
        <x:f>(('Assumptions'!$B$17*(1+G479)+'Assumptions'!$B$18)*(1-H479-'Assumptions'!$B$20)-SUM('Assumptions'!$B$21:$B$25)*(1+I479))-(('Assumptions'!$B$17*(1+G479)+'Assumptions'!$B$18)*(1-H479-'Assumptions'!$B$20)*'Assumptions'!$B$26)</x:f>
        <x:v>207790.78069277134</x:v>
      </x:c>
      <x:c r="M479" s="133" t="n">
        <x:f>'Assumptions'!$B$10*'Assumptions'!$B$33</x:f>
        <x:v>1950000</x:v>
      </x:c>
      <x:c r="N479" s="133" t="n">
        <x:f>-PMT(K479/12,'Assumptions'!$B$35*12,M479)*12</x:f>
        <x:v>159716.53310659324</x:v>
      </x:c>
      <x:c r="O479" s="133" t="n">
        <x:f>(L479*(1+'Assumptions'!$B$29)^('Assumptions'!$B$14/12)/J479)*(1-'Assumptions'!$B$42)-'Debt Schedule'!$F$9</x:f>
        <x:v>3131846.913762618</x:v>
      </x:c>
      <x:c r="P479" s="132" t="n">
        <x:f>((O479+(L479-N479-'Assumptions'!$B$27-'Assumptions'!$B$28)*('Assumptions'!$B$14/12))/ABS('Monthly Cash Flow'!$S$5))^(1/('Assumptions'!$B$14/12))-1</x:f>
        <x:v>0.19633331847243052</x:v>
      </x:c>
      <x:c r="Q479" s="133" t="n">
        <x:f>-ABS('Monthly Cash Flow'!$S$5)+((L479-N479-'Assumptions'!$B$27-'Assumptions'!$B$28)*(1-(1+'Assumptions'!$B$43)^-('Assumptions'!$B$14/12))/'Assumptions'!$B$43)+(O479/(1+'Assumptions'!$B$43)^('Assumptions'!$B$14/12))</x:f>
        <x:v>680738.2802348281</x:v>
      </x:c>
    </x:row>
    <x:row r="480">
      <x:c r="A480" s="131" t="n">
        <x:f>473</x:f>
        <x:v>473</x:v>
      </x:c>
      <x:c r="B480" s="131" t="n">
        <x:f>MOD(ABS(SIN((A480+1)*12.9898+78.233)*43758.5453),1)</x:f>
        <x:v>0.18366378611608525</x:v>
      </x:c>
      <x:c r="C480" s="131" t="n">
        <x:f>MOD(ABS(SIN((A480+2)*12.9898+78.233)*43758.5453),1)</x:f>
        <x:v>0.5095724660459382</x:v>
      </x:c>
      <x:c r="D480" s="131" t="n">
        <x:f>MOD(ABS(SIN((A480+3)*12.9898+78.233)*43758.5453),1)</x:f>
        <x:v>0.789204139146932</x:v>
      </x:c>
      <x:c r="E480" s="131" t="n">
        <x:f>MOD(ABS(SIN((A480+4)*12.9898+78.233)*43758.5453),1)</x:f>
        <x:v>0.6781748972243804</x:v>
      </x:c>
      <x:c r="F480" s="131" t="n">
        <x:f>MOD(ABS(SIN((A480+5)*12.9898+78.233)*43758.5453),1)</x:f>
        <x:v>0.41958123569202144</x:v>
      </x:c>
      <x:c r="G480" s="132" t="n">
        <x:f>IF(B480&lt;(('Assumptions'!$C$47-'Assumptions'!$B$47)/('Assumptions'!$D$47-'Assumptions'!$B$47)),'Assumptions'!$B$47+SQRT(B480*('Assumptions'!$D$47-'Assumptions'!$B$47)*('Assumptions'!$C$47-'Assumptions'!$B$47)),'Assumptions'!$D$47-SQRT((1-B480)*('Assumptions'!$D$47-'Assumptions'!$B$47)*('Assumptions'!$D$47-'Assumptions'!$C$47)))</x:f>
        <x:v>-0.03360774994936498</x:v>
      </x:c>
      <x:c r="H480" s="132" t="n">
        <x:f>IF(C480&lt;(('Assumptions'!$C$48-'Assumptions'!$B$48)/('Assumptions'!$D$48-'Assumptions'!$B$48)),'Assumptions'!$B$48+SQRT(C480*('Assumptions'!$D$48-'Assumptions'!$B$48)*('Assumptions'!$C$48-'Assumptions'!$B$48)),'Assumptions'!$D$48-SQRT((1-C480)*('Assumptions'!$D$48-'Assumptions'!$B$48)*('Assumptions'!$D$48-'Assumptions'!$C$48)))</x:f>
        <x:v>0.07430553829434522</x:v>
      </x:c>
      <x:c r="I480" s="132" t="n">
        <x:f>IF(D480&lt;(('Assumptions'!$C$49-'Assumptions'!$B$49)/('Assumptions'!$D$49-'Assumptions'!$B$49)),'Assumptions'!$B$49+SQRT(D480*('Assumptions'!$D$49-'Assumptions'!$B$49)*('Assumptions'!$C$49-'Assumptions'!$B$49)),'Assumptions'!$D$49-SQRT((1-D480)*('Assumptions'!$D$49-'Assumptions'!$B$49)*('Assumptions'!$D$49-'Assumptions'!$C$49)))</x:f>
        <x:v>0.08252266606906976</x:v>
      </x:c>
      <x:c r="J480" s="132" t="n">
        <x:f>IF(E480&lt;(('Assumptions'!$C$50-'Assumptions'!$B$50)/('Assumptions'!$D$50-'Assumptions'!$B$50)),'Assumptions'!$B$50+SQRT(E480*('Assumptions'!$D$50-'Assumptions'!$B$50)*('Assumptions'!$C$50-'Assumptions'!$B$50)),'Assumptions'!$D$50-SQRT((1-E480)*('Assumptions'!$D$50-'Assumptions'!$B$50)*('Assumptions'!$D$50-'Assumptions'!$C$50)))</x:f>
        <x:v>0.07048615166425053</x:v>
      </x:c>
      <x:c r="K480" s="132" t="n">
        <x:f>IF(F480&lt;(('Assumptions'!$C$51-'Assumptions'!$B$51)/('Assumptions'!$D$51-'Assumptions'!$B$51)),'Assumptions'!$B$51+SQRT(F480*('Assumptions'!$D$51-'Assumptions'!$B$51)*('Assumptions'!$C$51-'Assumptions'!$B$51)),'Assumptions'!$D$51-SQRT((1-F480)*('Assumptions'!$D$51-'Assumptions'!$B$51)*('Assumptions'!$D$51-'Assumptions'!$C$51)))</x:f>
        <x:v>0.06828693534018328</x:v>
      </x:c>
      <x:c r="L480" s="133" t="n">
        <x:f>(('Assumptions'!$B$17*(1+G480)+'Assumptions'!$B$18)*(1-H480-'Assumptions'!$B$20)-SUM('Assumptions'!$B$21:$B$25)*(1+I480))-(('Assumptions'!$B$17*(1+G480)+'Assumptions'!$B$18)*(1-H480-'Assumptions'!$B$20)*'Assumptions'!$B$26)</x:f>
        <x:v>185253.70715858325</x:v>
      </x:c>
      <x:c r="M480" s="133" t="n">
        <x:f>'Assumptions'!$B$10*'Assumptions'!$B$33</x:f>
        <x:v>1950000</x:v>
      </x:c>
      <x:c r="N480" s="133" t="n">
        <x:f>-PMT(K480/12,'Assumptions'!$B$35*12,M480)*12</x:f>
        <x:v>152998.0082784195</x:v>
      </x:c>
      <x:c r="O480" s="133" t="n">
        <x:f>(L480*(1+'Assumptions'!$B$29)^('Assumptions'!$B$14/12)/J480)*(1-'Assumptions'!$B$42)-'Debt Schedule'!$F$9</x:f>
        <x:v>2864026.846661892</x:v>
      </x:c>
      <x:c r="P480" s="132" t="n">
        <x:f>((O480+(L480-N480-'Assumptions'!$B$27-'Assumptions'!$B$28)*('Assumptions'!$B$14/12))/ABS('Monthly Cash Flow'!$S$5))^(1/('Assumptions'!$B$14/12))-1</x:f>
        <x:v>0.1689412034511122</x:v>
      </x:c>
      <x:c r="Q480" s="133" t="n">
        <x:f>-ABS('Monthly Cash Flow'!$S$5)+((L480-N480-'Assumptions'!$B$27-'Assumptions'!$B$28)*(1-(1+'Assumptions'!$B$43)^-('Assumptions'!$B$14/12))/'Assumptions'!$B$43)+(O480/(1+'Assumptions'!$B$43)^('Assumptions'!$B$14/12))</x:f>
        <x:v>454478.3446828511</x:v>
      </x:c>
    </x:row>
    <x:row r="481">
      <x:c r="A481" s="131" t="n">
        <x:f>474</x:f>
        <x:v>474</x:v>
      </x:c>
      <x:c r="B481" s="131" t="n">
        <x:f>MOD(ABS(SIN((A481+1)*12.9898+78.233)*43758.5453),1)</x:f>
        <x:v>0.5095724660459382</x:v>
      </x:c>
      <x:c r="C481" s="131" t="n">
        <x:f>MOD(ABS(SIN((A481+2)*12.9898+78.233)*43758.5453),1)</x:f>
        <x:v>0.789204139146932</x:v>
      </x:c>
      <x:c r="D481" s="131" t="n">
        <x:f>MOD(ABS(SIN((A481+3)*12.9898+78.233)*43758.5453),1)</x:f>
        <x:v>0.6781748972243804</x:v>
      </x:c>
      <x:c r="E481" s="131" t="n">
        <x:f>MOD(ABS(SIN((A481+4)*12.9898+78.233)*43758.5453),1)</x:f>
        <x:v>0.41958123569202144</x:v>
      </x:c>
      <x:c r="F481" s="131" t="n">
        <x:f>MOD(ABS(SIN((A481+5)*12.9898+78.233)*43758.5453),1)</x:f>
        <x:v>0.06158288251754129</x:v>
      </x:c>
      <x:c r="G481" s="132" t="n">
        <x:f>IF(B481&lt;(('Assumptions'!$C$47-'Assumptions'!$B$47)/('Assumptions'!$D$47-'Assumptions'!$B$47)),'Assumptions'!$B$47+SQRT(B481*('Assumptions'!$D$47-'Assumptions'!$B$47)*('Assumptions'!$C$47-'Assumptions'!$B$47)),'Assumptions'!$D$47-SQRT((1-B481)*('Assumptions'!$D$47-'Assumptions'!$B$47)*('Assumptions'!$D$47-'Assumptions'!$C$47)))</x:f>
        <x:v>0.010588151196692486</x:v>
      </x:c>
      <x:c r="H481" s="132" t="n">
        <x:f>IF(C481&lt;(('Assumptions'!$C$48-'Assumptions'!$B$48)/('Assumptions'!$D$48-'Assumptions'!$B$48)),'Assumptions'!$B$48+SQRT(C481*('Assumptions'!$D$48-'Assumptions'!$B$48)*('Assumptions'!$C$48-'Assumptions'!$B$48)),'Assumptions'!$D$48-SQRT((1-C481)*('Assumptions'!$D$48-'Assumptions'!$B$48)*('Assumptions'!$D$48-'Assumptions'!$C$48)))</x:f>
        <x:v>0.09693024755693391</x:v>
      </x:c>
      <x:c r="I481" s="132" t="n">
        <x:f>IF(D481&lt;(('Assumptions'!$C$49-'Assumptions'!$B$49)/('Assumptions'!$D$49-'Assumptions'!$B$49)),'Assumptions'!$B$49+SQRT(D481*('Assumptions'!$D$49-'Assumptions'!$B$49)*('Assumptions'!$C$49-'Assumptions'!$B$49)),'Assumptions'!$D$49-SQRT((1-D481)*('Assumptions'!$D$49-'Assumptions'!$B$49)*('Assumptions'!$D$49-'Assumptions'!$C$49)))</x:f>
        <x:v>0.06662481052523249</x:v>
      </x:c>
      <x:c r="J481" s="132" t="n">
        <x:f>IF(E481&lt;(('Assumptions'!$C$50-'Assumptions'!$B$50)/('Assumptions'!$D$50-'Assumptions'!$B$50)),'Assumptions'!$B$50+SQRT(E481*('Assumptions'!$D$50-'Assumptions'!$B$50)*('Assumptions'!$C$50-'Assumptions'!$B$50)),'Assumptions'!$D$50-SQRT((1-E481)*('Assumptions'!$D$50-'Assumptions'!$B$50)*('Assumptions'!$D$50-'Assumptions'!$C$50)))</x:f>
        <x:v>0.06721626358384256</x:v>
      </x:c>
      <x:c r="K481" s="132" t="n">
        <x:f>IF(F481&lt;(('Assumptions'!$C$51-'Assumptions'!$B$51)/('Assumptions'!$D$51-'Assumptions'!$B$51)),'Assumptions'!$B$51+SQRT(F481*('Assumptions'!$D$51-'Assumptions'!$B$51)*('Assumptions'!$C$51-'Assumptions'!$B$51)),'Assumptions'!$D$51-SQRT((1-F481)*('Assumptions'!$D$51-'Assumptions'!$B$51)*('Assumptions'!$D$51-'Assumptions'!$C$51)))</x:f>
        <x:v>0.06161525123076634</x:v>
      </x:c>
      <x:c r="L481" s="133" t="n">
        <x:f>(('Assumptions'!$B$17*(1+G481)+'Assumptions'!$B$18)*(1-H481-'Assumptions'!$B$20)-SUM('Assumptions'!$B$21:$B$25)*(1+I481))-(('Assumptions'!$B$17*(1+G481)+'Assumptions'!$B$18)*(1-H481-'Assumptions'!$B$20)*'Assumptions'!$B$26)</x:f>
        <x:v>192950.40457588204</x:v>
      </x:c>
      <x:c r="M481" s="133" t="n">
        <x:f>'Assumptions'!$B$10*'Assumptions'!$B$33</x:f>
        <x:v>1950000</x:v>
      </x:c>
      <x:c r="N481" s="133" t="n">
        <x:f>-PMT(K481/12,'Assumptions'!$B$35*12,M481)*12</x:f>
        <x:v>142734.0370330563</x:v>
      </x:c>
      <x:c r="O481" s="133" t="n">
        <x:f>(L481*(1+'Assumptions'!$B$29)^('Assumptions'!$B$14/12)/J481)*(1-'Assumptions'!$B$42)-'Debt Schedule'!$F$9</x:f>
        <x:v>3128133.6739167958</x:v>
      </x:c>
      <x:c r="P481" s="132" t="n">
        <x:f>((O481+(L481-N481-'Assumptions'!$B$27-'Assumptions'!$B$28)*('Assumptions'!$B$14/12))/ABS('Monthly Cash Flow'!$S$5))^(1/('Assumptions'!$B$14/12))-1</x:f>
        <x:v>0.1968606339377832</x:v>
      </x:c>
      <x:c r="Q481" s="133" t="n">
        <x:f>-ABS('Monthly Cash Flow'!$S$5)+((L481-N481-'Assumptions'!$B$27-'Assumptions'!$B$28)*(1-(1+'Assumptions'!$B$43)^-('Assumptions'!$B$14/12))/'Assumptions'!$B$43)+(O481/(1+'Assumptions'!$B$43)^('Assumptions'!$B$14/12))</x:f>
        <x:v>686552.9704270698</x:v>
      </x:c>
    </x:row>
    <x:row r="482">
      <x:c r="A482" s="131" t="n">
        <x:f>475</x:f>
        <x:v>475</x:v>
      </x:c>
      <x:c r="B482" s="131" t="n">
        <x:f>MOD(ABS(SIN((A482+1)*12.9898+78.233)*43758.5453),1)</x:f>
        <x:v>0.789204139146932</x:v>
      </x:c>
      <x:c r="C482" s="131" t="n">
        <x:f>MOD(ABS(SIN((A482+2)*12.9898+78.233)*43758.5453),1)</x:f>
        <x:v>0.6781748972243804</x:v>
      </x:c>
      <x:c r="D482" s="131" t="n">
        <x:f>MOD(ABS(SIN((A482+3)*12.9898+78.233)*43758.5453),1)</x:f>
        <x:v>0.41958123569202144</x:v>
      </x:c>
      <x:c r="E482" s="131" t="n">
        <x:f>MOD(ABS(SIN((A482+4)*12.9898+78.233)*43758.5453),1)</x:f>
        <x:v>0.06158288251754129</x:v>
      </x:c>
      <x:c r="F482" s="131" t="n">
        <x:f>MOD(ABS(SIN((A482+5)*12.9898+78.233)*43758.5453),1)</x:f>
        <x:v>0.3708074686292093</x:v>
      </x:c>
      <x:c r="G482" s="132" t="n">
        <x:f>IF(B482&lt;(('Assumptions'!$C$47-'Assumptions'!$B$47)/('Assumptions'!$D$47-'Assumptions'!$B$47)),'Assumptions'!$B$47+SQRT(B482*('Assumptions'!$D$47-'Assumptions'!$B$47)*('Assumptions'!$C$47-'Assumptions'!$B$47)),'Assumptions'!$D$47-SQRT((1-B482)*('Assumptions'!$D$47-'Assumptions'!$B$47)*('Assumptions'!$D$47-'Assumptions'!$C$47)))</x:f>
        <x:v>0.04192475765311791</x:v>
      </x:c>
      <x:c r="H482" s="132" t="n">
        <x:f>IF(C482&lt;(('Assumptions'!$C$48-'Assumptions'!$B$48)/('Assumptions'!$D$48-'Assumptions'!$B$48)),'Assumptions'!$B$48+SQRT(C482*('Assumptions'!$D$48-'Assumptions'!$B$48)*('Assumptions'!$C$48-'Assumptions'!$B$48)),'Assumptions'!$D$48-SQRT((1-C482)*('Assumptions'!$D$48-'Assumptions'!$B$48)*('Assumptions'!$D$48-'Assumptions'!$C$48)))</x:f>
        <x:v>0.08678288898835777</x:v>
      </x:c>
      <x:c r="I482" s="132" t="n">
        <x:f>IF(D482&lt;(('Assumptions'!$C$49-'Assumptions'!$B$49)/('Assumptions'!$D$49-'Assumptions'!$B$49)),'Assumptions'!$B$49+SQRT(D482*('Assumptions'!$D$49-'Assumptions'!$B$49)*('Assumptions'!$C$49-'Assumptions'!$B$49)),'Assumptions'!$D$49-SQRT((1-D482)*('Assumptions'!$D$49-'Assumptions'!$B$49)*('Assumptions'!$D$49-'Assumptions'!$C$49)))</x:f>
        <x:v>0.0380310520320373</x:v>
      </x:c>
      <x:c r="J482" s="132" t="n">
        <x:f>IF(E482&lt;(('Assumptions'!$C$50-'Assumptions'!$B$50)/('Assumptions'!$D$50-'Assumptions'!$B$50)),'Assumptions'!$B$50+SQRT(E482*('Assumptions'!$D$50-'Assumptions'!$B$50)*('Assumptions'!$C$50-'Assumptions'!$B$50)),'Assumptions'!$D$50-SQRT((1-E482)*('Assumptions'!$D$50-'Assumptions'!$B$50)*('Assumptions'!$D$50-'Assumptions'!$C$50)))</x:f>
        <x:v>0.061222384795590966</x:v>
      </x:c>
      <x:c r="K482" s="132" t="n">
        <x:f>IF(F482&lt;(('Assumptions'!$C$51-'Assumptions'!$B$51)/('Assumptions'!$D$51-'Assumptions'!$B$51)),'Assumptions'!$B$51+SQRT(F482*('Assumptions'!$D$51-'Assumptions'!$B$51)*('Assumptions'!$C$51-'Assumptions'!$B$51)),'Assumptions'!$D$51-SQRT((1-F482)*('Assumptions'!$D$51-'Assumptions'!$B$51)*('Assumptions'!$D$51-'Assumptions'!$C$51)))</x:f>
        <x:v>0.06759888205539101</x:v>
      </x:c>
      <x:c r="L482" s="133" t="n">
        <x:f>(('Assumptions'!$B$17*(1+G482)+'Assumptions'!$B$18)*(1-H482-'Assumptions'!$B$20)-SUM('Assumptions'!$B$21:$B$25)*(1+I482))-(('Assumptions'!$B$17*(1+G482)+'Assumptions'!$B$18)*(1-H482-'Assumptions'!$B$20)*'Assumptions'!$B$26)</x:f>
        <x:v>210054.40266108318</x:v>
      </x:c>
      <x:c r="M482" s="133" t="n">
        <x:f>'Assumptions'!$B$10*'Assumptions'!$B$33</x:f>
        <x:v>1950000</x:v>
      </x:c>
      <x:c r="N482" s="133" t="n">
        <x:f>-PMT(K482/12,'Assumptions'!$B$35*12,M482)*12</x:f>
        <x:v>151925.79261107263</x:v>
      </x:c>
      <x:c r="O482" s="133" t="n">
        <x:f>(L482*(1+'Assumptions'!$B$29)^('Assumptions'!$B$14/12)/J482)*(1-'Assumptions'!$B$42)-'Debt Schedule'!$F$9</x:f>
        <x:v>3738828.3153288285</x:v>
      </x:c>
      <x:c r="P482" s="132" t="n">
        <x:f>((O482+(L482-N482-'Assumptions'!$B$27-'Assumptions'!$B$28)*('Assumptions'!$B$14/12))/ABS('Monthly Cash Flow'!$S$5))^(1/('Assumptions'!$B$14/12))-1</x:f>
        <x:v>0.24224527729803924</x:v>
      </x:c>
      <x:c r="Q482" s="133" t="n">
        <x:f>-ABS('Monthly Cash Flow'!$S$5)+((L482-N482-'Assumptions'!$B$27-'Assumptions'!$B$28)*(1-(1+'Assumptions'!$B$43)^-('Assumptions'!$B$14/12))/'Assumptions'!$B$43)+(O482/(1+'Assumptions'!$B$43)^('Assumptions'!$B$14/12))</x:f>
        <x:v>1095739.9193703528</x:v>
      </x:c>
    </x:row>
    <x:row r="483">
      <x:c r="A483" s="131" t="n">
        <x:f>476</x:f>
        <x:v>476</x:v>
      </x:c>
      <x:c r="B483" s="131" t="n">
        <x:f>MOD(ABS(SIN((A483+1)*12.9898+78.233)*43758.5453),1)</x:f>
        <x:v>0.6781748972243804</x:v>
      </x:c>
      <x:c r="C483" s="131" t="n">
        <x:f>MOD(ABS(SIN((A483+2)*12.9898+78.233)*43758.5453),1)</x:f>
        <x:v>0.41958123569202144</x:v>
      </x:c>
      <x:c r="D483" s="131" t="n">
        <x:f>MOD(ABS(SIN((A483+3)*12.9898+78.233)*43758.5453),1)</x:f>
        <x:v>0.06158288251754129</x:v>
      </x:c>
      <x:c r="E483" s="131" t="n">
        <x:f>MOD(ABS(SIN((A483+4)*12.9898+78.233)*43758.5453),1)</x:f>
        <x:v>0.3708074686292093</x:v>
      </x:c>
      <x:c r="F483" s="131" t="n">
        <x:f>MOD(ABS(SIN((A483+5)*12.9898+78.233)*43758.5453),1)</x:f>
        <x:v>0.9813792683780775</x:v>
      </x:c>
      <x:c r="G483" s="132" t="n">
        <x:f>IF(B483&lt;(('Assumptions'!$C$47-'Assumptions'!$B$47)/('Assumptions'!$D$47-'Assumptions'!$B$47)),'Assumptions'!$B$47+SQRT(B483*('Assumptions'!$D$47-'Assumptions'!$B$47)*('Assumptions'!$C$47-'Assumptions'!$B$47)),'Assumptions'!$D$47-SQRT((1-B483)*('Assumptions'!$D$47-'Assumptions'!$B$47)*('Assumptions'!$D$47-'Assumptions'!$C$47)))</x:f>
        <x:v>0.028242062150519442</x:v>
      </x:c>
      <x:c r="H483" s="132" t="n">
        <x:f>IF(C483&lt;(('Assumptions'!$C$48-'Assumptions'!$B$48)/('Assumptions'!$D$48-'Assumptions'!$B$48)),'Assumptions'!$B$48+SQRT(C483*('Assumptions'!$D$48-'Assumptions'!$B$48)*('Assumptions'!$C$48-'Assumptions'!$B$48)),'Assumptions'!$D$48-SQRT((1-C483)*('Assumptions'!$D$48-'Assumptions'!$B$48)*('Assumptions'!$D$48-'Assumptions'!$C$48)))</x:f>
        <x:v>0.06853192932567571</x:v>
      </x:c>
      <x:c r="I483" s="132" t="n">
        <x:f>IF(D483&lt;(('Assumptions'!$C$49-'Assumptions'!$B$49)/('Assumptions'!$D$49-'Assumptions'!$B$49)),'Assumptions'!$B$49+SQRT(D483*('Assumptions'!$D$49-'Assumptions'!$B$49)*('Assumptions'!$C$49-'Assumptions'!$B$49)),'Assumptions'!$D$49-SQRT((1-D483)*('Assumptions'!$D$49-'Assumptions'!$B$49)*('Assumptions'!$D$49-'Assumptions'!$C$49)))</x:f>
        <x:v>-0.0042105616348582335</x:v>
      </x:c>
      <x:c r="J483" s="132" t="n">
        <x:f>IF(E483&lt;(('Assumptions'!$C$50-'Assumptions'!$B$50)/('Assumptions'!$D$50-'Assumptions'!$B$50)),'Assumptions'!$B$50+SQRT(E483*('Assumptions'!$D$50-'Assumptions'!$B$50)*('Assumptions'!$C$50-'Assumptions'!$B$50)),'Assumptions'!$D$50-SQRT((1-E483)*('Assumptions'!$D$50-'Assumptions'!$B$50)*('Assumptions'!$D$50-'Assumptions'!$C$50)))</x:f>
        <x:v>0.06663409439635765</x:v>
      </x:c>
      <x:c r="K483" s="132" t="n">
        <x:f>IF(F483&lt;(('Assumptions'!$C$51-'Assumptions'!$B$51)/('Assumptions'!$D$51-'Assumptions'!$B$51)),'Assumptions'!$B$51+SQRT(F483*('Assumptions'!$D$51-'Assumptions'!$B$51)*('Assumptions'!$C$51-'Assumptions'!$B$51)),'Assumptions'!$D$51-SQRT((1-F483)*('Assumptions'!$D$51-'Assumptions'!$B$51)*('Assumptions'!$D$51-'Assumptions'!$C$51)))</x:f>
        <x:v>0.08200646912609037</x:v>
      </x:c>
      <x:c r="L483" s="133" t="n">
        <x:f>(('Assumptions'!$B$17*(1+G483)+'Assumptions'!$B$18)*(1-H483-'Assumptions'!$B$20)-SUM('Assumptions'!$B$21:$B$25)*(1+I483))-(('Assumptions'!$B$17*(1+G483)+'Assumptions'!$B$18)*(1-H483-'Assumptions'!$B$20)*'Assumptions'!$B$26)</x:f>
        <x:v>217906.81343739165</x:v>
      </x:c>
      <x:c r="M483" s="133" t="n">
        <x:f>'Assumptions'!$B$10*'Assumptions'!$B$33</x:f>
        <x:v>1950000</x:v>
      </x:c>
      <x:c r="N483" s="133" t="n">
        <x:f>-PMT(K483/12,'Assumptions'!$B$35*12,M483)*12</x:f>
        <x:v>174985.1670755822</x:v>
      </x:c>
      <x:c r="O483" s="133" t="n">
        <x:f>(L483*(1+'Assumptions'!$B$29)^('Assumptions'!$B$14/12)/J483)*(1-'Assumptions'!$B$42)-'Debt Schedule'!$F$9</x:f>
        <x:v>3563594.559460197</x:v>
      </x:c>
      <x:c r="P483" s="132" t="n">
        <x:f>((O483+(L483-N483-'Assumptions'!$B$27-'Assumptions'!$B$28)*('Assumptions'!$B$14/12))/ABS('Monthly Cash Flow'!$S$5))^(1/('Assumptions'!$B$14/12))-1</x:f>
        <x:v>0.22549792170328264</x:v>
      </x:c>
      <x:c r="Q483" s="133" t="n">
        <x:f>-ABS('Monthly Cash Flow'!$S$5)+((L483-N483-'Assumptions'!$B$27-'Assumptions'!$B$28)*(1-(1+'Assumptions'!$B$43)^-('Assumptions'!$B$14/12))/'Assumptions'!$B$43)+(O483/(1+'Assumptions'!$B$43)^('Assumptions'!$B$14/12))</x:f>
        <x:v>929287.1870796697</x:v>
      </x:c>
    </x:row>
    <x:row r="484">
      <x:c r="A484" s="131" t="n">
        <x:f>477</x:f>
        <x:v>477</x:v>
      </x:c>
      <x:c r="B484" s="131" t="n">
        <x:f>MOD(ABS(SIN((A484+1)*12.9898+78.233)*43758.5453),1)</x:f>
        <x:v>0.41958123569202144</x:v>
      </x:c>
      <x:c r="C484" s="131" t="n">
        <x:f>MOD(ABS(SIN((A484+2)*12.9898+78.233)*43758.5453),1)</x:f>
        <x:v>0.06158288251754129</x:v>
      </x:c>
      <x:c r="D484" s="131" t="n">
        <x:f>MOD(ABS(SIN((A484+3)*12.9898+78.233)*43758.5453),1)</x:f>
        <x:v>0.3708074686292093</x:v>
      </x:c>
      <x:c r="E484" s="131" t="n">
        <x:f>MOD(ABS(SIN((A484+4)*12.9898+78.233)*43758.5453),1)</x:f>
        <x:v>0.9813792683780775</x:v>
      </x:c>
      <x:c r="F484" s="131" t="n">
        <x:f>MOD(ABS(SIN((A484+5)*12.9898+78.233)*43758.5453),1)</x:f>
        <x:v>0.05763063958147541</x:v>
      </x:c>
      <x:c r="G484" s="132" t="n">
        <x:f>IF(B484&lt;(('Assumptions'!$C$47-'Assumptions'!$B$47)/('Assumptions'!$D$47-'Assumptions'!$B$47)),'Assumptions'!$B$47+SQRT(B484*('Assumptions'!$D$47-'Assumptions'!$B$47)*('Assumptions'!$C$47-'Assumptions'!$B$47)),'Assumptions'!$D$47-SQRT((1-B484)*('Assumptions'!$D$47-'Assumptions'!$B$47)*('Assumptions'!$D$47-'Assumptions'!$C$47)))</x:f>
        <x:v>0.00034913879355674693</x:v>
      </x:c>
      <x:c r="H484" s="132" t="n">
        <x:f>IF(C484&lt;(('Assumptions'!$C$48-'Assumptions'!$B$48)/('Assumptions'!$D$48-'Assumptions'!$B$48)),'Assumptions'!$B$48+SQRT(C484*('Assumptions'!$D$48-'Assumptions'!$B$48)*('Assumptions'!$C$48-'Assumptions'!$B$48)),'Assumptions'!$D$48-SQRT((1-C484)*('Assumptions'!$D$48-'Assumptions'!$B$48)*('Assumptions'!$D$48-'Assumptions'!$C$48)))</x:f>
        <x:v>0.044255648435195305</x:v>
      </x:c>
      <x:c r="I484" s="132" t="n">
        <x:f>IF(D484&lt;(('Assumptions'!$C$49-'Assumptions'!$B$49)/('Assumptions'!$D$49-'Assumptions'!$B$49)),'Assumptions'!$B$49+SQRT(D484*('Assumptions'!$D$49-'Assumptions'!$B$49)*('Assumptions'!$C$49-'Assumptions'!$B$49)),'Assumptions'!$D$49-SQRT((1-D484)*('Assumptions'!$D$49-'Assumptions'!$B$49)*('Assumptions'!$D$49-'Assumptions'!$C$49)))</x:f>
        <x:v>0.03342144846667086</x:v>
      </x:c>
      <x:c r="J484" s="132" t="n">
        <x:f>IF(E484&lt;(('Assumptions'!$C$50-'Assumptions'!$B$50)/('Assumptions'!$D$50-'Assumptions'!$B$50)),'Assumptions'!$B$50+SQRT(E484*('Assumptions'!$D$50-'Assumptions'!$B$50)*('Assumptions'!$C$50-'Assumptions'!$B$50)),'Assumptions'!$D$50-SQRT((1-E484)*('Assumptions'!$D$50-'Assumptions'!$B$50)*('Assumptions'!$D$50-'Assumptions'!$C$50)))</x:f>
        <x:v>0.0777115330964452</x:v>
      </x:c>
      <x:c r="K484" s="132" t="n">
        <x:f>IF(F484&lt;(('Assumptions'!$C$51-'Assumptions'!$B$51)/('Assumptions'!$D$51-'Assumptions'!$B$51)),'Assumptions'!$B$51+SQRT(F484*('Assumptions'!$D$51-'Assumptions'!$B$51)*('Assumptions'!$C$51-'Assumptions'!$B$51)),'Assumptions'!$D$51-SQRT((1-F484)*('Assumptions'!$D$51-'Assumptions'!$B$51)*('Assumptions'!$D$51-'Assumptions'!$C$51)))</x:f>
        <x:v>0.06148100814931416</x:v>
      </x:c>
      <x:c r="L484" s="133" t="n">
        <x:f>(('Assumptions'!$B$17*(1+G484)+'Assumptions'!$B$18)*(1-H484-'Assumptions'!$B$20)-SUM('Assumptions'!$B$21:$B$25)*(1+I484))-(('Assumptions'!$B$17*(1+G484)+'Assumptions'!$B$18)*(1-H484-'Assumptions'!$B$20)*'Assumptions'!$B$26)</x:f>
        <x:v>213094.7235411229</x:v>
      </x:c>
      <x:c r="M484" s="133" t="n">
        <x:f>'Assumptions'!$B$10*'Assumptions'!$B$33</x:f>
        <x:v>1950000</x:v>
      </x:c>
      <x:c r="N484" s="133" t="n">
        <x:f>-PMT(K484/12,'Assumptions'!$B$35*12,M484)*12</x:f>
        <x:v>142530.61860651625</x:v>
      </x:c>
      <x:c r="O484" s="133" t="n">
        <x:f>(L484*(1+'Assumptions'!$B$29)^('Assumptions'!$B$14/12)/J484)*(1-'Assumptions'!$B$42)-'Debt Schedule'!$F$9</x:f>
        <x:v>2988141.7572971666</x:v>
      </x:c>
      <x:c r="P484" s="132" t="n">
        <x:f>((O484+(L484-N484-'Assumptions'!$B$27-'Assumptions'!$B$28)*('Assumptions'!$B$14/12))/ABS('Monthly Cash Flow'!$S$5))^(1/('Assumptions'!$B$14/12))-1</x:f>
        <x:v>0.19396647704263525</x:v>
      </x:c>
      <x:c r="Q484" s="133" t="n">
        <x:f>-ABS('Monthly Cash Flow'!$S$5)+((L484-N484-'Assumptions'!$B$27-'Assumptions'!$B$28)*(1-(1+'Assumptions'!$B$43)^-('Assumptions'!$B$14/12))/'Assumptions'!$B$43)+(O484/(1+'Assumptions'!$B$43)^('Assumptions'!$B$14/12))</x:f>
        <x:v>676762.9380341833</x:v>
      </x:c>
    </x:row>
    <x:row r="485">
      <x:c r="A485" s="131" t="n">
        <x:f>478</x:f>
        <x:v>478</x:v>
      </x:c>
      <x:c r="B485" s="131" t="n">
        <x:f>MOD(ABS(SIN((A485+1)*12.9898+78.233)*43758.5453),1)</x:f>
        <x:v>0.06158288251754129</x:v>
      </x:c>
      <x:c r="C485" s="131" t="n">
        <x:f>MOD(ABS(SIN((A485+2)*12.9898+78.233)*43758.5453),1)</x:f>
        <x:v>0.3708074686292093</x:v>
      </x:c>
      <x:c r="D485" s="131" t="n">
        <x:f>MOD(ABS(SIN((A485+3)*12.9898+78.233)*43758.5453),1)</x:f>
        <x:v>0.9813792683780775</x:v>
      </x:c>
      <x:c r="E485" s="131" t="n">
        <x:f>MOD(ABS(SIN((A485+4)*12.9898+78.233)*43758.5453),1)</x:f>
        <x:v>0.05763063958147541</x:v>
      </x:c>
      <x:c r="F485" s="131" t="n">
        <x:f>MOD(ABS(SIN((A485+5)*12.9898+78.233)*43758.5453),1)</x:f>
        <x:v>0.9319313753879896</x:v>
      </x:c>
      <x:c r="G485" s="132" t="n">
        <x:f>IF(B485&lt;(('Assumptions'!$C$47-'Assumptions'!$B$47)/('Assumptions'!$D$47-'Assumptions'!$B$47)),'Assumptions'!$B$47+SQRT(B485*('Assumptions'!$D$47-'Assumptions'!$B$47)*('Assumptions'!$C$47-'Assumptions'!$B$47)),'Assumptions'!$D$47-SQRT((1-B485)*('Assumptions'!$D$47-'Assumptions'!$B$47)*('Assumptions'!$D$47-'Assumptions'!$C$47)))</x:f>
        <x:v>-0.061555375142667984</x:v>
      </x:c>
      <x:c r="H485" s="132" t="n">
        <x:f>IF(C485&lt;(('Assumptions'!$C$48-'Assumptions'!$B$48)/('Assumptions'!$D$48-'Assumptions'!$B$48)),'Assumptions'!$B$48+SQRT(C485*('Assumptions'!$D$48-'Assumptions'!$B$48)*('Assumptions'!$C$48-'Assumptions'!$B$48)),'Assumptions'!$D$48-SQRT((1-C485)*('Assumptions'!$D$48-'Assumptions'!$B$48)*('Assumptions'!$D$48-'Assumptions'!$C$48)))</x:f>
        <x:v>0.06558968971934764</x:v>
      </x:c>
      <x:c r="I485" s="132" t="n">
        <x:f>IF(D485&lt;(('Assumptions'!$C$49-'Assumptions'!$B$49)/('Assumptions'!$D$49-'Assumptions'!$B$49)),'Assumptions'!$B$49+SQRT(D485*('Assumptions'!$D$49-'Assumptions'!$B$49)*('Assumptions'!$C$49-'Assumptions'!$B$49)),'Assumptions'!$D$49-SQRT((1-D485)*('Assumptions'!$D$49-'Assumptions'!$B$49)*('Assumptions'!$D$49-'Assumptions'!$C$49)))</x:f>
        <x:v>0.1299448808771046</x:v>
      </x:c>
      <x:c r="J485" s="132" t="n">
        <x:f>IF(E485&lt;(('Assumptions'!$C$50-'Assumptions'!$B$50)/('Assumptions'!$D$50-'Assumptions'!$B$50)),'Assumptions'!$B$50+SQRT(E485*('Assumptions'!$D$50-'Assumptions'!$B$50)*('Assumptions'!$C$50-'Assumptions'!$B$50)),'Assumptions'!$D$50-SQRT((1-E485)*('Assumptions'!$D$50-'Assumptions'!$B$50)*('Assumptions'!$D$50-'Assumptions'!$C$50)))</x:f>
        <x:v>0.061100957359624244</x:v>
      </x:c>
      <x:c r="K485" s="132" t="n">
        <x:f>IF(F485&lt;(('Assumptions'!$C$51-'Assumptions'!$B$51)/('Assumptions'!$D$51-'Assumptions'!$B$51)),'Assumptions'!$B$51+SQRT(F485*('Assumptions'!$D$51-'Assumptions'!$B$51)*('Assumptions'!$C$51-'Assumptions'!$B$51)),'Assumptions'!$D$51-SQRT((1-F485)*('Assumptions'!$D$51-'Assumptions'!$B$51)*('Assumptions'!$D$51-'Assumptions'!$C$51)))</x:f>
        <x:v>0.07927653727237349</x:v>
      </x:c>
      <x:c r="L485" s="133" t="n">
        <x:f>(('Assumptions'!$B$17*(1+G485)+'Assumptions'!$B$18)*(1-H485-'Assumptions'!$B$20)-SUM('Assumptions'!$B$21:$B$25)*(1+I485))-(('Assumptions'!$B$17*(1+G485)+'Assumptions'!$B$18)*(1-H485-'Assumptions'!$B$20)*'Assumptions'!$B$26)</x:f>
        <x:v>173411.4808649658</x:v>
      </x:c>
      <x:c r="M485" s="133" t="n">
        <x:f>'Assumptions'!$B$10*'Assumptions'!$B$33</x:f>
        <x:v>1950000</x:v>
      </x:c>
      <x:c r="N485" s="133" t="n">
        <x:f>-PMT(K485/12,'Assumptions'!$B$35*12,M485)*12</x:f>
        <x:v>170522.2258433789</x:v>
      </x:c>
      <x:c r="O485" s="133" t="n">
        <x:f>(L485*(1+'Assumptions'!$B$29)^('Assumptions'!$B$14/12)/J485)*(1-'Assumptions'!$B$42)-'Debt Schedule'!$F$9</x:f>
        <x:v>3092742.832216794</x:v>
      </x:c>
      <x:c r="P485" s="132" t="n">
        <x:f>((O485+(L485-N485-'Assumptions'!$B$27-'Assumptions'!$B$28)*('Assumptions'!$B$14/12))/ABS('Monthly Cash Flow'!$S$5))^(1/('Assumptions'!$B$14/12))-1</x:f>
        <x:v>0.17563970628723502</x:v>
      </x:c>
      <x:c r="Q485" s="133" t="n">
        <x:f>-ABS('Monthly Cash Flow'!$S$5)+((L485-N485-'Assumptions'!$B$27-'Assumptions'!$B$28)*(1-(1+'Assumptions'!$B$43)^-('Assumptions'!$B$14/12))/'Assumptions'!$B$43)+(O485/(1+'Assumptions'!$B$43)^('Assumptions'!$B$14/12))</x:f>
        <x:v>485171.0501947105</x:v>
      </x:c>
    </x:row>
    <x:row r="486">
      <x:c r="A486" s="131" t="n">
        <x:f>479</x:f>
        <x:v>479</x:v>
      </x:c>
      <x:c r="B486" s="131" t="n">
        <x:f>MOD(ABS(SIN((A486+1)*12.9898+78.233)*43758.5453),1)</x:f>
        <x:v>0.3708074686292093</x:v>
      </x:c>
      <x:c r="C486" s="131" t="n">
        <x:f>MOD(ABS(SIN((A486+2)*12.9898+78.233)*43758.5453),1)</x:f>
        <x:v>0.9813792683780775</x:v>
      </x:c>
      <x:c r="D486" s="131" t="n">
        <x:f>MOD(ABS(SIN((A486+3)*12.9898+78.233)*43758.5453),1)</x:f>
        <x:v>0.05763063958147541</x:v>
      </x:c>
      <x:c r="E486" s="131" t="n">
        <x:f>MOD(ABS(SIN((A486+4)*12.9898+78.233)*43758.5453),1)</x:f>
        <x:v>0.9319313753879896</x:v>
      </x:c>
      <x:c r="F486" s="131" t="n">
        <x:f>MOD(ABS(SIN((A486+5)*12.9898+78.233)*43758.5453),1)</x:f>
        <x:v>0.12667547152523184</x:v>
      </x:c>
      <x:c r="G486" s="132" t="n">
        <x:f>IF(B486&lt;(('Assumptions'!$C$47-'Assumptions'!$B$47)/('Assumptions'!$D$47-'Assumptions'!$B$47)),'Assumptions'!$B$47+SQRT(B486*('Assumptions'!$D$47-'Assumptions'!$B$47)*('Assumptions'!$C$47-'Assumptions'!$B$47)),'Assumptions'!$D$47-SQRT((1-B486)*('Assumptions'!$D$47-'Assumptions'!$B$47)*('Assumptions'!$D$47-'Assumptions'!$C$47)))</x:f>
        <x:v>-0.005663478720587631</x:v>
      </x:c>
      <x:c r="H486" s="132" t="n">
        <x:f>IF(C486&lt;(('Assumptions'!$C$48-'Assumptions'!$B$48)/('Assumptions'!$D$48-'Assumptions'!$B$48)),'Assumptions'!$B$48+SQRT(C486*('Assumptions'!$D$48-'Assumptions'!$B$48)*('Assumptions'!$C$48-'Assumptions'!$B$48)),'Assumptions'!$D$48-SQRT((1-C486)*('Assumptions'!$D$48-'Assumptions'!$B$48)*('Assumptions'!$D$48-'Assumptions'!$C$48)))</x:f>
        <x:v>0.12719912353497162</x:v>
      </x:c>
      <x:c r="I486" s="132" t="n">
        <x:f>IF(D486&lt;(('Assumptions'!$C$49-'Assumptions'!$B$49)/('Assumptions'!$D$49-'Assumptions'!$B$49)),'Assumptions'!$B$49+SQRT(D486*('Assumptions'!$D$49-'Assumptions'!$B$49)*('Assumptions'!$C$49-'Assumptions'!$B$49)),'Assumptions'!$D$49-SQRT((1-D486)*('Assumptions'!$D$49-'Assumptions'!$B$49)*('Assumptions'!$D$49-'Assumptions'!$C$49)))</x:f>
        <x:v>-0.005051835588966984</x:v>
      </x:c>
      <x:c r="J486" s="132" t="n">
        <x:f>IF(E486&lt;(('Assumptions'!$C$50-'Assumptions'!$B$50)/('Assumptions'!$D$50-'Assumptions'!$B$50)),'Assumptions'!$B$50+SQRT(E486*('Assumptions'!$D$50-'Assumptions'!$B$50)*('Assumptions'!$C$50-'Assumptions'!$B$50)),'Assumptions'!$D$50-SQRT((1-E486)*('Assumptions'!$D$50-'Assumptions'!$B$50)*('Assumptions'!$D$50-'Assumptions'!$C$50)))</x:f>
        <x:v>0.07562457994335083</x:v>
      </x:c>
      <x:c r="K486" s="132" t="n">
        <x:f>IF(F486&lt;(('Assumptions'!$C$51-'Assumptions'!$B$51)/('Assumptions'!$D$51-'Assumptions'!$B$51)),'Assumptions'!$B$51+SQRT(F486*('Assumptions'!$D$51-'Assumptions'!$B$51)*('Assumptions'!$C$51-'Assumptions'!$B$51)),'Assumptions'!$D$51-SQRT((1-F486)*('Assumptions'!$D$51-'Assumptions'!$B$51)*('Assumptions'!$D$51-'Assumptions'!$C$51)))</x:f>
        <x:v>0.06340218219554758</x:v>
      </x:c>
      <x:c r="L486" s="133" t="n">
        <x:f>(('Assumptions'!$B$17*(1+G486)+'Assumptions'!$B$18)*(1-H486-'Assumptions'!$B$20)-SUM('Assumptions'!$B$21:$B$25)*(1+I486))-(('Assumptions'!$B$17*(1+G486)+'Assumptions'!$B$18)*(1-H486-'Assumptions'!$B$20)*'Assumptions'!$B$26)</x:f>
        <x:v>186040.95469382938</x:v>
      </x:c>
      <x:c r="M486" s="133" t="n">
        <x:f>'Assumptions'!$B$10*'Assumptions'!$B$33</x:f>
        <x:v>1950000</x:v>
      </x:c>
      <x:c r="N486" s="133" t="n">
        <x:f>-PMT(K486/12,'Assumptions'!$B$35*12,M486)*12</x:f>
        <x:v>145453.64845182106</x:v>
      </x:c>
      <x:c r="O486" s="133" t="n">
        <x:f>(L486*(1+'Assumptions'!$B$29)^('Assumptions'!$B$14/12)/J486)*(1-'Assumptions'!$B$42)-'Debt Schedule'!$F$9</x:f>
        <x:v>2680770.0400367985</x:v>
      </x:c>
      <x:c r="P486" s="132" t="n">
        <x:f>((O486+(L486-N486-'Assumptions'!$B$27-'Assumptions'!$B$28)*('Assumptions'!$B$14/12))/ABS('Monthly Cash Flow'!$S$5))^(1/('Assumptions'!$B$14/12))-1</x:f>
        <x:v>0.1569819802580148</x:v>
      </x:c>
      <x:c r="Q486" s="133" t="n">
        <x:f>-ABS('Monthly Cash Flow'!$S$5)+((L486-N486-'Assumptions'!$B$27-'Assumptions'!$B$28)*(1-(1+'Assumptions'!$B$43)^-('Assumptions'!$B$14/12))/'Assumptions'!$B$43)+(O486/(1+'Assumptions'!$B$43)^('Assumptions'!$B$14/12))</x:f>
        <x:v>372273.6328087889</x:v>
      </x:c>
    </x:row>
    <x:row r="487">
      <x:c r="A487" s="131" t="n">
        <x:f>480</x:f>
        <x:v>480</x:v>
      </x:c>
      <x:c r="B487" s="131" t="n">
        <x:f>MOD(ABS(SIN((A487+1)*12.9898+78.233)*43758.5453),1)</x:f>
        <x:v>0.9813792683780775</x:v>
      </x:c>
      <x:c r="C487" s="131" t="n">
        <x:f>MOD(ABS(SIN((A487+2)*12.9898+78.233)*43758.5453),1)</x:f>
        <x:v>0.05763063958147541</x:v>
      </x:c>
      <x:c r="D487" s="131" t="n">
        <x:f>MOD(ABS(SIN((A487+3)*12.9898+78.233)*43758.5453),1)</x:f>
        <x:v>0.9319313753879896</x:v>
      </x:c>
      <x:c r="E487" s="131" t="n">
        <x:f>MOD(ABS(SIN((A487+4)*12.9898+78.233)*43758.5453),1)</x:f>
        <x:v>0.12667547152523184</x:v>
      </x:c>
      <x:c r="F487" s="131" t="n">
        <x:f>MOD(ABS(SIN((A487+5)*12.9898+78.233)*43758.5453),1)</x:f>
        <x:v>0.9313197593583027</x:v>
      </x:c>
      <x:c r="G487" s="132" t="n">
        <x:f>IF(B487&lt;(('Assumptions'!$C$47-'Assumptions'!$B$47)/('Assumptions'!$D$47-'Assumptions'!$B$47)),'Assumptions'!$B$47+SQRT(B487*('Assumptions'!$D$47-'Assumptions'!$B$47)*('Assumptions'!$C$47-'Assumptions'!$B$47)),'Assumptions'!$D$47-SQRT((1-B487)*('Assumptions'!$D$47-'Assumptions'!$B$47)*('Assumptions'!$D$47-'Assumptions'!$C$47)))</x:f>
        <x:v>0.08273930169573782</x:v>
      </x:c>
      <x:c r="H487" s="132" t="n">
        <x:f>IF(C487&lt;(('Assumptions'!$C$48-'Assumptions'!$B$48)/('Assumptions'!$D$48-'Assumptions'!$B$48)),'Assumptions'!$B$48+SQRT(C487*('Assumptions'!$D$48-'Assumptions'!$B$48)*('Assumptions'!$C$48-'Assumptions'!$B$48)),'Assumptions'!$D$48-SQRT((1-C487)*('Assumptions'!$D$48-'Assumptions'!$B$48)*('Assumptions'!$D$48-'Assumptions'!$C$48)))</x:f>
        <x:v>0.04379061675991574</x:v>
      </x:c>
      <x:c r="I487" s="132" t="n">
        <x:f>IF(D487&lt;(('Assumptions'!$C$49-'Assumptions'!$B$49)/('Assumptions'!$D$49-'Assumptions'!$B$49)),'Assumptions'!$B$49+SQRT(D487*('Assumptions'!$D$49-'Assumptions'!$B$49)*('Assumptions'!$C$49-'Assumptions'!$B$49)),'Assumptions'!$D$49-SQRT((1-D487)*('Assumptions'!$D$49-'Assumptions'!$B$49)*('Assumptions'!$D$49-'Assumptions'!$C$49)))</x:f>
        <x:v>0.1116557397826034</x:v>
      </x:c>
      <x:c r="J487" s="132" t="n">
        <x:f>IF(E487&lt;(('Assumptions'!$C$50-'Assumptions'!$B$50)/('Assumptions'!$D$50-'Assumptions'!$B$50)),'Assumptions'!$B$50+SQRT(E487*('Assumptions'!$D$50-'Assumptions'!$B$50)*('Assumptions'!$C$50-'Assumptions'!$B$50)),'Assumptions'!$D$50-SQRT((1-E487)*('Assumptions'!$D$50-'Assumptions'!$B$50)*('Assumptions'!$D$50-'Assumptions'!$C$50)))</x:f>
        <x:v>0.06283872466916746</x:v>
      </x:c>
      <x:c r="K487" s="132" t="n">
        <x:f>IF(F487&lt;(('Assumptions'!$C$51-'Assumptions'!$B$51)/('Assumptions'!$D$51-'Assumptions'!$B$51)),'Assumptions'!$B$51+SQRT(F487*('Assumptions'!$D$51-'Assumptions'!$B$51)*('Assumptions'!$C$51-'Assumptions'!$B$51)),'Assumptions'!$D$51-SQRT((1-F487)*('Assumptions'!$D$51-'Assumptions'!$B$51)*('Assumptions'!$D$51-'Assumptions'!$C$51)))</x:f>
        <x:v>0.0792508813015544</x:v>
      </x:c>
      <x:c r="L487" s="133" t="n">
        <x:f>(('Assumptions'!$B$17*(1+G487)+'Assumptions'!$B$18)*(1-H487-'Assumptions'!$B$20)-SUM('Assumptions'!$B$21:$B$25)*(1+I487))-(('Assumptions'!$B$17*(1+G487)+'Assumptions'!$B$18)*(1-H487-'Assumptions'!$B$20)*'Assumptions'!$B$26)</x:f>
        <x:v>230348.4137511277</x:v>
      </x:c>
      <x:c r="M487" s="133" t="n">
        <x:f>'Assumptions'!$B$10*'Assumptions'!$B$33</x:f>
        <x:v>1950000</x:v>
      </x:c>
      <x:c r="N487" s="133" t="n">
        <x:f>-PMT(K487/12,'Assumptions'!$B$35*12,M487)*12</x:f>
        <x:v>170480.4806671841</x:v>
      </x:c>
      <x:c r="O487" s="133" t="n">
        <x:f>(L487*(1+'Assumptions'!$B$29)^('Assumptions'!$B$14/12)/J487)*(1-'Assumptions'!$B$42)-'Debt Schedule'!$F$9</x:f>
        <x:v>3994586.5991438003</x:v>
      </x:c>
      <x:c r="P487" s="132" t="n">
        <x:f>((O487+(L487-N487-'Assumptions'!$B$27-'Assumptions'!$B$28)*('Assumptions'!$B$14/12))/ABS('Monthly Cash Flow'!$S$5))^(1/('Assumptions'!$B$14/12))-1</x:f>
        <x:v>0.2589474204603246</x:v>
      </x:c>
      <x:c r="Q487" s="133" t="n">
        <x:f>-ABS('Monthly Cash Flow'!$S$5)+((L487-N487-'Assumptions'!$B$27-'Assumptions'!$B$28)*(1-(1+'Assumptions'!$B$43)^-('Assumptions'!$B$14/12))/'Assumptions'!$B$43)+(O487/(1+'Assumptions'!$B$43)^('Assumptions'!$B$14/12))</x:f>
        <x:v>1261139.0940848445</x:v>
      </x:c>
    </x:row>
    <x:row r="488">
      <x:c r="A488" s="131" t="n">
        <x:f>481</x:f>
        <x:v>481</x:v>
      </x:c>
      <x:c r="B488" s="131" t="n">
        <x:f>MOD(ABS(SIN((A488+1)*12.9898+78.233)*43758.5453),1)</x:f>
        <x:v>0.05763063958147541</x:v>
      </x:c>
      <x:c r="C488" s="131" t="n">
        <x:f>MOD(ABS(SIN((A488+2)*12.9898+78.233)*43758.5453),1)</x:f>
        <x:v>0.9319313753879896</x:v>
      </x:c>
      <x:c r="D488" s="131" t="n">
        <x:f>MOD(ABS(SIN((A488+3)*12.9898+78.233)*43758.5453),1)</x:f>
        <x:v>0.12667547152523184</x:v>
      </x:c>
      <x:c r="E488" s="131" t="n">
        <x:f>MOD(ABS(SIN((A488+4)*12.9898+78.233)*43758.5453),1)</x:f>
        <x:v>0.9313197593583027</x:v>
      </x:c>
      <x:c r="F488" s="131" t="n">
        <x:f>MOD(ABS(SIN((A488+5)*12.9898+78.233)*43758.5453),1)</x:f>
        <x:v>0.21350017857912462</x:v>
      </x:c>
      <x:c r="G488" s="132" t="n">
        <x:f>IF(B488&lt;(('Assumptions'!$C$47-'Assumptions'!$B$47)/('Assumptions'!$D$47-'Assumptions'!$B$47)),'Assumptions'!$B$47+SQRT(B488*('Assumptions'!$D$47-'Assumptions'!$B$47)*('Assumptions'!$C$47-'Assumptions'!$B$47)),'Assumptions'!$D$47-SQRT((1-B488)*('Assumptions'!$D$47-'Assumptions'!$B$47)*('Assumptions'!$D$47-'Assumptions'!$C$47)))</x:f>
        <x:v>-0.06280947230872612</x:v>
      </x:c>
      <x:c r="H488" s="132" t="n">
        <x:f>IF(C488&lt;(('Assumptions'!$C$48-'Assumptions'!$B$48)/('Assumptions'!$D$48-'Assumptions'!$B$48)),'Assumptions'!$B$48+SQRT(C488*('Assumptions'!$D$48-'Assumptions'!$B$48)*('Assumptions'!$C$48-'Assumptions'!$B$48)),'Assumptions'!$D$48-SQRT((1-C488)*('Assumptions'!$D$48-'Assumptions'!$B$48)*('Assumptions'!$D$48-'Assumptions'!$C$48)))</x:f>
        <x:v>0.11552544389400105</x:v>
      </x:c>
      <x:c r="I488" s="132" t="n">
        <x:f>IF(D488&lt;(('Assumptions'!$C$49-'Assumptions'!$B$49)/('Assumptions'!$D$49-'Assumptions'!$B$49)),'Assumptions'!$B$49+SQRT(D488*('Assumptions'!$D$49-'Assumptions'!$B$49)*('Assumptions'!$C$49-'Assumptions'!$B$49)),'Assumptions'!$D$49-SQRT((1-D488)*('Assumptions'!$D$49-'Assumptions'!$B$49)*('Assumptions'!$D$49-'Assumptions'!$C$49)))</x:f>
        <x:v>0.006987769498477521</x:v>
      </x:c>
      <x:c r="J488" s="132" t="n">
        <x:f>IF(E488&lt;(('Assumptions'!$C$50-'Assumptions'!$B$50)/('Assumptions'!$D$50-'Assumptions'!$B$50)),'Assumptions'!$B$50+SQRT(E488*('Assumptions'!$D$50-'Assumptions'!$B$50)*('Assumptions'!$C$50-'Assumptions'!$B$50)),'Assumptions'!$D$50-SQRT((1-E488)*('Assumptions'!$D$50-'Assumptions'!$B$50)*('Assumptions'!$D$50-'Assumptions'!$C$50)))</x:f>
        <x:v>0.0756049667031435</x:v>
      </x:c>
      <x:c r="K488" s="132" t="n">
        <x:f>IF(F488&lt;(('Assumptions'!$C$51-'Assumptions'!$B$51)/('Assumptions'!$D$51-'Assumptions'!$B$51)),'Assumptions'!$B$51+SQRT(F488*('Assumptions'!$D$51-'Assumptions'!$B$51)*('Assumptions'!$C$51-'Assumptions'!$B$51)),'Assumptions'!$D$51-SQRT((1-F488)*('Assumptions'!$D$51-'Assumptions'!$B$51)*('Assumptions'!$D$51-'Assumptions'!$C$51)))</x:f>
        <x:v>0.06516241144218055</x:v>
      </x:c>
      <x:c r="L488" s="133" t="n">
        <x:f>(('Assumptions'!$B$17*(1+G488)+'Assumptions'!$B$18)*(1-H488-'Assumptions'!$B$20)-SUM('Assumptions'!$B$21:$B$25)*(1+I488))-(('Assumptions'!$B$17*(1+G488)+'Assumptions'!$B$18)*(1-H488-'Assumptions'!$B$20)*'Assumptions'!$B$26)</x:f>
        <x:v>171466.6893230202</x:v>
      </x:c>
      <x:c r="M488" s="133" t="n">
        <x:f>'Assumptions'!$B$10*'Assumptions'!$B$33</x:f>
        <x:v>1950000</x:v>
      </x:c>
      <x:c r="N488" s="133" t="n">
        <x:f>-PMT(K488/12,'Assumptions'!$B$35*12,M488)*12</x:f>
        <x:v>148153.941346263</x:v>
      </x:c>
      <x:c r="O488" s="133" t="n">
        <x:f>(L488*(1+'Assumptions'!$B$29)^('Assumptions'!$B$14/12)/J488)*(1-'Assumptions'!$B$42)-'Debt Schedule'!$F$9</x:f>
        <x:v>2471402.1106521734</x:v>
      </x:c>
      <x:c r="P488" s="132" t="n">
        <x:f>((O488+(L488-N488-'Assumptions'!$B$27-'Assumptions'!$B$28)*('Assumptions'!$B$14/12))/ABS('Monthly Cash Flow'!$S$5))^(1/('Assumptions'!$B$14/12))-1</x:f>
        <x:v>0.13027783587080788</x:v>
      </x:c>
      <x:c r="Q488" s="133" t="n">
        <x:f>-ABS('Monthly Cash Flow'!$S$5)+((L488-N488-'Assumptions'!$B$27-'Assumptions'!$B$28)*(1-(1+'Assumptions'!$B$43)^-('Assumptions'!$B$14/12))/'Assumptions'!$B$43)+(O488/(1+'Assumptions'!$B$43)^('Assumptions'!$B$14/12))</x:f>
        <x:v>176788.45416984241</x:v>
      </x:c>
    </x:row>
    <x:row r="489">
      <x:c r="A489" s="131" t="n">
        <x:f>482</x:f>
        <x:v>482</x:v>
      </x:c>
      <x:c r="B489" s="131" t="n">
        <x:f>MOD(ABS(SIN((A489+1)*12.9898+78.233)*43758.5453),1)</x:f>
        <x:v>0.9319313753879896</x:v>
      </x:c>
      <x:c r="C489" s="131" t="n">
        <x:f>MOD(ABS(SIN((A489+2)*12.9898+78.233)*43758.5453),1)</x:f>
        <x:v>0.12667547152523184</x:v>
      </x:c>
      <x:c r="D489" s="131" t="n">
        <x:f>MOD(ABS(SIN((A489+3)*12.9898+78.233)*43758.5453),1)</x:f>
        <x:v>0.9313197593583027</x:v>
      </x:c>
      <x:c r="E489" s="131" t="n">
        <x:f>MOD(ABS(SIN((A489+4)*12.9898+78.233)*43758.5453),1)</x:f>
        <x:v>0.21350017857912462</x:v>
      </x:c>
      <x:c r="F489" s="131" t="n">
        <x:f>MOD(ABS(SIN((A489+5)*12.9898+78.233)*43758.5453),1)</x:f>
        <x:v>0.09396759834635304</x:v>
      </x:c>
      <x:c r="G489" s="132" t="n">
        <x:f>IF(B489&lt;(('Assumptions'!$C$47-'Assumptions'!$B$47)/('Assumptions'!$D$47-'Assumptions'!$B$47)),'Assumptions'!$B$47+SQRT(B489*('Assumptions'!$D$47-'Assumptions'!$B$47)*('Assumptions'!$C$47-'Assumptions'!$B$47)),'Assumptions'!$D$47-SQRT((1-B489)*('Assumptions'!$D$47-'Assumptions'!$B$47)*('Assumptions'!$D$47-'Assumptions'!$C$47)))</x:f>
        <x:v>0.0669985152789732</x:v>
      </x:c>
      <x:c r="H489" s="132" t="n">
        <x:f>IF(C489&lt;(('Assumptions'!$C$48-'Assumptions'!$B$48)/('Assumptions'!$D$48-'Assumptions'!$B$48)),'Assumptions'!$B$48+SQRT(C489*('Assumptions'!$D$48-'Assumptions'!$B$48)*('Assumptions'!$C$48-'Assumptions'!$B$48)),'Assumptions'!$D$48-SQRT((1-C489)*('Assumptions'!$D$48-'Assumptions'!$B$48)*('Assumptions'!$D$48-'Assumptions'!$C$48)))</x:f>
        <x:v>0.05044575887643364</x:v>
      </x:c>
      <x:c r="I489" s="132" t="n">
        <x:f>IF(D489&lt;(('Assumptions'!$C$49-'Assumptions'!$B$49)/('Assumptions'!$D$49-'Assumptions'!$B$49)),'Assumptions'!$B$49+SQRT(D489*('Assumptions'!$D$49-'Assumptions'!$B$49)*('Assumptions'!$C$49-'Assumptions'!$B$49)),'Assumptions'!$D$49-SQRT((1-D489)*('Assumptions'!$D$49-'Assumptions'!$B$49)*('Assumptions'!$D$49-'Assumptions'!$C$49)))</x:f>
        <x:v>0.11148385795720628</x:v>
      </x:c>
      <x:c r="J489" s="132" t="n">
        <x:f>IF(E489&lt;(('Assumptions'!$C$50-'Assumptions'!$B$50)/('Assumptions'!$D$50-'Assumptions'!$B$50)),'Assumptions'!$B$50+SQRT(E489*('Assumptions'!$D$50-'Assumptions'!$B$50)*('Assumptions'!$C$50-'Assumptions'!$B$50)),'Assumptions'!$D$50-SQRT((1-E489)*('Assumptions'!$D$50-'Assumptions'!$B$50)*('Assumptions'!$D$50-'Assumptions'!$C$50)))</x:f>
        <x:v>0.06443091192991969</x:v>
      </x:c>
      <x:c r="K489" s="132" t="n">
        <x:f>IF(F489&lt;(('Assumptions'!$C$51-'Assumptions'!$B$51)/('Assumptions'!$D$51-'Assumptions'!$B$51)),'Assumptions'!$B$51+SQRT(F489*('Assumptions'!$D$51-'Assumptions'!$B$51)*('Assumptions'!$C$51-'Assumptions'!$B$51)),'Assumptions'!$D$51-SQRT((1-F489)*('Assumptions'!$D$51-'Assumptions'!$B$51)*('Assumptions'!$D$51-'Assumptions'!$C$51)))</x:f>
        <x:v>0.06258341317868685</x:v>
      </x:c>
      <x:c r="L489" s="133" t="n">
        <x:f>(('Assumptions'!$B$17*(1+G489)+'Assumptions'!$B$18)*(1-H489-'Assumptions'!$B$20)-SUM('Assumptions'!$B$21:$B$25)*(1+I489))-(('Assumptions'!$B$17*(1+G489)+'Assumptions'!$B$18)*(1-H489-'Assumptions'!$B$20)*'Assumptions'!$B$26)</x:f>
        <x:v>222653.56117669208</x:v>
      </x:c>
      <x:c r="M489" s="133" t="n">
        <x:f>'Assumptions'!$B$10*'Assumptions'!$B$33</x:f>
        <x:v>1950000</x:v>
      </x:c>
      <x:c r="N489" s="133" t="n">
        <x:f>-PMT(K489/12,'Assumptions'!$B$35*12,M489)*12</x:f>
        <x:v>144204.79498303088</x:v>
      </x:c>
      <x:c r="O489" s="133" t="n">
        <x:f>(L489*(1+'Assumptions'!$B$29)^('Assumptions'!$B$14/12)/J489)*(1-'Assumptions'!$B$42)-'Debt Schedule'!$F$9</x:f>
        <x:v>3765731.443088207</x:v>
      </x:c>
      <x:c r="P489" s="132" t="n">
        <x:f>((O489+(L489-N489-'Assumptions'!$B$27-'Assumptions'!$B$28)*('Assumptions'!$B$14/12))/ABS('Monthly Cash Flow'!$S$5))^(1/('Assumptions'!$B$14/12))-1</x:f>
        <x:v>0.25047267016934915</x:v>
      </x:c>
      <x:c r="Q489" s="133" t="n">
        <x:f>-ABS('Monthly Cash Flow'!$S$5)+((L489-N489-'Assumptions'!$B$27-'Assumptions'!$B$28)*(1-(1+'Assumptions'!$B$43)^-('Assumptions'!$B$14/12))/'Assumptions'!$B$43)+(O489/(1+'Assumptions'!$B$43)^('Assumptions'!$B$14/12))</x:f>
        <x:v>1189474.0241148004</x:v>
      </x:c>
    </x:row>
    <x:row r="490">
      <x:c r="A490" s="131" t="n">
        <x:f>483</x:f>
        <x:v>483</x:v>
      </x:c>
      <x:c r="B490" s="131" t="n">
        <x:f>MOD(ABS(SIN((A490+1)*12.9898+78.233)*43758.5453),1)</x:f>
        <x:v>0.12667547152523184</x:v>
      </x:c>
      <x:c r="C490" s="131" t="n">
        <x:f>MOD(ABS(SIN((A490+2)*12.9898+78.233)*43758.5453),1)</x:f>
        <x:v>0.9313197593583027</x:v>
      </x:c>
      <x:c r="D490" s="131" t="n">
        <x:f>MOD(ABS(SIN((A490+3)*12.9898+78.233)*43758.5453),1)</x:f>
        <x:v>0.21350017857912462</x:v>
      </x:c>
      <x:c r="E490" s="131" t="n">
        <x:f>MOD(ABS(SIN((A490+4)*12.9898+78.233)*43758.5453),1)</x:f>
        <x:v>0.09396759834635304</x:v>
      </x:c>
      <x:c r="F490" s="131" t="n">
        <x:f>MOD(ABS(SIN((A490+5)*12.9898+78.233)*43758.5453),1)</x:f>
        <x:v>0.11686106574779842</x:v>
      </x:c>
      <x:c r="G490" s="132" t="n">
        <x:f>IF(B490&lt;(('Assumptions'!$C$47-'Assumptions'!$B$47)/('Assumptions'!$D$47-'Assumptions'!$B$47)),'Assumptions'!$B$47+SQRT(B490*('Assumptions'!$D$47-'Assumptions'!$B$47)*('Assumptions'!$C$47-'Assumptions'!$B$47)),'Assumptions'!$D$47-SQRT((1-B490)*('Assumptions'!$D$47-'Assumptions'!$B$47)*('Assumptions'!$D$47-'Assumptions'!$C$47)))</x:f>
        <x:v>-0.04486188871020731</x:v>
      </x:c>
      <x:c r="H490" s="132" t="n">
        <x:f>IF(C490&lt;(('Assumptions'!$C$48-'Assumptions'!$B$48)/('Assumptions'!$D$48-'Assumptions'!$B$48)),'Assumptions'!$B$48+SQRT(C490*('Assumptions'!$D$48-'Assumptions'!$B$48)*('Assumptions'!$C$48-'Assumptions'!$B$48)),'Assumptions'!$D$48-SQRT((1-C490)*('Assumptions'!$D$48-'Assumptions'!$B$48)*('Assumptions'!$D$48-'Assumptions'!$C$48)))</x:f>
        <x:v>0.11541573434802382</x:v>
      </x:c>
      <x:c r="I490" s="132" t="n">
        <x:f>IF(D490&lt;(('Assumptions'!$C$49-'Assumptions'!$B$49)/('Assumptions'!$D$49-'Assumptions'!$B$49)),'Assumptions'!$B$49+SQRT(D490*('Assumptions'!$D$49-'Assumptions'!$B$49)*('Assumptions'!$C$49-'Assumptions'!$B$49)),'Assumptions'!$D$49-SQRT((1-D490)*('Assumptions'!$D$49-'Assumptions'!$B$49)*('Assumptions'!$D$49-'Assumptions'!$C$49)))</x:f>
        <x:v>0.018018766421624637</x:v>
      </x:c>
      <x:c r="J490" s="132" t="n">
        <x:f>IF(E490&lt;(('Assumptions'!$C$50-'Assumptions'!$B$50)/('Assumptions'!$D$50-'Assumptions'!$B$50)),'Assumptions'!$B$50+SQRT(E490*('Assumptions'!$D$50-'Assumptions'!$B$50)*('Assumptions'!$C$50-'Assumptions'!$B$50)),'Assumptions'!$D$50-SQRT((1-E490)*('Assumptions'!$D$50-'Assumptions'!$B$50)*('Assumptions'!$D$50-'Assumptions'!$C$50)))</x:f>
        <x:v>0.062098120227650586</x:v>
      </x:c>
      <x:c r="K490" s="132" t="n">
        <x:f>IF(F490&lt;(('Assumptions'!$C$51-'Assumptions'!$B$51)/('Assumptions'!$D$51-'Assumptions'!$B$51)),'Assumptions'!$B$51+SQRT(F490*('Assumptions'!$D$51-'Assumptions'!$B$51)*('Assumptions'!$C$51-'Assumptions'!$B$51)),'Assumptions'!$D$51-SQRT((1-F490)*('Assumptions'!$D$51-'Assumptions'!$B$51)*('Assumptions'!$D$51-'Assumptions'!$C$51)))</x:f>
        <x:v>0.06316893226989392</x:v>
      </x:c>
      <x:c r="L490" s="133" t="n">
        <x:f>(('Assumptions'!$B$17*(1+G490)+'Assumptions'!$B$18)*(1-H490-'Assumptions'!$B$20)-SUM('Assumptions'!$B$21:$B$25)*(1+I490))-(('Assumptions'!$B$17*(1+G490)+'Assumptions'!$B$18)*(1-H490-'Assumptions'!$B$20)*'Assumptions'!$B$26)</x:f>
        <x:v>175538.9842617532</x:v>
      </x:c>
      <x:c r="M490" s="133" t="n">
        <x:f>'Assumptions'!$B$10*'Assumptions'!$B$33</x:f>
        <x:v>1950000</x:v>
      </x:c>
      <x:c r="N490" s="133" t="n">
        <x:f>-PMT(K490/12,'Assumptions'!$B$35*12,M490)*12</x:f>
        <x:v>145097.40853757158</x:v>
      </x:c>
      <x:c r="O490" s="133" t="n">
        <x:f>(L490*(1+'Assumptions'!$B$29)^('Assumptions'!$B$14/12)/J490)*(1-'Assumptions'!$B$42)-'Debt Schedule'!$F$9</x:f>
        <x:v>3080414.111946252</x:v>
      </x:c>
      <x:c r="P490" s="132" t="n">
        <x:f>((O490+(L490-N490-'Assumptions'!$B$27-'Assumptions'!$B$28)*('Assumptions'!$B$14/12))/ABS('Monthly Cash Flow'!$S$5))^(1/('Assumptions'!$B$14/12))-1</x:f>
        <x:v>0.1856137982688315</x:v>
      </x:c>
      <x:c r="Q490" s="133" t="n">
        <x:f>-ABS('Monthly Cash Flow'!$S$5)+((L490-N490-'Assumptions'!$B$27-'Assumptions'!$B$28)*(1-(1+'Assumptions'!$B$43)^-('Assumptions'!$B$14/12))/'Assumptions'!$B$43)+(O490/(1+'Assumptions'!$B$43)^('Assumptions'!$B$14/12))</x:f>
        <x:v>581960.8576785941</x:v>
      </x:c>
    </x:row>
    <x:row r="491">
      <x:c r="A491" s="131" t="n">
        <x:f>484</x:f>
        <x:v>484</x:v>
      </x:c>
      <x:c r="B491" s="131" t="n">
        <x:f>MOD(ABS(SIN((A491+1)*12.9898+78.233)*43758.5453),1)</x:f>
        <x:v>0.9313197593583027</x:v>
      </x:c>
      <x:c r="C491" s="131" t="n">
        <x:f>MOD(ABS(SIN((A491+2)*12.9898+78.233)*43758.5453),1)</x:f>
        <x:v>0.21350017857912462</x:v>
      </x:c>
      <x:c r="D491" s="131" t="n">
        <x:f>MOD(ABS(SIN((A491+3)*12.9898+78.233)*43758.5453),1)</x:f>
        <x:v>0.09396759834635304</x:v>
      </x:c>
      <x:c r="E491" s="131" t="n">
        <x:f>MOD(ABS(SIN((A491+4)*12.9898+78.233)*43758.5453),1)</x:f>
        <x:v>0.11686106574779842</x:v>
      </x:c>
      <x:c r="F491" s="131" t="n">
        <x:f>MOD(ABS(SIN((A491+5)*12.9898+78.233)*43758.5453),1)</x:f>
        <x:v>0.6669559512156411</x:v>
      </x:c>
      <x:c r="G491" s="132" t="n">
        <x:f>IF(B491&lt;(('Assumptions'!$C$47-'Assumptions'!$B$47)/('Assumptions'!$D$47-'Assumptions'!$B$47)),'Assumptions'!$B$47+SQRT(B491*('Assumptions'!$D$47-'Assumptions'!$B$47)*('Assumptions'!$C$47-'Assumptions'!$B$47)),'Assumptions'!$D$47-SQRT((1-B491)*('Assumptions'!$D$47-'Assumptions'!$B$47)*('Assumptions'!$D$47-'Assumptions'!$C$47)))</x:f>
        <x:v>0.06685058295735569</x:v>
      </x:c>
      <x:c r="H491" s="132" t="n">
        <x:f>IF(C491&lt;(('Assumptions'!$C$48-'Assumptions'!$B$48)/('Assumptions'!$D$48-'Assumptions'!$B$48)),'Assumptions'!$B$48+SQRT(C491*('Assumptions'!$D$48-'Assumptions'!$B$48)*('Assumptions'!$C$48-'Assumptions'!$B$48)),'Assumptions'!$D$48-SQRT((1-C491)*('Assumptions'!$D$48-'Assumptions'!$B$48)*('Assumptions'!$D$48-'Assumptions'!$C$48)))</x:f>
        <x:v>0.05654337185270762</x:v>
      </x:c>
      <x:c r="I491" s="132" t="n">
        <x:f>IF(D491&lt;(('Assumptions'!$C$49-'Assumptions'!$B$49)/('Assumptions'!$D$49-'Assumptions'!$B$49)),'Assumptions'!$B$49+SQRT(D491*('Assumptions'!$D$49-'Assumptions'!$B$49)*('Assumptions'!$C$49-'Assumptions'!$B$49)),'Assumptions'!$D$49-SQRT((1-D491)*('Assumptions'!$D$49-'Assumptions'!$B$49)*('Assumptions'!$D$49-'Assumptions'!$C$49)))</x:f>
        <x:v>0.001856711414403918</x:v>
      </x:c>
      <x:c r="J491" s="132" t="n">
        <x:f>IF(E491&lt;(('Assumptions'!$C$50-'Assumptions'!$B$50)/('Assumptions'!$D$50-'Assumptions'!$B$50)),'Assumptions'!$B$50+SQRT(E491*('Assumptions'!$D$50-'Assumptions'!$B$50)*('Assumptions'!$C$50-'Assumptions'!$B$50)),'Assumptions'!$D$50-SQRT((1-E491)*('Assumptions'!$D$50-'Assumptions'!$B$50)*('Assumptions'!$D$50-'Assumptions'!$C$50)))</x:f>
        <x:v>0.06262774217304796</x:v>
      </x:c>
      <x:c r="K491" s="132" t="n">
        <x:f>IF(F491&lt;(('Assumptions'!$C$51-'Assumptions'!$B$51)/('Assumptions'!$D$51-'Assumptions'!$B$51)),'Assumptions'!$B$51+SQRT(F491*('Assumptions'!$D$51-'Assumptions'!$B$51)*('Assumptions'!$C$51-'Assumptions'!$B$51)),'Assumptions'!$D$51-SQRT((1-F491)*('Assumptions'!$D$51-'Assumptions'!$B$51)*('Assumptions'!$D$51-'Assumptions'!$C$51)))</x:f>
        <x:v>0.07233992699557097</x:v>
      </x:c>
      <x:c r="L491" s="133" t="n">
        <x:f>(('Assumptions'!$B$17*(1+G491)+'Assumptions'!$B$18)*(1-H491-'Assumptions'!$B$20)-SUM('Assumptions'!$B$21:$B$25)*(1+I491))-(('Assumptions'!$B$17*(1+G491)+'Assumptions'!$B$18)*(1-H491-'Assumptions'!$B$20)*'Assumptions'!$B$26)</x:f>
        <x:v>234064.96817191245</x:v>
      </x:c>
      <x:c r="M491" s="133" t="n">
        <x:f>'Assumptions'!$B$10*'Assumptions'!$B$33</x:f>
        <x:v>1950000</x:v>
      </x:c>
      <x:c r="N491" s="133" t="n">
        <x:f>-PMT(K491/12,'Assumptions'!$B$35*12,M491)*12</x:f>
        <x:v>159375.26710345474</x:v>
      </x:c>
      <x:c r="O491" s="133" t="n">
        <x:f>(L491*(1+'Assumptions'!$B$29)^('Assumptions'!$B$14/12)/J491)*(1-'Assumptions'!$B$42)-'Debt Schedule'!$F$9</x:f>
        <x:v>4072711.445361789</x:v>
      </x:c>
      <x:c r="P491" s="132" t="n">
        <x:f>((O491+(L491-N491-'Assumptions'!$B$27-'Assumptions'!$B$28)*('Assumptions'!$B$14/12))/ABS('Monthly Cash Flow'!$S$5))^(1/('Assumptions'!$B$14/12))-1</x:f>
        <x:v>0.2681740406829194</x:v>
      </x:c>
      <x:c r="Q491" s="133" t="n">
        <x:f>-ABS('Monthly Cash Flow'!$S$5)+((L491-N491-'Assumptions'!$B$27-'Assumptions'!$B$28)*(1-(1+'Assumptions'!$B$43)^-('Assumptions'!$B$14/12))/'Assumptions'!$B$43)+(O491/(1+'Assumptions'!$B$43)^('Assumptions'!$B$14/12))</x:f>
        <x:v>1365834.638937249</x:v>
      </x:c>
    </x:row>
    <x:row r="492">
      <x:c r="A492" s="131" t="n">
        <x:f>485</x:f>
        <x:v>485</x:v>
      </x:c>
      <x:c r="B492" s="131" t="n">
        <x:f>MOD(ABS(SIN((A492+1)*12.9898+78.233)*43758.5453),1)</x:f>
        <x:v>0.21350017857912462</x:v>
      </x:c>
      <x:c r="C492" s="131" t="n">
        <x:f>MOD(ABS(SIN((A492+2)*12.9898+78.233)*43758.5453),1)</x:f>
        <x:v>0.09396759834635304</x:v>
      </x:c>
      <x:c r="D492" s="131" t="n">
        <x:f>MOD(ABS(SIN((A492+3)*12.9898+78.233)*43758.5453),1)</x:f>
        <x:v>0.11686106574779842</x:v>
      </x:c>
      <x:c r="E492" s="131" t="n">
        <x:f>MOD(ABS(SIN((A492+4)*12.9898+78.233)*43758.5453),1)</x:f>
        <x:v>0.6669559512156411</x:v>
      </x:c>
      <x:c r="F492" s="131" t="n">
        <x:f>MOD(ABS(SIN((A492+5)*12.9898+78.233)*43758.5453),1)</x:f>
        <x:v>0.2585980027060941</x:v>
      </x:c>
      <x:c r="G492" s="132" t="n">
        <x:f>IF(B492&lt;(('Assumptions'!$C$47-'Assumptions'!$B$47)/('Assumptions'!$D$47-'Assumptions'!$B$47)),'Assumptions'!$B$47+SQRT(B492*('Assumptions'!$D$47-'Assumptions'!$B$47)*('Assumptions'!$C$47-'Assumptions'!$B$47)),'Assumptions'!$D$47-SQRT((1-B492)*('Assumptions'!$D$47-'Assumptions'!$B$47)*('Assumptions'!$D$47-'Assumptions'!$C$47)))</x:f>
        <x:v>-0.028417849390375324</x:v>
      </x:c>
      <x:c r="H492" s="132" t="n">
        <x:f>IF(C492&lt;(('Assumptions'!$C$48-'Assumptions'!$B$48)/('Assumptions'!$D$48-'Assumptions'!$B$48)),'Assumptions'!$B$48+SQRT(C492*('Assumptions'!$D$48-'Assumptions'!$B$48)*('Assumptions'!$C$48-'Assumptions'!$B$48)),'Assumptions'!$D$48-SQRT((1-C492)*('Assumptions'!$D$48-'Assumptions'!$B$48)*('Assumptions'!$D$48-'Assumptions'!$C$48)))</x:f>
        <x:v>0.04760945980270165</x:v>
      </x:c>
      <x:c r="I492" s="132" t="n">
        <x:f>IF(D492&lt;(('Assumptions'!$C$49-'Assumptions'!$B$49)/('Assumptions'!$D$49-'Assumptions'!$B$49)),'Assumptions'!$B$49+SQRT(D492*('Assumptions'!$D$49-'Assumptions'!$B$49)*('Assumptions'!$C$49-'Assumptions'!$B$49)),'Assumptions'!$D$49-SQRT((1-D492)*('Assumptions'!$D$49-'Assumptions'!$B$49)*('Assumptions'!$D$49-'Assumptions'!$C$49)))</x:f>
        <x:v>0.005526039887330858</x:v>
      </x:c>
      <x:c r="J492" s="132" t="n">
        <x:f>IF(E492&lt;(('Assumptions'!$C$50-'Assumptions'!$B$50)/('Assumptions'!$D$50-'Assumptions'!$B$50)),'Assumptions'!$B$50+SQRT(E492*('Assumptions'!$D$50-'Assumptions'!$B$50)*('Assumptions'!$C$50-'Assumptions'!$B$50)),'Assumptions'!$D$50-SQRT((1-E492)*('Assumptions'!$D$50-'Assumptions'!$B$50)*('Assumptions'!$D$50-'Assumptions'!$C$50)))</x:f>
        <x:v>0.07032174402484617</x:v>
      </x:c>
      <x:c r="K492" s="132" t="n">
        <x:f>IF(F492&lt;(('Assumptions'!$C$51-'Assumptions'!$B$51)/('Assumptions'!$D$51-'Assumptions'!$B$51)),'Assumptions'!$B$51+SQRT(F492*('Assumptions'!$D$51-'Assumptions'!$B$51)*('Assumptions'!$C$51-'Assumptions'!$B$51)),'Assumptions'!$D$51-SQRT((1-F492)*('Assumptions'!$D$51-'Assumptions'!$B$51)*('Assumptions'!$D$51-'Assumptions'!$C$51)))</x:f>
        <x:v>0.06593293844067274</x:v>
      </x:c>
      <x:c r="L492" s="133" t="n">
        <x:f>(('Assumptions'!$B$17*(1+G492)+'Assumptions'!$B$18)*(1-H492-'Assumptions'!$B$20)-SUM('Assumptions'!$B$21:$B$25)*(1+I492))-(('Assumptions'!$B$17*(1+G492)+'Assumptions'!$B$18)*(1-H492-'Assumptions'!$B$20)*'Assumptions'!$B$26)</x:f>
        <x:v>206022.98398233572</x:v>
      </x:c>
      <x:c r="M492" s="133" t="n">
        <x:f>'Assumptions'!$B$10*'Assumptions'!$B$33</x:f>
        <x:v>1950000</x:v>
      </x:c>
      <x:c r="N492" s="133" t="n">
        <x:f>-PMT(K492/12,'Assumptions'!$B$35*12,M492)*12</x:f>
        <x:v>149342.5295450284</x:v>
      </x:c>
      <x:c r="O492" s="133" t="n">
        <x:f>(L492*(1+'Assumptions'!$B$29)^('Assumptions'!$B$14/12)/J492)*(1-'Assumptions'!$B$42)-'Debt Schedule'!$F$9</x:f>
        <x:v>3192566.9778452045</x:v>
      </x:c>
      <x:c r="P492" s="132" t="n">
        <x:f>((O492+(L492-N492-'Assumptions'!$B$27-'Assumptions'!$B$28)*('Assumptions'!$B$14/12))/ABS('Monthly Cash Flow'!$S$5))^(1/('Assumptions'!$B$14/12))-1</x:f>
        <x:v>0.2040584014043345</x:v>
      </x:c>
      <x:c r="Q492" s="133" t="n">
        <x:f>-ABS('Monthly Cash Flow'!$S$5)+((L492-N492-'Assumptions'!$B$27-'Assumptions'!$B$28)*(1-(1+'Assumptions'!$B$43)^-('Assumptions'!$B$14/12))/'Assumptions'!$B$43)+(O492/(1+'Assumptions'!$B$43)^('Assumptions'!$B$14/12))</x:f>
        <x:v>751064.9578272772</x:v>
      </x:c>
    </x:row>
    <x:row r="493">
      <x:c r="A493" s="131" t="n">
        <x:f>486</x:f>
        <x:v>486</x:v>
      </x:c>
      <x:c r="B493" s="131" t="n">
        <x:f>MOD(ABS(SIN((A493+1)*12.9898+78.233)*43758.5453),1)</x:f>
        <x:v>0.09396759834635304</x:v>
      </x:c>
      <x:c r="C493" s="131" t="n">
        <x:f>MOD(ABS(SIN((A493+2)*12.9898+78.233)*43758.5453),1)</x:f>
        <x:v>0.11686106574779842</x:v>
      </x:c>
      <x:c r="D493" s="131" t="n">
        <x:f>MOD(ABS(SIN((A493+3)*12.9898+78.233)*43758.5453),1)</x:f>
        <x:v>0.6669559512156411</x:v>
      </x:c>
      <x:c r="E493" s="131" t="n">
        <x:f>MOD(ABS(SIN((A493+4)*12.9898+78.233)*43758.5453),1)</x:f>
        <x:v>0.2585980027060941</x:v>
      </x:c>
      <x:c r="F493" s="131" t="n">
        <x:f>MOD(ABS(SIN((A493+5)*12.9898+78.233)*43758.5453),1)</x:f>
        <x:v>0.44182967739834567</x:v>
      </x:c>
      <x:c r="G493" s="132" t="n">
        <x:f>IF(B493&lt;(('Assumptions'!$C$47-'Assumptions'!$B$47)/('Assumptions'!$D$47-'Assumptions'!$B$47)),'Assumptions'!$B$47+SQRT(B493*('Assumptions'!$D$47-'Assumptions'!$B$47)*('Assumptions'!$C$47-'Assumptions'!$B$47)),'Assumptions'!$D$47-SQRT((1-B493)*('Assumptions'!$D$47-'Assumptions'!$B$47)*('Assumptions'!$D$47-'Assumptions'!$C$47)))</x:f>
        <x:v>-0.05251081849186625</x:v>
      </x:c>
      <x:c r="H493" s="132" t="n">
        <x:f>IF(C493&lt;(('Assumptions'!$C$48-'Assumptions'!$B$48)/('Assumptions'!$D$48-'Assumptions'!$B$48)),'Assumptions'!$B$48+SQRT(C493*('Assumptions'!$D$48-'Assumptions'!$B$48)*('Assumptions'!$C$48-'Assumptions'!$B$48)),'Assumptions'!$D$48-SQRT((1-C493)*('Assumptions'!$D$48-'Assumptions'!$B$48)*('Assumptions'!$D$48-'Assumptions'!$C$48)))</x:f>
        <x:v>0.04963775743224605</x:v>
      </x:c>
      <x:c r="I493" s="132" t="n">
        <x:f>IF(D493&lt;(('Assumptions'!$C$49-'Assumptions'!$B$49)/('Assumptions'!$D$49-'Assumptions'!$B$49)),'Assumptions'!$B$49+SQRT(D493*('Assumptions'!$D$49-'Assumptions'!$B$49)*('Assumptions'!$C$49-'Assumptions'!$B$49)),'Assumptions'!$D$49-SQRT((1-D493)*('Assumptions'!$D$49-'Assumptions'!$B$49)*('Assumptions'!$D$49-'Assumptions'!$C$49)))</x:f>
        <x:v>0.06518401416158537</x:v>
      </x:c>
      <x:c r="J493" s="132" t="n">
        <x:f>IF(E493&lt;(('Assumptions'!$C$50-'Assumptions'!$B$50)/('Assumptions'!$D$50-'Assumptions'!$B$50)),'Assumptions'!$B$50+SQRT(E493*('Assumptions'!$D$50-'Assumptions'!$B$50)*('Assumptions'!$C$50-'Assumptions'!$B$50)),'Assumptions'!$D$50-SQRT((1-E493)*('Assumptions'!$D$50-'Assumptions'!$B$50)*('Assumptions'!$D$50-'Assumptions'!$C$50)))</x:f>
        <x:v>0.06512787982396624</x:v>
      </x:c>
      <x:c r="K493" s="132" t="n">
        <x:f>IF(F493&lt;(('Assumptions'!$C$51-'Assumptions'!$B$51)/('Assumptions'!$D$51-'Assumptions'!$B$51)),'Assumptions'!$B$51+SQRT(F493*('Assumptions'!$D$51-'Assumptions'!$B$51)*('Assumptions'!$C$51-'Assumptions'!$B$51)),'Assumptions'!$D$51-SQRT((1-F493)*('Assumptions'!$D$51-'Assumptions'!$B$51)*('Assumptions'!$D$51-'Assumptions'!$C$51)))</x:f>
        <x:v>0.06861038536901962</x:v>
      </x:c>
      <x:c r="L493" s="133" t="n">
        <x:f>(('Assumptions'!$B$17*(1+G493)+'Assumptions'!$B$18)*(1-H493-'Assumptions'!$B$20)-SUM('Assumptions'!$B$21:$B$25)*(1+I493))-(('Assumptions'!$B$17*(1+G493)+'Assumptions'!$B$18)*(1-H493-'Assumptions'!$B$20)*'Assumptions'!$B$26)</x:f>
        <x:v>189960.01637655764</x:v>
      </x:c>
      <x:c r="M493" s="133" t="n">
        <x:f>'Assumptions'!$B$10*'Assumptions'!$B$33</x:f>
        <x:v>1950000</x:v>
      </x:c>
      <x:c r="N493" s="133" t="n">
        <x:f>-PMT(K493/12,'Assumptions'!$B$35*12,M493)*12</x:f>
        <x:v>153503.11055080852</x:v>
      </x:c>
      <x:c r="O493" s="133" t="n">
        <x:f>(L493*(1+'Assumptions'!$B$29)^('Assumptions'!$B$14/12)/J493)*(1-'Assumptions'!$B$42)-'Debt Schedule'!$F$9</x:f>
        <x:v>3178404.999059028</x:v>
      </x:c>
      <x:c r="P493" s="132" t="n">
        <x:f>((O493+(L493-N493-'Assumptions'!$B$27-'Assumptions'!$B$28)*('Assumptions'!$B$14/12))/ABS('Monthly Cash Flow'!$S$5))^(1/('Assumptions'!$B$14/12))-1</x:f>
        <x:v>0.1954624975446395</x:v>
      </x:c>
      <x:c r="Q493" s="133" t="n">
        <x:f>-ABS('Monthly Cash Flow'!$S$5)+((L493-N493-'Assumptions'!$B$27-'Assumptions'!$B$28)*(1-(1+'Assumptions'!$B$43)^-('Assumptions'!$B$14/12))/'Assumptions'!$B$43)+(O493/(1+'Assumptions'!$B$43)^('Assumptions'!$B$14/12))</x:f>
        <x:v>665608.3227150454</x:v>
      </x:c>
    </x:row>
    <x:row r="494">
      <x:c r="A494" s="131" t="n">
        <x:f>487</x:f>
        <x:v>487</x:v>
      </x:c>
      <x:c r="B494" s="131" t="n">
        <x:f>MOD(ABS(SIN((A494+1)*12.9898+78.233)*43758.5453),1)</x:f>
        <x:v>0.11686106574779842</x:v>
      </x:c>
      <x:c r="C494" s="131" t="n">
        <x:f>MOD(ABS(SIN((A494+2)*12.9898+78.233)*43758.5453),1)</x:f>
        <x:v>0.6669559512156411</x:v>
      </x:c>
      <x:c r="D494" s="131" t="n">
        <x:f>MOD(ABS(SIN((A494+3)*12.9898+78.233)*43758.5453),1)</x:f>
        <x:v>0.2585980027060941</x:v>
      </x:c>
      <x:c r="E494" s="131" t="n">
        <x:f>MOD(ABS(SIN((A494+4)*12.9898+78.233)*43758.5453),1)</x:f>
        <x:v>0.44182967739834567</x:v>
      </x:c>
      <x:c r="F494" s="131" t="n">
        <x:f>MOD(ABS(SIN((A494+5)*12.9898+78.233)*43758.5453),1)</x:f>
        <x:v>0.7419290890502452</x:v>
      </x:c>
      <x:c r="G494" s="132" t="n">
        <x:f>IF(B494&lt;(('Assumptions'!$C$47-'Assumptions'!$B$47)/('Assumptions'!$D$47-'Assumptions'!$B$47)),'Assumptions'!$B$47+SQRT(B494*('Assumptions'!$D$47-'Assumptions'!$B$47)*('Assumptions'!$C$47-'Assumptions'!$B$47)),'Assumptions'!$D$47-SQRT((1-B494)*('Assumptions'!$D$47-'Assumptions'!$B$47)*('Assumptions'!$D$47-'Assumptions'!$C$47)))</x:f>
        <x:v>-0.047040906560372825</x:v>
      </x:c>
      <x:c r="H494" s="132" t="n">
        <x:f>IF(C494&lt;(('Assumptions'!$C$48-'Assumptions'!$B$48)/('Assumptions'!$D$48-'Assumptions'!$B$48)),'Assumptions'!$B$48+SQRT(C494*('Assumptions'!$D$48-'Assumptions'!$B$48)*('Assumptions'!$C$48-'Assumptions'!$B$48)),'Assumptions'!$D$48-SQRT((1-C494)*('Assumptions'!$D$48-'Assumptions'!$B$48)*('Assumptions'!$D$48-'Assumptions'!$C$48)))</x:f>
        <x:v>0.08586325065814943</x:v>
      </x:c>
      <x:c r="I494" s="132" t="n">
        <x:f>IF(D494&lt;(('Assumptions'!$C$49-'Assumptions'!$B$49)/('Assumptions'!$D$49-'Assumptions'!$B$49)),'Assumptions'!$B$49+SQRT(D494*('Assumptions'!$D$49-'Assumptions'!$B$49)*('Assumptions'!$C$49-'Assumptions'!$B$49)),'Assumptions'!$D$49-SQRT((1-D494)*('Assumptions'!$D$49-'Assumptions'!$B$49)*('Assumptions'!$D$49-'Assumptions'!$C$49)))</x:f>
        <x:v>0.02284750163655626</x:v>
      </x:c>
      <x:c r="J494" s="132" t="n">
        <x:f>IF(E494&lt;(('Assumptions'!$C$50-'Assumptions'!$B$50)/('Assumptions'!$D$50-'Assumptions'!$B$50)),'Assumptions'!$B$50+SQRT(E494*('Assumptions'!$D$50-'Assumptions'!$B$50)*('Assumptions'!$C$50-'Assumptions'!$B$50)),'Assumptions'!$D$50-SQRT((1-E494)*('Assumptions'!$D$50-'Assumptions'!$B$50)*('Assumptions'!$D$50-'Assumptions'!$C$50)))</x:f>
        <x:v>0.06747054047755827</x:v>
      </x:c>
      <x:c r="K494" s="132" t="n">
        <x:f>IF(F494&lt;(('Assumptions'!$C$51-'Assumptions'!$B$51)/('Assumptions'!$D$51-'Assumptions'!$B$51)),'Assumptions'!$B$51+SQRT(F494*('Assumptions'!$D$51-'Assumptions'!$B$51)*('Assumptions'!$C$51-'Assumptions'!$B$51)),'Assumptions'!$D$51-SQRT((1-F494)*('Assumptions'!$D$51-'Assumptions'!$B$51)*('Assumptions'!$D$51-'Assumptions'!$C$51)))</x:f>
        <x:v>0.07385564600819906</x:v>
      </x:c>
      <x:c r="L494" s="133" t="n">
        <x:f>(('Assumptions'!$B$17*(1+G494)+'Assumptions'!$B$18)*(1-H494-'Assumptions'!$B$20)-SUM('Assumptions'!$B$21:$B$25)*(1+I494))-(('Assumptions'!$B$17*(1+G494)+'Assumptions'!$B$18)*(1-H494-'Assumptions'!$B$20)*'Assumptions'!$B$26)</x:f>
        <x:v>184515.50228902025</x:v>
      </x:c>
      <x:c r="M494" s="133" t="n">
        <x:f>'Assumptions'!$B$10*'Assumptions'!$B$33</x:f>
        <x:v>1950000</x:v>
      </x:c>
      <x:c r="N494" s="133" t="n">
        <x:f>-PMT(K494/12,'Assumptions'!$B$35*12,M494)*12</x:f>
        <x:v>161786.50234851547</x:v>
      </x:c>
      <x:c r="O494" s="133" t="n">
        <x:f>(L494*(1+'Assumptions'!$B$29)^('Assumptions'!$B$14/12)/J494)*(1-'Assumptions'!$B$42)-'Debt Schedule'!$F$9</x:f>
        <x:v>2980112.422404207</x:v>
      </x:c>
      <x:c r="P494" s="132" t="n">
        <x:f>((O494+(L494-N494-'Assumptions'!$B$27-'Assumptions'!$B$28)*('Assumptions'!$B$14/12))/ABS('Monthly Cash Flow'!$S$5))^(1/('Assumptions'!$B$14/12))-1</x:f>
        <x:v>0.17455136387095616</x:v>
      </x:c>
      <x:c r="Q494" s="133" t="n">
        <x:f>-ABS('Monthly Cash Flow'!$S$5)+((L494-N494-'Assumptions'!$B$27-'Assumptions'!$B$28)*(1-(1+'Assumptions'!$B$43)^-('Assumptions'!$B$14/12))/'Assumptions'!$B$43)+(O494/(1+'Assumptions'!$B$43)^('Assumptions'!$B$14/12))</x:f>
        <x:v>490444.6696642563</x:v>
      </x:c>
    </x:row>
    <x:row r="495">
      <x:c r="A495" s="131" t="n">
        <x:f>488</x:f>
        <x:v>488</x:v>
      </x:c>
      <x:c r="B495" s="131" t="n">
        <x:f>MOD(ABS(SIN((A495+1)*12.9898+78.233)*43758.5453),1)</x:f>
        <x:v>0.6669559512156411</x:v>
      </x:c>
      <x:c r="C495" s="131" t="n">
        <x:f>MOD(ABS(SIN((A495+2)*12.9898+78.233)*43758.5453),1)</x:f>
        <x:v>0.2585980027060941</x:v>
      </x:c>
      <x:c r="D495" s="131" t="n">
        <x:f>MOD(ABS(SIN((A495+3)*12.9898+78.233)*43758.5453),1)</x:f>
        <x:v>0.44182967739834567</x:v>
      </x:c>
      <x:c r="E495" s="131" t="n">
        <x:f>MOD(ABS(SIN((A495+4)*12.9898+78.233)*43758.5453),1)</x:f>
        <x:v>0.7419290890502452</x:v>
      </x:c>
      <x:c r="F495" s="131" t="n">
        <x:f>MOD(ABS(SIN((A495+5)*12.9898+78.233)*43758.5453),1)</x:f>
        <x:v>0.20859887035476277</x:v>
      </x:c>
      <x:c r="G495" s="132" t="n">
        <x:f>IF(B495&lt;(('Assumptions'!$C$47-'Assumptions'!$B$47)/('Assumptions'!$D$47-'Assumptions'!$B$47)),'Assumptions'!$B$47+SQRT(B495*('Assumptions'!$D$47-'Assumptions'!$B$47)*('Assumptions'!$C$47-'Assumptions'!$B$47)),'Assumptions'!$D$47-SQRT((1-B495)*('Assumptions'!$D$47-'Assumptions'!$B$47)*('Assumptions'!$D$47-'Assumptions'!$C$47)))</x:f>
        <x:v>0.027002022079034668</x:v>
      </x:c>
      <x:c r="H495" s="132" t="n">
        <x:f>IF(C495&lt;(('Assumptions'!$C$48-'Assumptions'!$B$48)/('Assumptions'!$D$48-'Assumptions'!$B$48)),'Assumptions'!$B$48+SQRT(C495*('Assumptions'!$D$48-'Assumptions'!$B$48)*('Assumptions'!$C$48-'Assumptions'!$B$48)),'Assumptions'!$D$48-SQRT((1-C495)*('Assumptions'!$D$48-'Assumptions'!$B$48)*('Assumptions'!$D$48-'Assumptions'!$C$48)))</x:f>
        <x:v>0.05921255567269168</x:v>
      </x:c>
      <x:c r="I495" s="132" t="n">
        <x:f>IF(D495&lt;(('Assumptions'!$C$49-'Assumptions'!$B$49)/('Assumptions'!$D$49-'Assumptions'!$B$49)),'Assumptions'!$B$49+SQRT(D495*('Assumptions'!$D$49-'Assumptions'!$B$49)*('Assumptions'!$C$49-'Assumptions'!$B$49)),'Assumptions'!$D$49-SQRT((1-D495)*('Assumptions'!$D$49-'Assumptions'!$B$49)*('Assumptions'!$D$49-'Assumptions'!$C$49)))</x:f>
        <x:v>0.04019800107377036</x:v>
      </x:c>
      <x:c r="J495" s="132" t="n">
        <x:f>IF(E495&lt;(('Assumptions'!$C$50-'Assumptions'!$B$50)/('Assumptions'!$D$50-'Assumptions'!$B$50)),'Assumptions'!$B$50+SQRT(E495*('Assumptions'!$D$50-'Assumptions'!$B$50)*('Assumptions'!$C$50-'Assumptions'!$B$50)),'Assumptions'!$D$50-SQRT((1-E495)*('Assumptions'!$D$50-'Assumptions'!$B$50)*('Assumptions'!$D$50-'Assumptions'!$C$50)))</x:f>
        <x:v>0.07148046693153795</x:v>
      </x:c>
      <x:c r="K495" s="132" t="n">
        <x:f>IF(F495&lt;(('Assumptions'!$C$51-'Assumptions'!$B$51)/('Assumptions'!$D$51-'Assumptions'!$B$51)),'Assumptions'!$B$51+SQRT(F495*('Assumptions'!$D$51-'Assumptions'!$B$51)*('Assumptions'!$C$51-'Assumptions'!$B$51)),'Assumptions'!$D$51-SQRT((1-F495)*('Assumptions'!$D$51-'Assumptions'!$B$51)*('Assumptions'!$D$51-'Assumptions'!$C$51)))</x:f>
        <x:v>0.0650739480687129</x:v>
      </x:c>
      <x:c r="L495" s="133" t="n">
        <x:f>(('Assumptions'!$B$17*(1+G495)+'Assumptions'!$B$18)*(1-H495-'Assumptions'!$B$20)-SUM('Assumptions'!$B$21:$B$25)*(1+I495))-(('Assumptions'!$B$17*(1+G495)+'Assumptions'!$B$18)*(1-H495-'Assumptions'!$B$20)*'Assumptions'!$B$26)</x:f>
        <x:v>215385.213925374</x:v>
      </x:c>
      <x:c r="M495" s="133" t="n">
        <x:f>'Assumptions'!$B$10*'Assumptions'!$B$33</x:f>
        <x:v>1950000</x:v>
      </x:c>
      <x:c r="N495" s="133" t="n">
        <x:f>-PMT(K495/12,'Assumptions'!$B$35*12,M495)*12</x:f>
        <x:v>148017.73471641738</x:v>
      </x:c>
      <x:c r="O495" s="133" t="n">
        <x:f>(L495*(1+'Assumptions'!$B$29)^('Assumptions'!$B$14/12)/J495)*(1-'Assumptions'!$B$42)-'Debt Schedule'!$F$9</x:f>
        <x:v>3283541.293127935</x:v>
      </x:c>
      <x:c r="P495" s="132" t="n">
        <x:f>((O495+(L495-N495-'Assumptions'!$B$27-'Assumptions'!$B$28)*('Assumptions'!$B$14/12))/ABS('Monthly Cash Flow'!$S$5))^(1/('Assumptions'!$B$14/12))-1</x:f>
        <x:v>0.2144913540691613</x:v>
      </x:c>
      <x:c r="Q495" s="133" t="n">
        <x:f>-ABS('Monthly Cash Flow'!$S$5)+((L495-N495-'Assumptions'!$B$27-'Assumptions'!$B$28)*(1-(1+'Assumptions'!$B$43)^-('Assumptions'!$B$14/12))/'Assumptions'!$B$43)+(O495/(1+'Assumptions'!$B$43)^('Assumptions'!$B$14/12))</x:f>
        <x:v>848065.0821457396</x:v>
      </x:c>
    </x:row>
    <x:row r="496">
      <x:c r="A496" s="131" t="n">
        <x:f>489</x:f>
        <x:v>489</x:v>
      </x:c>
      <x:c r="B496" s="131" t="n">
        <x:f>MOD(ABS(SIN((A496+1)*12.9898+78.233)*43758.5453),1)</x:f>
        <x:v>0.2585980027060941</x:v>
      </x:c>
      <x:c r="C496" s="131" t="n">
        <x:f>MOD(ABS(SIN((A496+2)*12.9898+78.233)*43758.5453),1)</x:f>
        <x:v>0.44182967739834567</x:v>
      </x:c>
      <x:c r="D496" s="131" t="n">
        <x:f>MOD(ABS(SIN((A496+3)*12.9898+78.233)*43758.5453),1)</x:f>
        <x:v>0.7419290890502452</x:v>
      </x:c>
      <x:c r="E496" s="131" t="n">
        <x:f>MOD(ABS(SIN((A496+4)*12.9898+78.233)*43758.5453),1)</x:f>
        <x:v>0.20859887035476277</x:v>
      </x:c>
      <x:c r="F496" s="131" t="n">
        <x:f>MOD(ABS(SIN((A496+5)*12.9898+78.233)*43758.5453),1)</x:f>
        <x:v>0.853486094296386</x:v>
      </x:c>
      <x:c r="G496" s="132" t="n">
        <x:f>IF(B496&lt;(('Assumptions'!$C$47-'Assumptions'!$B$47)/('Assumptions'!$D$47-'Assumptions'!$B$47)),'Assumptions'!$B$47+SQRT(B496*('Assumptions'!$D$47-'Assumptions'!$B$47)*('Assumptions'!$C$47-'Assumptions'!$B$47)),'Assumptions'!$D$47-SQRT((1-B496)*('Assumptions'!$D$47-'Assumptions'!$B$47)*('Assumptions'!$D$47-'Assumptions'!$C$47)))</x:f>
        <x:v>-0.02121959593308588</x:v>
      </x:c>
      <x:c r="H496" s="132" t="n">
        <x:f>IF(C496&lt;(('Assumptions'!$C$48-'Assumptions'!$B$48)/('Assumptions'!$D$48-'Assumptions'!$B$48)),'Assumptions'!$B$48+SQRT(C496*('Assumptions'!$D$48-'Assumptions'!$B$48)*('Assumptions'!$C$48-'Assumptions'!$B$48)),'Assumptions'!$D$48-SQRT((1-C496)*('Assumptions'!$D$48-'Assumptions'!$B$48)*('Assumptions'!$D$48-'Assumptions'!$C$48)))</x:f>
        <x:v>0.06991505982813027</x:v>
      </x:c>
      <x:c r="I496" s="132" t="n">
        <x:f>IF(D496&lt;(('Assumptions'!$C$49-'Assumptions'!$B$49)/('Assumptions'!$D$49-'Assumptions'!$B$49)),'Assumptions'!$B$49+SQRT(D496*('Assumptions'!$D$49-'Assumptions'!$B$49)*('Assumptions'!$C$49-'Assumptions'!$B$49)),'Assumptions'!$D$49-SQRT((1-D496)*('Assumptions'!$D$49-'Assumptions'!$B$49)*('Assumptions'!$D$49-'Assumptions'!$C$49)))</x:f>
        <x:v>0.07533855294387401</x:v>
      </x:c>
      <x:c r="J496" s="132" t="n">
        <x:f>IF(E496&lt;(('Assumptions'!$C$50-'Assumptions'!$B$50)/('Assumptions'!$D$50-'Assumptions'!$B$50)),'Assumptions'!$B$50+SQRT(E496*('Assumptions'!$D$50-'Assumptions'!$B$50)*('Assumptions'!$C$50-'Assumptions'!$B$50)),'Assumptions'!$D$50-SQRT((1-E496)*('Assumptions'!$D$50-'Assumptions'!$B$50)*('Assumptions'!$D$50-'Assumptions'!$C$50)))</x:f>
        <x:v>0.06435089379787934</x:v>
      </x:c>
      <x:c r="K496" s="132" t="n">
        <x:f>IF(F496&lt;(('Assumptions'!$C$51-'Assumptions'!$B$51)/('Assumptions'!$D$51-'Assumptions'!$B$51)),'Assumptions'!$B$51+SQRT(F496*('Assumptions'!$D$51-'Assumptions'!$B$51)*('Assumptions'!$C$51-'Assumptions'!$B$51)),'Assumptions'!$D$51-SQRT((1-F496)*('Assumptions'!$D$51-'Assumptions'!$B$51)*('Assumptions'!$D$51-'Assumptions'!$C$51)))</x:f>
        <x:v>0.07660298760749609</x:v>
      </x:c>
      <x:c r="L496" s="133" t="n">
        <x:f>(('Assumptions'!$B$17*(1+G496)+'Assumptions'!$B$18)*(1-H496-'Assumptions'!$B$20)-SUM('Assumptions'!$B$21:$B$25)*(1+I496))-(('Assumptions'!$B$17*(1+G496)+'Assumptions'!$B$18)*(1-H496-'Assumptions'!$B$20)*'Assumptions'!$B$26)</x:f>
        <x:v>191640.3295444225</x:v>
      </x:c>
      <x:c r="M496" s="133" t="n">
        <x:f>'Assumptions'!$B$10*'Assumptions'!$B$33</x:f>
        <x:v>1950000</x:v>
      </x:c>
      <x:c r="N496" s="133" t="n">
        <x:f>-PMT(K496/12,'Assumptions'!$B$35*12,M496)*12</x:f>
        <x:v>166192.31622887022</x:v>
      </x:c>
      <x:c r="O496" s="133" t="n">
        <x:f>(L496*(1+'Assumptions'!$B$29)^('Assumptions'!$B$14/12)/J496)*(1-'Assumptions'!$B$42)-'Debt Schedule'!$F$9</x:f>
        <x:v>3245236.132216239</x:v>
      </x:c>
      <x:c r="P496" s="132" t="n">
        <x:f>((O496+(L496-N496-'Assumptions'!$B$27-'Assumptions'!$B$28)*('Assumptions'!$B$14/12))/ABS('Monthly Cash Flow'!$S$5))^(1/('Assumptions'!$B$14/12))-1</x:f>
        <x:v>0.196352781213317</x:v>
      </x:c>
      <x:c r="Q496" s="133" t="n">
        <x:f>-ABS('Monthly Cash Flow'!$S$5)+((L496-N496-'Assumptions'!$B$27-'Assumptions'!$B$28)*(1-(1+'Assumptions'!$B$43)^-('Assumptions'!$B$14/12))/'Assumptions'!$B$43)+(O496/(1+'Assumptions'!$B$43)^('Assumptions'!$B$14/12))</x:f>
        <x:v>665372.8342630696</x:v>
      </x:c>
    </x:row>
    <x:row r="497">
      <x:c r="A497" s="131" t="n">
        <x:f>490</x:f>
        <x:v>490</x:v>
      </x:c>
      <x:c r="B497" s="131" t="n">
        <x:f>MOD(ABS(SIN((A497+1)*12.9898+78.233)*43758.5453),1)</x:f>
        <x:v>0.44182967739834567</x:v>
      </x:c>
      <x:c r="C497" s="131" t="n">
        <x:f>MOD(ABS(SIN((A497+2)*12.9898+78.233)*43758.5453),1)</x:f>
        <x:v>0.7419290890502452</x:v>
      </x:c>
      <x:c r="D497" s="131" t="n">
        <x:f>MOD(ABS(SIN((A497+3)*12.9898+78.233)*43758.5453),1)</x:f>
        <x:v>0.20859887035476277</x:v>
      </x:c>
      <x:c r="E497" s="131" t="n">
        <x:f>MOD(ABS(SIN((A497+4)*12.9898+78.233)*43758.5453),1)</x:f>
        <x:v>0.853486094296386</x:v>
      </x:c>
      <x:c r="F497" s="131" t="n">
        <x:f>MOD(ABS(SIN((A497+5)*12.9898+78.233)*43758.5453),1)</x:f>
        <x:v>0.5748440358147491</x:v>
      </x:c>
      <x:c r="G497" s="132" t="n">
        <x:f>IF(B497&lt;(('Assumptions'!$C$47-'Assumptions'!$B$47)/('Assumptions'!$D$47-'Assumptions'!$B$47)),'Assumptions'!$B$47+SQRT(B497*('Assumptions'!$D$47-'Assumptions'!$B$47)*('Assumptions'!$C$47-'Assumptions'!$B$47)),'Assumptions'!$D$47-SQRT((1-B497)*('Assumptions'!$D$47-'Assumptions'!$B$47)*('Assumptions'!$D$47-'Assumptions'!$C$47)))</x:f>
        <x:v>0.002975299259386943</x:v>
      </x:c>
      <x:c r="H497" s="132" t="n">
        <x:f>IF(C497&lt;(('Assumptions'!$C$48-'Assumptions'!$B$48)/('Assumptions'!$D$48-'Assumptions'!$B$48)),'Assumptions'!$B$48+SQRT(C497*('Assumptions'!$D$48-'Assumptions'!$B$48)*('Assumptions'!$C$48-'Assumptions'!$B$48)),'Assumptions'!$D$48-SQRT((1-C497)*('Assumptions'!$D$48-'Assumptions'!$B$48)*('Assumptions'!$D$48-'Assumptions'!$C$48)))</x:f>
        <x:v>0.09234473778943356</x:v>
      </x:c>
      <x:c r="I497" s="132" t="n">
        <x:f>IF(D497&lt;(('Assumptions'!$C$49-'Assumptions'!$B$49)/('Assumptions'!$D$49-'Assumptions'!$B$49)),'Assumptions'!$B$49+SQRT(D497*('Assumptions'!$D$49-'Assumptions'!$B$49)*('Assumptions'!$C$49-'Assumptions'!$B$49)),'Assumptions'!$D$49-SQRT((1-D497)*('Assumptions'!$D$49-'Assumptions'!$B$49)*('Assumptions'!$D$49-'Assumptions'!$C$49)))</x:f>
        <x:v>0.017464384540742103</x:v>
      </x:c>
      <x:c r="J497" s="132" t="n">
        <x:f>IF(E497&lt;(('Assumptions'!$C$50-'Assumptions'!$B$50)/('Assumptions'!$D$50-'Assumptions'!$B$50)),'Assumptions'!$B$50+SQRT(E497*('Assumptions'!$D$50-'Assumptions'!$B$50)*('Assumptions'!$C$50-'Assumptions'!$B$50)),'Assumptions'!$D$50-SQRT((1-E497)*('Assumptions'!$D$50-'Assumptions'!$B$50)*('Assumptions'!$D$50-'Assumptions'!$C$50)))</x:f>
        <x:v>0.07358072932654017</x:v>
      </x:c>
      <x:c r="K497" s="132" t="n">
        <x:f>IF(F497&lt;(('Assumptions'!$C$51-'Assumptions'!$B$51)/('Assumptions'!$D$51-'Assumptions'!$B$51)),'Assumptions'!$B$51+SQRT(F497*('Assumptions'!$D$51-'Assumptions'!$B$51)*('Assumptions'!$C$51-'Assumptions'!$B$51)),'Assumptions'!$D$51-SQRT((1-F497)*('Assumptions'!$D$51-'Assumptions'!$B$51)*('Assumptions'!$D$51-'Assumptions'!$C$51)))</x:f>
        <x:v>0.07069593387305023</x:v>
      </x:c>
      <x:c r="L497" s="133" t="n">
        <x:f>(('Assumptions'!$B$17*(1+G497)+'Assumptions'!$B$18)*(1-H497-'Assumptions'!$B$20)-SUM('Assumptions'!$B$21:$B$25)*(1+I497))-(('Assumptions'!$B$17*(1+G497)+'Assumptions'!$B$18)*(1-H497-'Assumptions'!$B$20)*'Assumptions'!$B$26)</x:f>
        <x:v>198463.65517236874</x:v>
      </x:c>
      <x:c r="M497" s="133" t="n">
        <x:f>'Assumptions'!$B$10*'Assumptions'!$B$33</x:f>
        <x:v>1950000</x:v>
      </x:c>
      <x:c r="N497" s="133" t="n">
        <x:f>-PMT(K497/12,'Assumptions'!$B$35*12,M497)*12</x:f>
        <x:v>156776.00066866557</x:v>
      </x:c>
      <x:c r="O497" s="133" t="n">
        <x:f>(L497*(1+'Assumptions'!$B$29)^('Assumptions'!$B$14/12)/J497)*(1-'Assumptions'!$B$42)-'Debt Schedule'!$F$9</x:f>
        <x:v>2939211.7461141623</x:v>
      </x:c>
      <x:c r="P497" s="132" t="n">
        <x:f>((O497+(L497-N497-'Assumptions'!$B$27-'Assumptions'!$B$28)*('Assumptions'!$B$14/12))/ABS('Monthly Cash Flow'!$S$5))^(1/('Assumptions'!$B$14/12))-1</x:f>
        <x:v>0.17889404120648122</x:v>
      </x:c>
      <x:c r="Q497" s="133" t="n">
        <x:f>-ABS('Monthly Cash Flow'!$S$5)+((L497-N497-'Assumptions'!$B$27-'Assumptions'!$B$28)*(1-(1+'Assumptions'!$B$43)^-('Assumptions'!$B$14/12))/'Assumptions'!$B$43)+(O497/(1+'Assumptions'!$B$43)^('Assumptions'!$B$14/12))</x:f>
        <x:v>536916.7845121853</x:v>
      </x:c>
    </x:row>
    <x:row r="498">
      <x:c r="A498" s="131" t="n">
        <x:f>491</x:f>
        <x:v>491</x:v>
      </x:c>
      <x:c r="B498" s="131" t="n">
        <x:f>MOD(ABS(SIN((A498+1)*12.9898+78.233)*43758.5453),1)</x:f>
        <x:v>0.7419290890502452</x:v>
      </x:c>
      <x:c r="C498" s="131" t="n">
        <x:f>MOD(ABS(SIN((A498+2)*12.9898+78.233)*43758.5453),1)</x:f>
        <x:v>0.20859887035476277</x:v>
      </x:c>
      <x:c r="D498" s="131" t="n">
        <x:f>MOD(ABS(SIN((A498+3)*12.9898+78.233)*43758.5453),1)</x:f>
        <x:v>0.853486094296386</x:v>
      </x:c>
      <x:c r="E498" s="131" t="n">
        <x:f>MOD(ABS(SIN((A498+4)*12.9898+78.233)*43758.5453),1)</x:f>
        <x:v>0.5748440358147491</x:v>
      </x:c>
      <x:c r="F498" s="131" t="n">
        <x:f>MOD(ABS(SIN((A498+5)*12.9898+78.233)*43758.5453),1)</x:f>
        <x:v>0.837839242460177</x:v>
      </x:c>
      <x:c r="G498" s="132" t="n">
        <x:f>IF(B498&lt;(('Assumptions'!$C$47-'Assumptions'!$B$47)/('Assumptions'!$D$47-'Assumptions'!$B$47)),'Assumptions'!$B$47+SQRT(B498*('Assumptions'!$D$47-'Assumptions'!$B$47)*('Assumptions'!$C$47-'Assumptions'!$B$47)),'Assumptions'!$D$47-SQRT((1-B498)*('Assumptions'!$D$47-'Assumptions'!$B$47)*('Assumptions'!$D$47-'Assumptions'!$C$47)))</x:f>
        <x:v>0.03574165754397274</x:v>
      </x:c>
      <x:c r="H498" s="132" t="n">
        <x:f>IF(C498&lt;(('Assumptions'!$C$48-'Assumptions'!$B$48)/('Assumptions'!$D$48-'Assumptions'!$B$48)),'Assumptions'!$B$48+SQRT(C498*('Assumptions'!$D$48-'Assumptions'!$B$48)*('Assumptions'!$C$48-'Assumptions'!$B$48)),'Assumptions'!$D$48-SQRT((1-C498)*('Assumptions'!$D$48-'Assumptions'!$B$48)*('Assumptions'!$D$48-'Assumptions'!$C$48)))</x:f>
        <x:v>0.056236925737797816</x:v>
      </x:c>
      <x:c r="I498" s="132" t="n">
        <x:f>IF(D498&lt;(('Assumptions'!$C$49-'Assumptions'!$B$49)/('Assumptions'!$D$49-'Assumptions'!$B$49)),'Assumptions'!$B$49+SQRT(D498*('Assumptions'!$D$49-'Assumptions'!$B$49)*('Assumptions'!$C$49-'Assumptions'!$B$49)),'Assumptions'!$D$49-SQRT((1-D498)*('Assumptions'!$D$49-'Assumptions'!$B$49)*('Assumptions'!$D$49-'Assumptions'!$C$49)))</x:f>
        <x:v>0.09374433039063473</x:v>
      </x:c>
      <x:c r="J498" s="132" t="n">
        <x:f>IF(E498&lt;(('Assumptions'!$C$50-'Assumptions'!$B$50)/('Assumptions'!$D$50-'Assumptions'!$B$50)),'Assumptions'!$B$50+SQRT(E498*('Assumptions'!$D$50-'Assumptions'!$B$50)*('Assumptions'!$C$50-'Assumptions'!$B$50)),'Assumptions'!$D$50-SQRT((1-E498)*('Assumptions'!$D$50-'Assumptions'!$B$50)*('Assumptions'!$D$50-'Assumptions'!$C$50)))</x:f>
        <x:v>0.06906495930839296</x:v>
      </x:c>
      <x:c r="K498" s="132" t="n">
        <x:f>IF(F498&lt;(('Assumptions'!$C$51-'Assumptions'!$B$51)/('Assumptions'!$D$51-'Assumptions'!$B$51)),'Assumptions'!$B$51+SQRT(F498*('Assumptions'!$D$51-'Assumptions'!$B$51)*('Assumptions'!$C$51-'Assumptions'!$B$51)),'Assumptions'!$D$51-SQRT((1-F498)*('Assumptions'!$D$51-'Assumptions'!$B$51)*('Assumptions'!$D$51-'Assumptions'!$C$51)))</x:f>
        <x:v>0.0761659825353331</x:v>
      </x:c>
      <x:c r="L498" s="133" t="n">
        <x:f>(('Assumptions'!$B$17*(1+G498)+'Assumptions'!$B$18)*(1-H498-'Assumptions'!$B$20)-SUM('Assumptions'!$B$21:$B$25)*(1+I498))-(('Assumptions'!$B$17*(1+G498)+'Assumptions'!$B$18)*(1-H498-'Assumptions'!$B$20)*'Assumptions'!$B$26)</x:f>
        <x:v>212566.29611254748</x:v>
      </x:c>
      <x:c r="M498" s="133" t="n">
        <x:f>'Assumptions'!$B$10*'Assumptions'!$B$33</x:f>
        <x:v>1950000</x:v>
      </x:c>
      <x:c r="N498" s="133" t="n">
        <x:f>-PMT(K498/12,'Assumptions'!$B$35*12,M498)*12</x:f>
        <x:v>165488.51219469437</x:v>
      </x:c>
      <x:c r="O498" s="133" t="n">
        <x:f>(L498*(1+'Assumptions'!$B$29)^('Assumptions'!$B$14/12)/J498)*(1-'Assumptions'!$B$42)-'Debt Schedule'!$F$9</x:f>
        <x:v>3353903.9580076723</x:v>
      </x:c>
      <x:c r="P498" s="132" t="n">
        <x:f>((O498+(L498-N498-'Assumptions'!$B$27-'Assumptions'!$B$28)*('Assumptions'!$B$14/12))/ABS('Monthly Cash Flow'!$S$5))^(1/('Assumptions'!$B$14/12))-1</x:f>
        <x:v>0.21227572512201176</x:v>
      </x:c>
      <x:c r="Q498" s="133" t="n">
        <x:f>-ABS('Monthly Cash Flow'!$S$5)+((L498-N498-'Assumptions'!$B$27-'Assumptions'!$B$28)*(1-(1+'Assumptions'!$B$43)^-('Assumptions'!$B$14/12))/'Assumptions'!$B$43)+(O498/(1+'Assumptions'!$B$43)^('Assumptions'!$B$14/12))</x:f>
        <x:v>814840.85265199</x:v>
      </x:c>
    </x:row>
    <x:row r="499">
      <x:c r="A499" s="131" t="n">
        <x:f>492</x:f>
        <x:v>492</x:v>
      </x:c>
      <x:c r="B499" s="131" t="n">
        <x:f>MOD(ABS(SIN((A499+1)*12.9898+78.233)*43758.5453),1)</x:f>
        <x:v>0.20859887035476277</x:v>
      </x:c>
      <x:c r="C499" s="131" t="n">
        <x:f>MOD(ABS(SIN((A499+2)*12.9898+78.233)*43758.5453),1)</x:f>
        <x:v>0.853486094296386</x:v>
      </x:c>
      <x:c r="D499" s="131" t="n">
        <x:f>MOD(ABS(SIN((A499+3)*12.9898+78.233)*43758.5453),1)</x:f>
        <x:v>0.5748440358147491</x:v>
      </x:c>
      <x:c r="E499" s="131" t="n">
        <x:f>MOD(ABS(SIN((A499+4)*12.9898+78.233)*43758.5453),1)</x:f>
        <x:v>0.837839242460177</x:v>
      </x:c>
      <x:c r="F499" s="131" t="n">
        <x:f>MOD(ABS(SIN((A499+5)*12.9898+78.233)*43758.5453),1)</x:f>
        <x:v>0.5085964570389478</x:v>
      </x:c>
      <x:c r="G499" s="132" t="n">
        <x:f>IF(B499&lt;(('Assumptions'!$C$47-'Assumptions'!$B$47)/('Assumptions'!$D$47-'Assumptions'!$B$47)),'Assumptions'!$B$47+SQRT(B499*('Assumptions'!$D$47-'Assumptions'!$B$47)*('Assumptions'!$C$47-'Assumptions'!$B$47)),'Assumptions'!$D$47-SQRT((1-B499)*('Assumptions'!$D$47-'Assumptions'!$B$47)*('Assumptions'!$D$47-'Assumptions'!$C$47)))</x:f>
        <x:v>-0.02924427310447368</x:v>
      </x:c>
      <x:c r="H499" s="132" t="n">
        <x:f>IF(C499&lt;(('Assumptions'!$C$48-'Assumptions'!$B$48)/('Assumptions'!$D$48-'Assumptions'!$B$48)),'Assumptions'!$B$48+SQRT(C499*('Assumptions'!$D$48-'Assumptions'!$B$48)*('Assumptions'!$C$48-'Assumptions'!$B$48)),'Assumptions'!$D$48-SQRT((1-C499)*('Assumptions'!$D$48-'Assumptions'!$B$48)*('Assumptions'!$D$48-'Assumptions'!$C$48)))</x:f>
        <x:v>0.1040928646340062</x:v>
      </x:c>
      <x:c r="I499" s="132" t="n">
        <x:f>IF(D499&lt;(('Assumptions'!$C$49-'Assumptions'!$B$49)/('Assumptions'!$D$49-'Assumptions'!$B$49)),'Assumptions'!$B$49+SQRT(D499*('Assumptions'!$D$49-'Assumptions'!$B$49)*('Assumptions'!$C$49-'Assumptions'!$B$49)),'Assumptions'!$D$49-SQRT((1-D499)*('Assumptions'!$D$49-'Assumptions'!$B$49)*('Assumptions'!$D$49-'Assumptions'!$C$49)))</x:f>
        <x:v>0.05417010473551889</x:v>
      </x:c>
      <x:c r="J499" s="132" t="n">
        <x:f>IF(E499&lt;(('Assumptions'!$C$50-'Assumptions'!$B$50)/('Assumptions'!$D$50-'Assumptions'!$B$50)),'Assumptions'!$B$50+SQRT(E499*('Assumptions'!$D$50-'Assumptions'!$B$50)*('Assumptions'!$C$50-'Assumptions'!$B$50)),'Assumptions'!$D$50-SQRT((1-E499)*('Assumptions'!$D$50-'Assumptions'!$B$50)*('Assumptions'!$D$50-'Assumptions'!$C$50)))</x:f>
        <x:v>0.07324665171503238</x:v>
      </x:c>
      <x:c r="K499" s="132" t="n">
        <x:f>IF(F499&lt;(('Assumptions'!$C$51-'Assumptions'!$B$51)/('Assumptions'!$D$51-'Assumptions'!$B$51)),'Assumptions'!$B$51+SQRT(F499*('Assumptions'!$D$51-'Assumptions'!$B$51)*('Assumptions'!$C$51-'Assumptions'!$B$51)),'Assumptions'!$D$51-SQRT((1-F499)*('Assumptions'!$D$51-'Assumptions'!$B$51)*('Assumptions'!$D$51-'Assumptions'!$C$51)))</x:f>
        <x:v>0.06962183512086029</x:v>
      </x:c>
      <x:c r="L499" s="133" t="n">
        <x:f>(('Assumptions'!$B$17*(1+G499)+'Assumptions'!$B$18)*(1-H499-'Assumptions'!$B$20)-SUM('Assumptions'!$B$21:$B$25)*(1+I499))-(('Assumptions'!$B$17*(1+G499)+'Assumptions'!$B$18)*(1-H499-'Assumptions'!$B$20)*'Assumptions'!$B$26)</x:f>
        <x:v>179698.8434357228</x:v>
      </x:c>
      <x:c r="M499" s="133" t="n">
        <x:f>'Assumptions'!$B$10*'Assumptions'!$B$33</x:f>
        <x:v>1950000</x:v>
      </x:c>
      <x:c r="N499" s="133" t="n">
        <x:f>-PMT(K499/12,'Assumptions'!$B$35*12,M499)*12</x:f>
        <x:v>155086.93824803882</x:v>
      </x:c>
      <x:c r="O499" s="133" t="n">
        <x:f>(L499*(1+'Assumptions'!$B$29)^('Assumptions'!$B$14/12)/J499)*(1-'Assumptions'!$B$42)-'Debt Schedule'!$F$9</x:f>
        <x:v>2673446.405659199</x:v>
      </x:c>
      <x:c r="P499" s="132" t="n">
        <x:f>((O499+(L499-N499-'Assumptions'!$B$27-'Assumptions'!$B$28)*('Assumptions'!$B$14/12))/ABS('Monthly Cash Flow'!$S$5))^(1/('Assumptions'!$B$14/12))-1</x:f>
        <x:v>0.14936363656871832</x:v>
      </x:c>
      <x:c r="Q499" s="133" t="n">
        <x:f>-ABS('Monthly Cash Flow'!$S$5)+((L499-N499-'Assumptions'!$B$27-'Assumptions'!$B$28)*(1-(1+'Assumptions'!$B$43)^-('Assumptions'!$B$14/12))/'Assumptions'!$B$43)+(O499/(1+'Assumptions'!$B$43)^('Assumptions'!$B$14/12))</x:f>
        <x:v>307166.89310872206</x:v>
      </x:c>
    </x:row>
    <x:row r="500">
      <x:c r="A500" s="131" t="n">
        <x:f>493</x:f>
        <x:v>493</x:v>
      </x:c>
      <x:c r="B500" s="131" t="n">
        <x:f>MOD(ABS(SIN((A500+1)*12.9898+78.233)*43758.5453),1)</x:f>
        <x:v>0.853486094296386</x:v>
      </x:c>
      <x:c r="C500" s="131" t="n">
        <x:f>MOD(ABS(SIN((A500+2)*12.9898+78.233)*43758.5453),1)</x:f>
        <x:v>0.5748440358147491</x:v>
      </x:c>
      <x:c r="D500" s="131" t="n">
        <x:f>MOD(ABS(SIN((A500+3)*12.9898+78.233)*43758.5453),1)</x:f>
        <x:v>0.837839242460177</x:v>
      </x:c>
      <x:c r="E500" s="131" t="n">
        <x:f>MOD(ABS(SIN((A500+4)*12.9898+78.233)*43758.5453),1)</x:f>
        <x:v>0.5085964570389478</x:v>
      </x:c>
      <x:c r="F500" s="131" t="n">
        <x:f>MOD(ABS(SIN((A500+5)*12.9898+78.233)*43758.5453),1)</x:f>
        <x:v>0.7021544608219301</x:v>
      </x:c>
      <x:c r="G500" s="132" t="n">
        <x:f>IF(B500&lt;(('Assumptions'!$C$47-'Assumptions'!$B$47)/('Assumptions'!$D$47-'Assumptions'!$B$47)),'Assumptions'!$B$47+SQRT(B500*('Assumptions'!$D$47-'Assumptions'!$B$47)*('Assumptions'!$C$47-'Assumptions'!$B$47)),'Assumptions'!$D$47-SQRT((1-B500)*('Assumptions'!$D$47-'Assumptions'!$B$47)*('Assumptions'!$D$47-'Assumptions'!$C$47)))</x:f>
        <x:v>0.05158282854959592</x:v>
      </x:c>
      <x:c r="H500" s="132" t="n">
        <x:f>IF(C500&lt;(('Assumptions'!$C$48-'Assumptions'!$B$48)/('Assumptions'!$D$48-'Assumptions'!$B$48)),'Assumptions'!$B$48+SQRT(C500*('Assumptions'!$D$48-'Assumptions'!$B$48)*('Assumptions'!$C$48-'Assumptions'!$B$48)),'Assumptions'!$D$48-SQRT((1-C500)*('Assumptions'!$D$48-'Assumptions'!$B$48)*('Assumptions'!$D$48-'Assumptions'!$C$48)))</x:f>
        <x:v>0.07883324036022336</x:v>
      </x:c>
      <x:c r="I500" s="132" t="n">
        <x:f>IF(D500&lt;(('Assumptions'!$C$49-'Assumptions'!$B$49)/('Assumptions'!$D$49-'Assumptions'!$B$49)),'Assumptions'!$B$49+SQRT(D500*('Assumptions'!$D$49-'Assumptions'!$B$49)*('Assumptions'!$C$49-'Assumptions'!$B$49)),'Assumptions'!$D$49-SQRT((1-D500)*('Assumptions'!$D$49-'Assumptions'!$B$49)*('Assumptions'!$D$49-'Assumptions'!$C$49)))</x:f>
        <x:v>0.09081662089015044</x:v>
      </x:c>
      <x:c r="J500" s="132" t="n">
        <x:f>IF(E500&lt;(('Assumptions'!$C$50-'Assumptions'!$B$50)/('Assumptions'!$D$50-'Assumptions'!$B$50)),'Assumptions'!$B$50+SQRT(E500*('Assumptions'!$D$50-'Assumptions'!$B$50)*('Assumptions'!$C$50-'Assumptions'!$B$50)),'Assumptions'!$D$50-SQRT((1-E500)*('Assumptions'!$D$50-'Assumptions'!$B$50)*('Assumptions'!$D$50-'Assumptions'!$C$50)))</x:f>
        <x:v>0.06824384218982257</x:v>
      </x:c>
      <x:c r="K500" s="132" t="n">
        <x:f>IF(F500&lt;(('Assumptions'!$C$51-'Assumptions'!$B$51)/('Assumptions'!$D$51-'Assumptions'!$B$51)),'Assumptions'!$B$51+SQRT(F500*('Assumptions'!$D$51-'Assumptions'!$B$51)*('Assumptions'!$C$51-'Assumptions'!$B$51)),'Assumptions'!$D$51-SQRT((1-F500)*('Assumptions'!$D$51-'Assumptions'!$B$51)*('Assumptions'!$D$51-'Assumptions'!$C$51)))</x:f>
        <x:v>0.07302760818677212</x:v>
      </x:c>
      <x:c r="L500" s="133" t="n">
        <x:f>(('Assumptions'!$B$17*(1+G500)+'Assumptions'!$B$18)*(1-H500-'Assumptions'!$B$20)-SUM('Assumptions'!$B$21:$B$25)*(1+I500))-(('Assumptions'!$B$17*(1+G500)+'Assumptions'!$B$18)*(1-H500-'Assumptions'!$B$20)*'Assumptions'!$B$26)</x:f>
        <x:v>209444.6926073621</x:v>
      </x:c>
      <x:c r="M500" s="133" t="n">
        <x:f>'Assumptions'!$B$10*'Assumptions'!$B$33</x:f>
        <x:v>1950000</x:v>
      </x:c>
      <x:c r="N500" s="133" t="n">
        <x:f>-PMT(K500/12,'Assumptions'!$B$35*12,M500)*12</x:f>
        <x:v>160467.50289297913</x:v>
      </x:c>
      <x:c r="O500" s="133" t="n">
        <x:f>(L500*(1+'Assumptions'!$B$29)^('Assumptions'!$B$14/12)/J500)*(1-'Assumptions'!$B$42)-'Debt Schedule'!$F$9</x:f>
        <x:v>3344412.7219014997</x:v>
      </x:c>
      <x:c r="P500" s="132" t="n">
        <x:f>((O500+(L500-N500-'Assumptions'!$B$27-'Assumptions'!$B$28)*('Assumptions'!$B$14/12))/ABS('Monthly Cash Flow'!$S$5))^(1/('Assumptions'!$B$14/12))-1</x:f>
        <x:v>0.21227613951870072</x:v>
      </x:c>
      <x:c r="Q500" s="133" t="n">
        <x:f>-ABS('Monthly Cash Flow'!$S$5)+((L500-N500-'Assumptions'!$B$27-'Assumptions'!$B$28)*(1-(1+'Assumptions'!$B$43)^-('Assumptions'!$B$14/12))/'Assumptions'!$B$43)+(O500/(1+'Assumptions'!$B$43)^('Assumptions'!$B$14/12))</x:f>
        <x:v>816147.7841347016</x:v>
      </x:c>
    </x:row>
    <x:row r="501">
      <x:c r="A501" s="131" t="n">
        <x:f>494</x:f>
        <x:v>494</x:v>
      </x:c>
      <x:c r="B501" s="131" t="n">
        <x:f>MOD(ABS(SIN((A501+1)*12.9898+78.233)*43758.5453),1)</x:f>
        <x:v>0.5748440358147491</x:v>
      </x:c>
      <x:c r="C501" s="131" t="n">
        <x:f>MOD(ABS(SIN((A501+2)*12.9898+78.233)*43758.5453),1)</x:f>
        <x:v>0.837839242460177</x:v>
      </x:c>
      <x:c r="D501" s="131" t="n">
        <x:f>MOD(ABS(SIN((A501+3)*12.9898+78.233)*43758.5453),1)</x:f>
        <x:v>0.5085964570389478</x:v>
      </x:c>
      <x:c r="E501" s="131" t="n">
        <x:f>MOD(ABS(SIN((A501+4)*12.9898+78.233)*43758.5453),1)</x:f>
        <x:v>0.7021544608219301</x:v>
      </x:c>
      <x:c r="F501" s="131" t="n">
        <x:f>MOD(ABS(SIN((A501+5)*12.9898+78.233)*43758.5453),1)</x:f>
        <x:v>0.09598194710270036</x:v>
      </x:c>
      <x:c r="G501" s="132" t="n">
        <x:f>IF(B501&lt;(('Assumptions'!$C$47-'Assumptions'!$B$47)/('Assumptions'!$D$47-'Assumptions'!$B$47)),'Assumptions'!$B$47+SQRT(B501*('Assumptions'!$D$47-'Assumptions'!$B$47)*('Assumptions'!$C$47-'Assumptions'!$B$47)),'Assumptions'!$D$47-SQRT((1-B501)*('Assumptions'!$D$47-'Assumptions'!$B$47)*('Assumptions'!$D$47-'Assumptions'!$C$47)))</x:f>
        <x:v>0.017457468300461756</x:v>
      </x:c>
      <x:c r="H501" s="132" t="n">
        <x:f>IF(C501&lt;(('Assumptions'!$C$48-'Assumptions'!$B$48)/('Assumptions'!$D$48-'Assumptions'!$B$48)),'Assumptions'!$B$48+SQRT(C501*('Assumptions'!$D$48-'Assumptions'!$B$48)*('Assumptions'!$C$48-'Assumptions'!$B$48)),'Assumptions'!$D$48-SQRT((1-C501)*('Assumptions'!$D$48-'Assumptions'!$B$48)*('Assumptions'!$D$48-'Assumptions'!$C$48)))</x:f>
        <x:v>0.10222415234107325</x:v>
      </x:c>
      <x:c r="I501" s="132" t="n">
        <x:f>IF(D501&lt;(('Assumptions'!$C$49-'Assumptions'!$B$49)/('Assumptions'!$D$49-'Assumptions'!$B$49)),'Assumptions'!$B$49+SQRT(D501*('Assumptions'!$D$49-'Assumptions'!$B$49)*('Assumptions'!$C$49-'Assumptions'!$B$49)),'Assumptions'!$D$49-SQRT((1-D501)*('Assumptions'!$D$49-'Assumptions'!$B$49)*('Assumptions'!$D$49-'Assumptions'!$C$49)))</x:f>
        <x:v>0.0469741948444045</x:v>
      </x:c>
      <x:c r="J501" s="132" t="n">
        <x:f>IF(E501&lt;(('Assumptions'!$C$50-'Assumptions'!$B$50)/('Assumptions'!$D$50-'Assumptions'!$B$50)),'Assumptions'!$B$50+SQRT(E501*('Assumptions'!$D$50-'Assumptions'!$B$50)*('Assumptions'!$C$50-'Assumptions'!$B$50)),'Assumptions'!$D$50-SQRT((1-E501)*('Assumptions'!$D$50-'Assumptions'!$B$50)*('Assumptions'!$D$50-'Assumptions'!$C$50)))</x:f>
        <x:v>0.07084745620639638</x:v>
      </x:c>
      <x:c r="K501" s="132" t="n">
        <x:f>IF(F501&lt;(('Assumptions'!$C$51-'Assumptions'!$B$51)/('Assumptions'!$D$51-'Assumptions'!$B$51)),'Assumptions'!$B$51+SQRT(F501*('Assumptions'!$D$51-'Assumptions'!$B$51)*('Assumptions'!$C$51-'Assumptions'!$B$51)),'Assumptions'!$D$51-SQRT((1-F501)*('Assumptions'!$D$51-'Assumptions'!$B$51)*('Assumptions'!$D$51-'Assumptions'!$C$51)))</x:f>
        <x:v>0.0626376098969504</x:v>
      </x:c>
      <x:c r="L501" s="133" t="n">
        <x:f>(('Assumptions'!$B$17*(1+G501)+'Assumptions'!$B$18)*(1-H501-'Assumptions'!$B$20)-SUM('Assumptions'!$B$21:$B$25)*(1+I501))-(('Assumptions'!$B$17*(1+G501)+'Assumptions'!$B$18)*(1-H501-'Assumptions'!$B$20)*'Assumptions'!$B$26)</x:f>
        <x:v>195593.5699971628</x:v>
      </x:c>
      <x:c r="M501" s="133" t="n">
        <x:f>'Assumptions'!$B$10*'Assumptions'!$B$33</x:f>
        <x:v>1950000</x:v>
      </x:c>
      <x:c r="N501" s="133" t="n">
        <x:f>-PMT(K501/12,'Assumptions'!$B$35*12,M501)*12</x:f>
        <x:v>144287.31797063007</x:v>
      </x:c>
      <x:c r="O501" s="133" t="n">
        <x:f>(L501*(1+'Assumptions'!$B$29)^('Assumptions'!$B$14/12)/J501)*(1-'Assumptions'!$B$42)-'Debt Schedule'!$F$9</x:f>
        <x:v>3008460.3304416216</x:v>
      </x:c>
      <x:c r="P501" s="132" t="n">
        <x:f>((O501+(L501-N501-'Assumptions'!$B$27-'Assumptions'!$B$28)*('Assumptions'!$B$14/12))/ABS('Monthly Cash Flow'!$S$5))^(1/('Assumptions'!$B$14/12))-1</x:f>
        <x:v>0.18813406166836466</x:v>
      </x:c>
      <x:c r="Q501" s="133" t="n">
        <x:f>-ABS('Monthly Cash Flow'!$S$5)+((L501-N501-'Assumptions'!$B$27-'Assumptions'!$B$28)*(1-(1+'Assumptions'!$B$43)^-('Assumptions'!$B$14/12))/'Assumptions'!$B$43)+(O501/(1+'Assumptions'!$B$43)^('Assumptions'!$B$14/12))</x:f>
        <x:v>616376.7593425717</x:v>
      </x:c>
    </x:row>
    <x:row r="502">
      <x:c r="A502" s="131" t="n">
        <x:f>495</x:f>
        <x:v>495</x:v>
      </x:c>
      <x:c r="B502" s="131" t="n">
        <x:f>MOD(ABS(SIN((A502+1)*12.9898+78.233)*43758.5453),1)</x:f>
        <x:v>0.837839242460177</x:v>
      </x:c>
      <x:c r="C502" s="131" t="n">
        <x:f>MOD(ABS(SIN((A502+2)*12.9898+78.233)*43758.5453),1)</x:f>
        <x:v>0.5085964570389478</x:v>
      </x:c>
      <x:c r="D502" s="131" t="n">
        <x:f>MOD(ABS(SIN((A502+3)*12.9898+78.233)*43758.5453),1)</x:f>
        <x:v>0.7021544608219301</x:v>
      </x:c>
      <x:c r="E502" s="131" t="n">
        <x:f>MOD(ABS(SIN((A502+4)*12.9898+78.233)*43758.5453),1)</x:f>
        <x:v>0.09598194710270036</x:v>
      </x:c>
      <x:c r="F502" s="131" t="n">
        <x:f>MOD(ABS(SIN((A502+5)*12.9898+78.233)*43758.5453),1)</x:f>
        <x:v>0.32750116567331133</x:v>
      </x:c>
      <x:c r="G502" s="132" t="n">
        <x:f>IF(B502&lt;(('Assumptions'!$C$47-'Assumptions'!$B$47)/('Assumptions'!$D$47-'Assumptions'!$B$47)),'Assumptions'!$B$47+SQRT(B502*('Assumptions'!$D$47-'Assumptions'!$B$47)*('Assumptions'!$C$47-'Assumptions'!$B$47)),'Assumptions'!$D$47-SQRT((1-B502)*('Assumptions'!$D$47-'Assumptions'!$B$47)*('Assumptions'!$D$47-'Assumptions'!$C$47)))</x:f>
        <x:v>0.049063057407838395</x:v>
      </x:c>
      <x:c r="H502" s="132" t="n">
        <x:f>IF(C502&lt;(('Assumptions'!$C$48-'Assumptions'!$B$48)/('Assumptions'!$D$48-'Assumptions'!$B$48)),'Assumptions'!$B$48+SQRT(C502*('Assumptions'!$D$48-'Assumptions'!$B$48)*('Assumptions'!$C$48-'Assumptions'!$B$48)),'Assumptions'!$D$48-SQRT((1-C502)*('Assumptions'!$D$48-'Assumptions'!$B$48)*('Assumptions'!$D$48-'Assumptions'!$C$48)))</x:f>
        <x:v>0.07424020089707345</x:v>
      </x:c>
      <x:c r="I502" s="132" t="n">
        <x:f>IF(D502&lt;(('Assumptions'!$C$49-'Assumptions'!$B$49)/('Assumptions'!$D$49-'Assumptions'!$B$49)),'Assumptions'!$B$49+SQRT(D502*('Assumptions'!$D$49-'Assumptions'!$B$49)*('Assumptions'!$C$49-'Assumptions'!$B$49)),'Assumptions'!$D$49-SQRT((1-D502)*('Assumptions'!$D$49-'Assumptions'!$B$49)*('Assumptions'!$D$49-'Assumptions'!$C$49)))</x:f>
        <x:v>0.06979112489103023</x:v>
      </x:c>
      <x:c r="J502" s="132" t="n">
        <x:f>IF(E502&lt;(('Assumptions'!$C$50-'Assumptions'!$B$50)/('Assumptions'!$D$50-'Assumptions'!$B$50)),'Assumptions'!$B$50+SQRT(E502*('Assumptions'!$D$50-'Assumptions'!$B$50)*('Assumptions'!$C$50-'Assumptions'!$B$50)),'Assumptions'!$D$50-SQRT((1-E502)*('Assumptions'!$D$50-'Assumptions'!$B$50)*('Assumptions'!$D$50-'Assumptions'!$C$50)))</x:f>
        <x:v>0.062147143003836613</x:v>
      </x:c>
      <x:c r="K502" s="132" t="n">
        <x:f>IF(F502&lt;(('Assumptions'!$C$51-'Assumptions'!$B$51)/('Assumptions'!$D$51-'Assumptions'!$B$51)),'Assumptions'!$B$51+SQRT(F502*('Assumptions'!$D$51-'Assumptions'!$B$51)*('Assumptions'!$C$51-'Assumptions'!$B$51)),'Assumptions'!$D$51-SQRT((1-F502)*('Assumptions'!$D$51-'Assumptions'!$B$51)*('Assumptions'!$D$51-'Assumptions'!$C$51)))</x:f>
        <x:v>0.06699014333717677</x:v>
      </x:c>
      <x:c r="L502" s="133" t="n">
        <x:f>(('Assumptions'!$B$17*(1+G502)+'Assumptions'!$B$18)*(1-H502-'Assumptions'!$B$20)-SUM('Assumptions'!$B$21:$B$25)*(1+I502))-(('Assumptions'!$B$17*(1+G502)+'Assumptions'!$B$18)*(1-H502-'Assumptions'!$B$20)*'Assumptions'!$B$26)</x:f>
        <x:v>213045.03372789346</x:v>
      </x:c>
      <x:c r="M502" s="133" t="n">
        <x:f>'Assumptions'!$B$10*'Assumptions'!$B$33</x:f>
        <x:v>1950000</x:v>
      </x:c>
      <x:c r="N502" s="133" t="n">
        <x:f>-PMT(K502/12,'Assumptions'!$B$35*12,M502)*12</x:f>
        <x:v>150979.74788884303</x:v>
      </x:c>
      <x:c r="O502" s="133" t="n">
        <x:f>(L502*(1+'Assumptions'!$B$29)^('Assumptions'!$B$14/12)/J502)*(1-'Assumptions'!$B$42)-'Debt Schedule'!$F$9</x:f>
        <x:v>3735633.176077568</x:v>
      </x:c>
      <x:c r="P502" s="132" t="n">
        <x:f>((O502+(L502-N502-'Assumptions'!$B$27-'Assumptions'!$B$28)*('Assumptions'!$B$14/12))/ABS('Monthly Cash Flow'!$S$5))^(1/('Assumptions'!$B$14/12))-1</x:f>
        <x:v>0.24331316636034894</x:v>
      </x:c>
      <x:c r="Q502" s="133" t="n">
        <x:f>-ABS('Monthly Cash Flow'!$S$5)+((L502-N502-'Assumptions'!$B$27-'Assumptions'!$B$28)*(1-(1+'Assumptions'!$B$43)^-('Assumptions'!$B$14/12))/'Assumptions'!$B$43)+(O502/(1+'Assumptions'!$B$43)^('Assumptions'!$B$14/12))</x:f>
        <x:v>1108679.0877756444</x:v>
      </x:c>
    </x:row>
    <x:row r="503">
      <x:c r="A503" s="131" t="n">
        <x:f>496</x:f>
        <x:v>496</x:v>
      </x:c>
      <x:c r="B503" s="131" t="n">
        <x:f>MOD(ABS(SIN((A503+1)*12.9898+78.233)*43758.5453),1)</x:f>
        <x:v>0.5085964570389478</x:v>
      </x:c>
      <x:c r="C503" s="131" t="n">
        <x:f>MOD(ABS(SIN((A503+2)*12.9898+78.233)*43758.5453),1)</x:f>
        <x:v>0.7021544608219301</x:v>
      </x:c>
      <x:c r="D503" s="131" t="n">
        <x:f>MOD(ABS(SIN((A503+3)*12.9898+78.233)*43758.5453),1)</x:f>
        <x:v>0.09598194710270036</x:v>
      </x:c>
      <x:c r="E503" s="131" t="n">
        <x:f>MOD(ABS(SIN((A503+4)*12.9898+78.233)*43758.5453),1)</x:f>
        <x:v>0.32750116567331133</x:v>
      </x:c>
      <x:c r="F503" s="131" t="n">
        <x:f>MOD(ABS(SIN((A503+5)*12.9898+78.233)*43758.5453),1)</x:f>
        <x:v>0.8431759164086543</x:v>
      </x:c>
      <x:c r="G503" s="132" t="n">
        <x:f>IF(B503&lt;(('Assumptions'!$C$47-'Assumptions'!$B$47)/('Assumptions'!$D$47-'Assumptions'!$B$47)),'Assumptions'!$B$47+SQRT(B503*('Assumptions'!$D$47-'Assumptions'!$B$47)*('Assumptions'!$C$47-'Assumptions'!$B$47)),'Assumptions'!$D$47-SQRT((1-B503)*('Assumptions'!$D$47-'Assumptions'!$B$47)*('Assumptions'!$D$47-'Assumptions'!$C$47)))</x:f>
        <x:v>0.010482192994775166</x:v>
      </x:c>
      <x:c r="H503" s="132" t="n">
        <x:f>IF(C503&lt;(('Assumptions'!$C$48-'Assumptions'!$B$48)/('Assumptions'!$D$48-'Assumptions'!$B$48)),'Assumptions'!$B$48+SQRT(C503*('Assumptions'!$D$48-'Assumptions'!$B$48)*('Assumptions'!$C$48-'Assumptions'!$B$48)),'Assumptions'!$D$48-SQRT((1-C503)*('Assumptions'!$D$48-'Assumptions'!$B$48)*('Assumptions'!$D$48-'Assumptions'!$C$48)))</x:f>
        <x:v>0.08880389912535316</x:v>
      </x:c>
      <x:c r="I503" s="132" t="n">
        <x:f>IF(D503&lt;(('Assumptions'!$C$49-'Assumptions'!$B$49)/('Assumptions'!$D$49-'Assumptions'!$B$49)),'Assumptions'!$B$49+SQRT(D503*('Assumptions'!$D$49-'Assumptions'!$B$49)*('Assumptions'!$C$49-'Assumptions'!$B$49)),'Assumptions'!$D$49-SQRT((1-D503)*('Assumptions'!$D$49-'Assumptions'!$B$49)*('Assumptions'!$D$49-'Assumptions'!$C$49)))</x:f>
        <x:v>0.002196351170733059</x:v>
      </x:c>
      <x:c r="J503" s="132" t="n">
        <x:f>IF(E503&lt;(('Assumptions'!$C$50-'Assumptions'!$B$50)/('Assumptions'!$D$50-'Assumptions'!$B$50)),'Assumptions'!$B$50+SQRT(E503*('Assumptions'!$D$50-'Assumptions'!$B$50)*('Assumptions'!$C$50-'Assumptions'!$B$50)),'Assumptions'!$D$50-SQRT((1-E503)*('Assumptions'!$D$50-'Assumptions'!$B$50)*('Assumptions'!$D$50-'Assumptions'!$C$50)))</x:f>
        <x:v>0.06608415763348362</x:v>
      </x:c>
      <x:c r="K503" s="132" t="n">
        <x:f>IF(F503&lt;(('Assumptions'!$C$51-'Assumptions'!$B$51)/('Assumptions'!$D$51-'Assumptions'!$B$51)),'Assumptions'!$B$51+SQRT(F503*('Assumptions'!$D$51-'Assumptions'!$B$51)*('Assumptions'!$C$51-'Assumptions'!$B$51)),'Assumptions'!$D$51-SQRT((1-F503)*('Assumptions'!$D$51-'Assumptions'!$B$51)*('Assumptions'!$D$51-'Assumptions'!$C$51)))</x:f>
        <x:v>0.07631256135398154</x:v>
      </x:c>
      <x:c r="L503" s="133" t="n">
        <x:f>(('Assumptions'!$B$17*(1+G503)+'Assumptions'!$B$18)*(1-H503-'Assumptions'!$B$20)-SUM('Assumptions'!$B$21:$B$25)*(1+I503))-(('Assumptions'!$B$17*(1+G503)+'Assumptions'!$B$18)*(1-H503-'Assumptions'!$B$20)*'Assumptions'!$B$26)</x:f>
        <x:v>204014.01519690265</x:v>
      </x:c>
      <x:c r="M503" s="133" t="n">
        <x:f>'Assumptions'!$B$10*'Assumptions'!$B$33</x:f>
        <x:v>1950000</x:v>
      </x:c>
      <x:c r="N503" s="133" t="n">
        <x:f>-PMT(K503/12,'Assumptions'!$B$35*12,M503)*12</x:f>
        <x:v>165724.45487396707</x:v>
      </x:c>
      <x:c r="O503" s="133" t="n">
        <x:f>(L503*(1+'Assumptions'!$B$29)^('Assumptions'!$B$14/12)/J503)*(1-'Assumptions'!$B$42)-'Debt Schedule'!$F$9</x:f>
        <x:v>3364159.8388518197</x:v>
      </x:c>
      <x:c r="P503" s="132" t="n">
        <x:f>((O503+(L503-N503-'Assumptions'!$B$27-'Assumptions'!$B$28)*('Assumptions'!$B$14/12))/ABS('Monthly Cash Flow'!$S$5))^(1/('Assumptions'!$B$14/12))-1</x:f>
        <x:v>0.20985639378334264</x:v>
      </x:c>
      <x:c r="Q503" s="133" t="n">
        <x:f>-ABS('Monthly Cash Flow'!$S$5)+((L503-N503-'Assumptions'!$B$27-'Assumptions'!$B$28)*(1-(1+'Assumptions'!$B$43)^-('Assumptions'!$B$14/12))/'Assumptions'!$B$43)+(O503/(1+'Assumptions'!$B$43)^('Assumptions'!$B$14/12))</x:f>
        <x:v>787894.6660246584</x:v>
      </x:c>
    </x:row>
    <x:row r="504">
      <x:c r="A504" s="131" t="n">
        <x:f>497</x:f>
        <x:v>497</x:v>
      </x:c>
      <x:c r="B504" s="131" t="n">
        <x:f>MOD(ABS(SIN((A504+1)*12.9898+78.233)*43758.5453),1)</x:f>
        <x:v>0.7021544608219301</x:v>
      </x:c>
      <x:c r="C504" s="131" t="n">
        <x:f>MOD(ABS(SIN((A504+2)*12.9898+78.233)*43758.5453),1)</x:f>
        <x:v>0.09598194710270036</x:v>
      </x:c>
      <x:c r="D504" s="131" t="n">
        <x:f>MOD(ABS(SIN((A504+3)*12.9898+78.233)*43758.5453),1)</x:f>
        <x:v>0.32750116567331133</x:v>
      </x:c>
      <x:c r="E504" s="131" t="n">
        <x:f>MOD(ABS(SIN((A504+4)*12.9898+78.233)*43758.5453),1)</x:f>
        <x:v>0.8431759164086543</x:v>
      </x:c>
      <x:c r="F504" s="131" t="n">
        <x:f>MOD(ABS(SIN((A504+5)*12.9898+78.233)*43758.5453),1)</x:f>
        <x:v>0.19439464891183889</x:v>
      </x:c>
      <x:c r="G504" s="132" t="n">
        <x:f>IF(B504&lt;(('Assumptions'!$C$47-'Assumptions'!$B$47)/('Assumptions'!$D$47-'Assumptions'!$B$47)),'Assumptions'!$B$47+SQRT(B504*('Assumptions'!$D$47-'Assumptions'!$B$47)*('Assumptions'!$C$47-'Assumptions'!$B$47)),'Assumptions'!$D$47-SQRT((1-B504)*('Assumptions'!$D$47-'Assumptions'!$B$47)*('Assumptions'!$D$47-'Assumptions'!$C$47)))</x:f>
        <x:v>0.03096719166331767</x:v>
      </x:c>
      <x:c r="H504" s="132" t="n">
        <x:f>IF(C504&lt;(('Assumptions'!$C$48-'Assumptions'!$B$48)/('Assumptions'!$D$48-'Assumptions'!$B$48)),'Assumptions'!$B$48+SQRT(C504*('Assumptions'!$D$48-'Assumptions'!$B$48)*('Assumptions'!$C$48-'Assumptions'!$B$48)),'Assumptions'!$D$48-SQRT((1-C504)*('Assumptions'!$D$48-'Assumptions'!$B$48)*('Assumptions'!$D$48-'Assumptions'!$C$48)))</x:f>
        <x:v>0.04779720274197356</x:v>
      </x:c>
      <x:c r="I504" s="132" t="n">
        <x:f>IF(D504&lt;(('Assumptions'!$C$49-'Assumptions'!$B$49)/('Assumptions'!$D$49-'Assumptions'!$B$49)),'Assumptions'!$B$49+SQRT(D504*('Assumptions'!$D$49-'Assumptions'!$B$49)*('Assumptions'!$C$49-'Assumptions'!$B$49)),'Assumptions'!$D$49-SQRT((1-D504)*('Assumptions'!$D$49-'Assumptions'!$B$49)*('Assumptions'!$D$49-'Assumptions'!$C$49)))</x:f>
        <x:v>0.029472788645495365</x:v>
      </x:c>
      <x:c r="J504" s="132" t="n">
        <x:f>IF(E504&lt;(('Assumptions'!$C$50-'Assumptions'!$B$50)/('Assumptions'!$D$50-'Assumptions'!$B$50)),'Assumptions'!$B$50+SQRT(E504*('Assumptions'!$D$50-'Assumptions'!$B$50)*('Assumptions'!$C$50-'Assumptions'!$B$50)),'Assumptions'!$D$50-SQRT((1-E504)*('Assumptions'!$D$50-'Assumptions'!$B$50)*('Assumptions'!$D$50-'Assumptions'!$C$50)))</x:f>
        <x:v>0.07335870693990501</x:v>
      </x:c>
      <x:c r="K504" s="132" t="n">
        <x:f>IF(F504&lt;(('Assumptions'!$C$51-'Assumptions'!$B$51)/('Assumptions'!$D$51-'Assumptions'!$B$51)),'Assumptions'!$B$51+SQRT(F504*('Assumptions'!$D$51-'Assumptions'!$B$51)*('Assumptions'!$C$51-'Assumptions'!$B$51)),'Assumptions'!$D$51-SQRT((1-F504)*('Assumptions'!$D$51-'Assumptions'!$B$51)*('Assumptions'!$D$51-'Assumptions'!$C$51)))</x:f>
        <x:v>0.06481153393281845</x:v>
      </x:c>
      <x:c r="L504" s="133" t="n">
        <x:f>(('Assumptions'!$B$17*(1+G504)+'Assumptions'!$B$18)*(1-H504-'Assumptions'!$B$20)-SUM('Assumptions'!$B$21:$B$25)*(1+I504))-(('Assumptions'!$B$17*(1+G504)+'Assumptions'!$B$18)*(1-H504-'Assumptions'!$B$20)*'Assumptions'!$B$26)</x:f>
        <x:v>222276.68036432442</x:v>
      </x:c>
      <x:c r="M504" s="133" t="n">
        <x:f>'Assumptions'!$B$10*'Assumptions'!$B$33</x:f>
        <x:v>1950000</x:v>
      </x:c>
      <x:c r="N504" s="133" t="n">
        <x:f>-PMT(K504/12,'Assumptions'!$B$35*12,M504)*12</x:f>
        <x:v>147614.00584953718</x:v>
      </x:c>
      <x:c r="O504" s="133" t="n">
        <x:f>(L504*(1+'Assumptions'!$B$29)^('Assumptions'!$B$14/12)/J504)*(1-'Assumptions'!$B$42)-'Debt Schedule'!$F$9</x:f>
        <x:v>3301841.422780033</x:v>
      </x:c>
      <x:c r="P504" s="132" t="n">
        <x:f>((O504+(L504-N504-'Assumptions'!$B$27-'Assumptions'!$B$28)*('Assumptions'!$B$14/12))/ABS('Monthly Cash Flow'!$S$5))^(1/('Assumptions'!$B$14/12))-1</x:f>
        <x:v>0.21835659898833715</x:v>
      </x:c>
      <x:c r="Q504" s="133" t="n">
        <x:f>-ABS('Monthly Cash Flow'!$S$5)+((L504-N504-'Assumptions'!$B$27-'Assumptions'!$B$28)*(1-(1+'Assumptions'!$B$43)^-('Assumptions'!$B$14/12))/'Assumptions'!$B$43)+(O504/(1+'Assumptions'!$B$43)^('Assumptions'!$B$14/12))</x:f>
        <x:v>887082.5527070677</x:v>
      </x:c>
    </x:row>
    <x:row r="505">
      <x:c r="A505" s="131" t="n">
        <x:f>498</x:f>
        <x:v>498</x:v>
      </x:c>
      <x:c r="B505" s="131" t="n">
        <x:f>MOD(ABS(SIN((A505+1)*12.9898+78.233)*43758.5453),1)</x:f>
        <x:v>0.09598194710270036</x:v>
      </x:c>
      <x:c r="C505" s="131" t="n">
        <x:f>MOD(ABS(SIN((A505+2)*12.9898+78.233)*43758.5453),1)</x:f>
        <x:v>0.32750116567331133</x:v>
      </x:c>
      <x:c r="D505" s="131" t="n">
        <x:f>MOD(ABS(SIN((A505+3)*12.9898+78.233)*43758.5453),1)</x:f>
        <x:v>0.8431759164086543</x:v>
      </x:c>
      <x:c r="E505" s="131" t="n">
        <x:f>MOD(ABS(SIN((A505+4)*12.9898+78.233)*43758.5453),1)</x:f>
        <x:v>0.19439464891183889</x:v>
      </x:c>
      <x:c r="F505" s="131" t="n">
        <x:f>MOD(ABS(SIN((A505+5)*12.9898+78.233)*43758.5453),1)</x:f>
        <x:v>0.3356512789760018</x:v>
      </x:c>
      <x:c r="G505" s="132" t="n">
        <x:f>IF(B505&lt;(('Assumptions'!$C$47-'Assumptions'!$B$47)/('Assumptions'!$D$47-'Assumptions'!$B$47)),'Assumptions'!$B$47+SQRT(B505*('Assumptions'!$D$47-'Assumptions'!$B$47)*('Assumptions'!$C$47-'Assumptions'!$B$47)),'Assumptions'!$D$47-SQRT((1-B505)*('Assumptions'!$D$47-'Assumptions'!$B$47)*('Assumptions'!$D$47-'Assumptions'!$C$47)))</x:f>
        <x:v>-0.05200451343652397</x:v>
      </x:c>
      <x:c r="H505" s="132" t="n">
        <x:f>IF(C505&lt;(('Assumptions'!$C$48-'Assumptions'!$B$48)/('Assumptions'!$D$48-'Assumptions'!$B$48)),'Assumptions'!$B$48+SQRT(C505*('Assumptions'!$D$48-'Assumptions'!$B$48)*('Assumptions'!$C$48-'Assumptions'!$B$48)),'Assumptions'!$D$48-SQRT((1-C505)*('Assumptions'!$D$48-'Assumptions'!$B$48)*('Assumptions'!$D$48-'Assumptions'!$C$48)))</x:f>
        <x:v>0.06307152840414117</x:v>
      </x:c>
      <x:c r="I505" s="132" t="n">
        <x:f>IF(D505&lt;(('Assumptions'!$C$49-'Assumptions'!$B$49)/('Assumptions'!$D$49-'Assumptions'!$B$49)),'Assumptions'!$B$49+SQRT(D505*('Assumptions'!$D$49-'Assumptions'!$B$49)*('Assumptions'!$C$49-'Assumptions'!$B$49)),'Assumptions'!$D$49-SQRT((1-D505)*('Assumptions'!$D$49-'Assumptions'!$B$49)*('Assumptions'!$D$49-'Assumptions'!$C$49)))</x:f>
        <x:v>0.0917986236797353</x:v>
      </x:c>
      <x:c r="J505" s="132" t="n">
        <x:f>IF(E505&lt;(('Assumptions'!$C$50-'Assumptions'!$B$50)/('Assumptions'!$D$50-'Assumptions'!$B$50)),'Assumptions'!$B$50+SQRT(E505*('Assumptions'!$D$50-'Assumptions'!$B$50)*('Assumptions'!$C$50-'Assumptions'!$B$50)),'Assumptions'!$D$50-SQRT((1-E505)*('Assumptions'!$D$50-'Assumptions'!$B$50)*('Assumptions'!$D$50-'Assumptions'!$C$50)))</x:f>
        <x:v>0.06411353128103012</x:v>
      </x:c>
      <x:c r="K505" s="132" t="n">
        <x:f>IF(F505&lt;(('Assumptions'!$C$51-'Assumptions'!$B$51)/('Assumptions'!$D$51-'Assumptions'!$B$51)),'Assumptions'!$B$51+SQRT(F505*('Assumptions'!$D$51-'Assumptions'!$B$51)*('Assumptions'!$C$51-'Assumptions'!$B$51)),'Assumptions'!$D$51-SQRT((1-F505)*('Assumptions'!$D$51-'Assumptions'!$B$51)*('Assumptions'!$D$51-'Assumptions'!$C$51)))</x:f>
        <x:v>0.0671075023662969</x:v>
      </x:c>
      <x:c r="L505" s="133" t="n">
        <x:f>(('Assumptions'!$B$17*(1+G505)+'Assumptions'!$B$18)*(1-H505-'Assumptions'!$B$20)-SUM('Assumptions'!$B$21:$B$25)*(1+I505))-(('Assumptions'!$B$17*(1+G505)+'Assumptions'!$B$18)*(1-H505-'Assumptions'!$B$20)*'Assumptions'!$B$26)</x:f>
        <x:v>182137.71437681292</x:v>
      </x:c>
      <x:c r="M505" s="133" t="n">
        <x:f>'Assumptions'!$B$10*'Assumptions'!$B$33</x:f>
        <x:v>1950000</x:v>
      </x:c>
      <x:c r="N505" s="133" t="n">
        <x:f>-PMT(K505/12,'Assumptions'!$B$35*12,M505)*12</x:f>
        <x:v>151161.9475404118</x:v>
      </x:c>
      <x:c r="O505" s="133" t="n">
        <x:f>(L505*(1+'Assumptions'!$B$29)^('Assumptions'!$B$14/12)/J505)*(1-'Assumptions'!$B$42)-'Debt Schedule'!$F$9</x:f>
        <x:v>3095737.7397533166</x:v>
      </x:c>
      <x:c r="P505" s="132" t="n">
        <x:f>((O505+(L505-N505-'Assumptions'!$B$27-'Assumptions'!$B$28)*('Assumptions'!$B$14/12))/ABS('Monthly Cash Flow'!$S$5))^(1/('Assumptions'!$B$14/12))-1</x:f>
        <x:v>0.18701747923314227</x:v>
      </x:c>
      <x:c r="Q505" s="133" t="n">
        <x:f>-ABS('Monthly Cash Flow'!$S$5)+((L505-N505-'Assumptions'!$B$27-'Assumptions'!$B$28)*(1-(1+'Assumptions'!$B$43)^-('Assumptions'!$B$14/12))/'Assumptions'!$B$43)+(O505/(1+'Assumptions'!$B$43)^('Assumptions'!$B$14/12))</x:f>
        <x:v>593500.6295311595</x:v>
      </x:c>
    </x:row>
    <x:row r="506">
      <x:c r="A506" s="131" t="n">
        <x:f>499</x:f>
        <x:v>499</x:v>
      </x:c>
      <x:c r="B506" s="131" t="n">
        <x:f>MOD(ABS(SIN((A506+1)*12.9898+78.233)*43758.5453),1)</x:f>
        <x:v>0.32750116567331133</x:v>
      </x:c>
      <x:c r="C506" s="131" t="n">
        <x:f>MOD(ABS(SIN((A506+2)*12.9898+78.233)*43758.5453),1)</x:f>
        <x:v>0.8431759164086543</x:v>
      </x:c>
      <x:c r="D506" s="131" t="n">
        <x:f>MOD(ABS(SIN((A506+3)*12.9898+78.233)*43758.5453),1)</x:f>
        <x:v>0.19439464891183889</x:v>
      </x:c>
      <x:c r="E506" s="131" t="n">
        <x:f>MOD(ABS(SIN((A506+4)*12.9898+78.233)*43758.5453),1)</x:f>
        <x:v>0.3356512789760018</x:v>
      </x:c>
      <x:c r="F506" s="131" t="n">
        <x:f>MOD(ABS(SIN((A506+5)*12.9898+78.233)*43758.5453),1)</x:f>
        <x:v>0.9341736322749057</x:v>
      </x:c>
      <x:c r="G506" s="132" t="n">
        <x:f>IF(B506&lt;(('Assumptions'!$C$47-'Assumptions'!$B$47)/('Assumptions'!$D$47-'Assumptions'!$B$47)),'Assumptions'!$B$47+SQRT(B506*('Assumptions'!$D$47-'Assumptions'!$B$47)*('Assumptions'!$C$47-'Assumptions'!$B$47)),'Assumptions'!$D$47-SQRT((1-B506)*('Assumptions'!$D$47-'Assumptions'!$B$47)*('Assumptions'!$D$47-'Assumptions'!$C$47)))</x:f>
        <x:v>-0.011343201184796481</x:v>
      </x:c>
      <x:c r="H506" s="132" t="n">
        <x:f>IF(C506&lt;(('Assumptions'!$C$48-'Assumptions'!$B$48)/('Assumptions'!$D$48-'Assumptions'!$B$48)),'Assumptions'!$B$48+SQRT(C506*('Assumptions'!$D$48-'Assumptions'!$B$48)*('Assumptions'!$C$48-'Assumptions'!$B$48)),'Assumptions'!$D$48-SQRT((1-C506)*('Assumptions'!$D$48-'Assumptions'!$B$48)*('Assumptions'!$D$48-'Assumptions'!$C$48)))</x:f>
        <x:v>0.10285094973483384</x:v>
      </x:c>
      <x:c r="I506" s="132" t="n">
        <x:f>IF(D506&lt;(('Assumptions'!$C$49-'Assumptions'!$B$49)/('Assumptions'!$D$49-'Assumptions'!$B$49)),'Assumptions'!$B$49+SQRT(D506*('Assumptions'!$D$49-'Assumptions'!$B$49)*('Assumptions'!$C$49-'Assumptions'!$B$49)),'Assumptions'!$D$49-SQRT((1-D506)*('Assumptions'!$D$49-'Assumptions'!$B$49)*('Assumptions'!$D$49-'Assumptions'!$C$49)))</x:f>
        <x:v>0.015819888784760927</x:v>
      </x:c>
      <x:c r="J506" s="132" t="n">
        <x:f>IF(E506&lt;(('Assumptions'!$C$50-'Assumptions'!$B$50)/('Assumptions'!$D$50-'Assumptions'!$B$50)),'Assumptions'!$B$50+SQRT(E506*('Assumptions'!$D$50-'Assumptions'!$B$50)*('Assumptions'!$C$50-'Assumptions'!$B$50)),'Assumptions'!$D$50-SQRT((1-E506)*('Assumptions'!$D$50-'Assumptions'!$B$50)*('Assumptions'!$D$50-'Assumptions'!$C$50)))</x:f>
        <x:v>0.06619031286948868</x:v>
      </x:c>
      <x:c r="K506" s="132" t="n">
        <x:f>IF(F506&lt;(('Assumptions'!$C$51-'Assumptions'!$B$51)/('Assumptions'!$D$51-'Assumptions'!$B$51)),'Assumptions'!$B$51+SQRT(F506*('Assumptions'!$D$51-'Assumptions'!$B$51)*('Assumptions'!$C$51-'Assumptions'!$B$51)),'Assumptions'!$D$51-SQRT((1-F506)*('Assumptions'!$D$51-'Assumptions'!$B$51)*('Assumptions'!$D$51-'Assumptions'!$C$51)))</x:f>
        <x:v>0.07937159529993608</x:v>
      </x:c>
      <x:c r="L506" s="133" t="n">
        <x:f>(('Assumptions'!$B$17*(1+G506)+'Assumptions'!$B$18)*(1-H506-'Assumptions'!$B$20)-SUM('Assumptions'!$B$21:$B$25)*(1+I506))-(('Assumptions'!$B$17*(1+G506)+'Assumptions'!$B$18)*(1-H506-'Assumptions'!$B$20)*'Assumptions'!$B$26)</x:f>
        <x:v>190457.53050271847</x:v>
      </x:c>
      <x:c r="M506" s="133" t="n">
        <x:f>'Assumptions'!$B$10*'Assumptions'!$B$33</x:f>
        <x:v>1950000</x:v>
      </x:c>
      <x:c r="N506" s="133" t="n">
        <x:f>-PMT(K506/12,'Assumptions'!$B$35*12,M506)*12</x:f>
        <x:v>170676.92849244722</x:v>
      </x:c>
      <x:c r="O506" s="133" t="n">
        <x:f>(L506*(1+'Assumptions'!$B$29)^('Assumptions'!$B$14/12)/J506)*(1-'Assumptions'!$B$42)-'Debt Schedule'!$F$9</x:f>
        <x:v>3135578.602479358</x:v>
      </x:c>
      <x:c r="P506" s="132" t="n">
        <x:f>((O506+(L506-N506-'Assumptions'!$B$27-'Assumptions'!$B$28)*('Assumptions'!$B$14/12))/ABS('Monthly Cash Flow'!$S$5))^(1/('Assumptions'!$B$14/12))-1</x:f>
        <x:v>0.18575916771271705</x:v>
      </x:c>
      <x:c r="Q506" s="133" t="n">
        <x:f>-ABS('Monthly Cash Flow'!$S$5)+((L506-N506-'Assumptions'!$B$27-'Assumptions'!$B$28)*(1-(1+'Assumptions'!$B$43)^-('Assumptions'!$B$14/12))/'Assumptions'!$B$43)+(O506/(1+'Assumptions'!$B$43)^('Assumptions'!$B$14/12))</x:f>
        <x:v>575800.1880225916</x:v>
      </x:c>
    </x:row>
    <x:row r="507">
      <x:c r="A507" s="131" t="n">
        <x:f>500</x:f>
        <x:v>500</x:v>
      </x:c>
      <x:c r="B507" s="131" t="n">
        <x:f>MOD(ABS(SIN((A507+1)*12.9898+78.233)*43758.5453),1)</x:f>
        <x:v>0.8431759164086543</x:v>
      </x:c>
      <x:c r="C507" s="131" t="n">
        <x:f>MOD(ABS(SIN((A507+2)*12.9898+78.233)*43758.5453),1)</x:f>
        <x:v>0.19439464891183889</x:v>
      </x:c>
      <x:c r="D507" s="131" t="n">
        <x:f>MOD(ABS(SIN((A507+3)*12.9898+78.233)*43758.5453),1)</x:f>
        <x:v>0.3356512789760018</x:v>
      </x:c>
      <x:c r="E507" s="131" t="n">
        <x:f>MOD(ABS(SIN((A507+4)*12.9898+78.233)*43758.5453),1)</x:f>
        <x:v>0.9341736322749057</x:v>
      </x:c>
      <x:c r="F507" s="131" t="n">
        <x:f>MOD(ABS(SIN((A507+5)*12.9898+78.233)*43758.5453),1)</x:f>
        <x:v>0.22327302016401518</x:v>
      </x:c>
      <x:c r="G507" s="132" t="n">
        <x:f>IF(B507&lt;(('Assumptions'!$C$47-'Assumptions'!$B$47)/('Assumptions'!$D$47-'Assumptions'!$B$47)),'Assumptions'!$B$47+SQRT(B507*('Assumptions'!$D$47-'Assumptions'!$B$47)*('Assumptions'!$C$47-'Assumptions'!$B$47)),'Assumptions'!$D$47-SQRT((1-B507)*('Assumptions'!$D$47-'Assumptions'!$B$47)*('Assumptions'!$D$47-'Assumptions'!$C$47)))</x:f>
        <x:v>0.04990823084116981</x:v>
      </x:c>
      <x:c r="H507" s="132" t="n">
        <x:f>IF(C507&lt;(('Assumptions'!$C$48-'Assumptions'!$B$48)/('Assumptions'!$D$48-'Assumptions'!$B$48)),'Assumptions'!$B$48+SQRT(C507*('Assumptions'!$D$48-'Assumptions'!$B$48)*('Assumptions'!$C$48-'Assumptions'!$B$48)),'Assumptions'!$D$48-SQRT((1-C507)*('Assumptions'!$D$48-'Assumptions'!$B$48)*('Assumptions'!$D$48-'Assumptions'!$C$48)))</x:f>
        <x:v>0.05532789650581091</x:v>
      </x:c>
      <x:c r="I507" s="132" t="n">
        <x:f>IF(D507&lt;(('Assumptions'!$C$49-'Assumptions'!$B$49)/('Assumptions'!$D$49-'Assumptions'!$B$49)),'Assumptions'!$B$49+SQRT(D507*('Assumptions'!$D$49-'Assumptions'!$B$49)*('Assumptions'!$C$49-'Assumptions'!$B$49)),'Assumptions'!$D$49-SQRT((1-D507)*('Assumptions'!$D$49-'Assumptions'!$B$49)*('Assumptions'!$D$49-'Assumptions'!$C$49)))</x:f>
        <x:v>0.03020879675819947</x:v>
      </x:c>
      <x:c r="J507" s="132" t="n">
        <x:f>IF(E507&lt;(('Assumptions'!$C$50-'Assumptions'!$B$50)/('Assumptions'!$D$50-'Assumptions'!$B$50)),'Assumptions'!$B$50+SQRT(E507*('Assumptions'!$D$50-'Assumptions'!$B$50)*('Assumptions'!$C$50-'Assumptions'!$B$50)),'Assumptions'!$D$50-SQRT((1-E507)*('Assumptions'!$D$50-'Assumptions'!$B$50)*('Assumptions'!$D$50-'Assumptions'!$C$50)))</x:f>
        <x:v>0.07569724902850714</x:v>
      </x:c>
      <x:c r="K507" s="132" t="n">
        <x:f>IF(F507&lt;(('Assumptions'!$C$51-'Assumptions'!$B$51)/('Assumptions'!$D$51-'Assumptions'!$B$51)),'Assumptions'!$B$51+SQRT(F507*('Assumptions'!$D$51-'Assumptions'!$B$51)*('Assumptions'!$C$51-'Assumptions'!$B$51)),'Assumptions'!$D$51-SQRT((1-F507)*('Assumptions'!$D$51-'Assumptions'!$B$51)*('Assumptions'!$D$51-'Assumptions'!$C$51)))</x:f>
        <x:v>0.06533582034921068</x:v>
      </x:c>
      <x:c r="L507" s="133" t="n">
        <x:f>(('Assumptions'!$B$17*(1+G507)+'Assumptions'!$B$18)*(1-H507-'Assumptions'!$B$20)-SUM('Assumptions'!$B$21:$B$25)*(1+I507))-(('Assumptions'!$B$17*(1+G507)+'Assumptions'!$B$18)*(1-H507-'Assumptions'!$B$20)*'Assumptions'!$B$26)</x:f>
        <x:v>225488.99495328587</x:v>
      </x:c>
      <x:c r="M507" s="133" t="n">
        <x:f>'Assumptions'!$B$10*'Assumptions'!$B$33</x:f>
        <x:v>1950000</x:v>
      </x:c>
      <x:c r="N507" s="133" t="n">
        <x:f>-PMT(K507/12,'Assumptions'!$B$35*12,M507)*12</x:f>
        <x:v>148421.0902672117</x:v>
      </x:c>
      <x:c r="O507" s="133" t="n">
        <x:f>(L507*(1+'Assumptions'!$B$29)^('Assumptions'!$B$14/12)/J507)*(1-'Assumptions'!$B$42)-'Debt Schedule'!$F$9</x:f>
        <x:v>3246080.0925990446</x:v>
      </x:c>
      <x:c r="P507" s="132" t="n">
        <x:f>((O507+(L507-N507-'Assumptions'!$B$27-'Assumptions'!$B$28)*('Assumptions'!$B$14/12))/ABS('Monthly Cash Flow'!$S$5))^(1/('Assumptions'!$B$14/12))-1</x:f>
        <x:v>0.21527441531043845</x:v>
      </x:c>
      <x:c r="Q507" s="133" t="n">
        <x:f>-ABS('Monthly Cash Flow'!$S$5)+((L507-N507-'Assumptions'!$B$27-'Assumptions'!$B$28)*(1-(1+'Assumptions'!$B$43)^-('Assumptions'!$B$14/12))/'Assumptions'!$B$43)+(O507/(1+'Assumptions'!$B$43)^('Assumptions'!$B$14/12))</x:f>
        <x:v>861576.8685062465</x:v>
      </x:c>
    </x:row>
    <x:row r="508">
      <x:c r="A508" s="131" t="n">
        <x:f>501</x:f>
        <x:v>501</x:v>
      </x:c>
      <x:c r="B508" s="131" t="n">
        <x:f>MOD(ABS(SIN((A508+1)*12.9898+78.233)*43758.5453),1)</x:f>
        <x:v>0.19439464891183889</x:v>
      </x:c>
      <x:c r="C508" s="131" t="n">
        <x:f>MOD(ABS(SIN((A508+2)*12.9898+78.233)*43758.5453),1)</x:f>
        <x:v>0.3356512789760018</x:v>
      </x:c>
      <x:c r="D508" s="131" t="n">
        <x:f>MOD(ABS(SIN((A508+3)*12.9898+78.233)*43758.5453),1)</x:f>
        <x:v>0.9341736322749057</x:v>
      </x:c>
      <x:c r="E508" s="131" t="n">
        <x:f>MOD(ABS(SIN((A508+4)*12.9898+78.233)*43758.5453),1)</x:f>
        <x:v>0.22327302016401518</x:v>
      </x:c>
      <x:c r="F508" s="131" t="n">
        <x:f>MOD(ABS(SIN((A508+5)*12.9898+78.233)*43758.5453),1)</x:f>
        <x:v>0.30313626004317484</x:v>
      </x:c>
      <x:c r="G508" s="132" t="n">
        <x:f>IF(B508&lt;(('Assumptions'!$C$47-'Assumptions'!$B$47)/('Assumptions'!$D$47-'Assumptions'!$B$47)),'Assumptions'!$B$47+SQRT(B508*('Assumptions'!$D$47-'Assumptions'!$B$47)*('Assumptions'!$C$47-'Assumptions'!$B$47)),'Assumptions'!$D$47-SQRT((1-B508)*('Assumptions'!$D$47-'Assumptions'!$B$47)*('Assumptions'!$D$47-'Assumptions'!$C$47)))</x:f>
        <x:v>-0.031695742637196225</x:v>
      </x:c>
      <x:c r="H508" s="132" t="n">
        <x:f>IF(C508&lt;(('Assumptions'!$C$48-'Assumptions'!$B$48)/('Assumptions'!$D$48-'Assumptions'!$B$48)),'Assumptions'!$B$48+SQRT(C508*('Assumptions'!$D$48-'Assumptions'!$B$48)*('Assumptions'!$C$48-'Assumptions'!$B$48)),'Assumptions'!$D$48-SQRT((1-C508)*('Assumptions'!$D$48-'Assumptions'!$B$48)*('Assumptions'!$D$48-'Assumptions'!$C$48)))</x:f>
        <x:v>0.06353910316370083</x:v>
      </x:c>
      <x:c r="I508" s="132" t="n">
        <x:f>IF(D508&lt;(('Assumptions'!$C$49-'Assumptions'!$B$49)/('Assumptions'!$D$49-'Assumptions'!$B$49)),'Assumptions'!$B$49+SQRT(D508*('Assumptions'!$D$49-'Assumptions'!$B$49)*('Assumptions'!$C$49-'Assumptions'!$B$49)),'Assumptions'!$D$49-SQRT((1-D508)*('Assumptions'!$D$49-'Assumptions'!$B$49)*('Assumptions'!$D$49-'Assumptions'!$C$49)))</x:f>
        <x:v>0.11229257973737745</x:v>
      </x:c>
      <x:c r="J508" s="132" t="n">
        <x:f>IF(E508&lt;(('Assumptions'!$C$50-'Assumptions'!$B$50)/('Assumptions'!$D$50-'Assumptions'!$B$50)),'Assumptions'!$B$50+SQRT(E508*('Assumptions'!$D$50-'Assumptions'!$B$50)*('Assumptions'!$C$50-'Assumptions'!$B$50)),'Assumptions'!$D$50-SQRT((1-E508)*('Assumptions'!$D$50-'Assumptions'!$B$50)*('Assumptions'!$D$50-'Assumptions'!$C$50)))</x:f>
        <x:v>0.06458776618808094</x:v>
      </x:c>
      <x:c r="K508" s="132" t="n">
        <x:f>IF(F508&lt;(('Assumptions'!$C$51-'Assumptions'!$B$51)/('Assumptions'!$D$51-'Assumptions'!$B$51)),'Assumptions'!$B$51+SQRT(F508*('Assumptions'!$D$51-'Assumptions'!$B$51)*('Assumptions'!$C$51-'Assumptions'!$B$51)),'Assumptions'!$D$51-SQRT((1-F508)*('Assumptions'!$D$51-'Assumptions'!$B$51)*('Assumptions'!$D$51-'Assumptions'!$C$51)))</x:f>
        <x:v>0.06663030511603381</x:v>
      </x:c>
      <x:c r="L508" s="133" t="n">
        <x:f>(('Assumptions'!$B$17*(1+G508)+'Assumptions'!$B$18)*(1-H508-'Assumptions'!$B$20)-SUM('Assumptions'!$B$21:$B$25)*(1+I508))-(('Assumptions'!$B$17*(1+G508)+'Assumptions'!$B$18)*(1-H508-'Assumptions'!$B$20)*'Assumptions'!$B$26)</x:f>
        <x:v>185896.76745576246</x:v>
      </x:c>
      <x:c r="M508" s="133" t="n">
        <x:f>'Assumptions'!$B$10*'Assumptions'!$B$33</x:f>
        <x:v>1950000</x:v>
      </x:c>
      <x:c r="N508" s="133" t="n">
        <x:f>-PMT(K508/12,'Assumptions'!$B$35*12,M508)*12</x:f>
        <x:v>150421.6639067221</x:v>
      </x:c>
      <x:c r="O508" s="133" t="n">
        <x:f>(L508*(1+'Assumptions'!$B$29)^('Assumptions'!$B$14/12)/J508)*(1-'Assumptions'!$B$42)-'Debt Schedule'!$F$9</x:f>
        <x:v>3136429.6488793287</x:v>
      </x:c>
      <x:c r="P508" s="132" t="n">
        <x:f>((O508+(L508-N508-'Assumptions'!$B$27-'Assumptions'!$B$28)*('Assumptions'!$B$14/12))/ABS('Monthly Cash Flow'!$S$5))^(1/('Assumptions'!$B$14/12))-1</x:f>
        <x:v>0.19189466549582002</x:v>
      </x:c>
      <x:c r="Q508" s="133" t="n">
        <x:f>-ABS('Monthly Cash Flow'!$S$5)+((L508-N508-'Assumptions'!$B$27-'Assumptions'!$B$28)*(1-(1+'Assumptions'!$B$43)^-('Assumptions'!$B$14/12))/'Assumptions'!$B$43)+(O508/(1+'Assumptions'!$B$43)^('Assumptions'!$B$14/12))</x:f>
        <x:v>635823.1296648725</x:v>
      </x:c>
    </x:row>
    <x:row r="509">
      <x:c r="A509" s="131" t="n">
        <x:f>502</x:f>
        <x:v>502</x:v>
      </x:c>
      <x:c r="B509" s="131" t="n">
        <x:f>MOD(ABS(SIN((A509+1)*12.9898+78.233)*43758.5453),1)</x:f>
        <x:v>0.3356512789760018</x:v>
      </x:c>
      <x:c r="C509" s="131" t="n">
        <x:f>MOD(ABS(SIN((A509+2)*12.9898+78.233)*43758.5453),1)</x:f>
        <x:v>0.9341736322749057</x:v>
      </x:c>
      <x:c r="D509" s="131" t="n">
        <x:f>MOD(ABS(SIN((A509+3)*12.9898+78.233)*43758.5453),1)</x:f>
        <x:v>0.22327302016401518</x:v>
      </x:c>
      <x:c r="E509" s="131" t="n">
        <x:f>MOD(ABS(SIN((A509+4)*12.9898+78.233)*43758.5453),1)</x:f>
        <x:v>0.30313626004317484</x:v>
      </x:c>
      <x:c r="F509" s="131" t="n">
        <x:f>MOD(ABS(SIN((A509+5)*12.9898+78.233)*43758.5453),1)</x:f>
        <x:v>0.4099446984764654</x:v>
      </x:c>
      <x:c r="G509" s="132" t="n">
        <x:f>IF(B509&lt;(('Assumptions'!$C$47-'Assumptions'!$B$47)/('Assumptions'!$D$47-'Assumptions'!$B$47)),'Assumptions'!$B$47+SQRT(B509*('Assumptions'!$D$47-'Assumptions'!$B$47)*('Assumptions'!$C$47-'Assumptions'!$B$47)),'Assumptions'!$D$47-SQRT((1-B509)*('Assumptions'!$D$47-'Assumptions'!$B$47)*('Assumptions'!$D$47-'Assumptions'!$C$47)))</x:f>
        <x:v>-0.01024683462170238</x:v>
      </x:c>
      <x:c r="H509" s="132" t="n">
        <x:f>IF(C509&lt;(('Assumptions'!$C$48-'Assumptions'!$B$48)/('Assumptions'!$D$48-'Assumptions'!$B$48)),'Assumptions'!$B$48+SQRT(C509*('Assumptions'!$D$48-'Assumptions'!$B$48)*('Assumptions'!$C$48-'Assumptions'!$B$48)),'Assumptions'!$D$48-SQRT((1-C509)*('Assumptions'!$D$48-'Assumptions'!$B$48)*('Assumptions'!$D$48-'Assumptions'!$C$48)))</x:f>
        <x:v>0.11593192911800304</x:v>
      </x:c>
      <x:c r="I509" s="132" t="n">
        <x:f>IF(D509&lt;(('Assumptions'!$C$49-'Assumptions'!$B$49)/('Assumptions'!$D$49-'Assumptions'!$B$49)),'Assumptions'!$B$49+SQRT(D509*('Assumptions'!$D$49-'Assumptions'!$B$49)*('Assumptions'!$C$49-'Assumptions'!$B$49)),'Assumptions'!$D$49-SQRT((1-D509)*('Assumptions'!$D$49-'Assumptions'!$B$49)*('Assumptions'!$D$49-'Assumptions'!$C$49)))</x:f>
        <x:v>0.0191054845996999</x:v>
      </x:c>
      <x:c r="J509" s="132" t="n">
        <x:f>IF(E509&lt;(('Assumptions'!$C$50-'Assumptions'!$B$50)/('Assumptions'!$D$50-'Assumptions'!$B$50)),'Assumptions'!$B$50+SQRT(E509*('Assumptions'!$D$50-'Assumptions'!$B$50)*('Assumptions'!$C$50-'Assumptions'!$B$50)),'Assumptions'!$D$50-SQRT((1-E509)*('Assumptions'!$D$50-'Assumptions'!$B$50)*('Assumptions'!$D$50-'Assumptions'!$C$50)))</x:f>
        <x:v>0.06575867171582177</x:v>
      </x:c>
      <x:c r="K509" s="132" t="n">
        <x:f>IF(F509&lt;(('Assumptions'!$C$51-'Assumptions'!$B$51)/('Assumptions'!$D$51-'Assumptions'!$B$51)),'Assumptions'!$B$51+SQRT(F509*('Assumptions'!$D$51-'Assumptions'!$B$51)*('Assumptions'!$C$51-'Assumptions'!$B$51)),'Assumptions'!$D$51-SQRT((1-F509)*('Assumptions'!$D$51-'Assumptions'!$B$51)*('Assumptions'!$D$51-'Assumptions'!$C$51)))</x:f>
        <x:v>0.06814876521265575</x:v>
      </x:c>
      <x:c r="L509" s="133" t="n">
        <x:f>(('Assumptions'!$B$17*(1+G509)+'Assumptions'!$B$18)*(1-H509-'Assumptions'!$B$20)-SUM('Assumptions'!$B$21:$B$25)*(1+I509))-(('Assumptions'!$B$17*(1+G509)+'Assumptions'!$B$18)*(1-H509-'Assumptions'!$B$20)*'Assumptions'!$B$26)</x:f>
        <x:v>185679.18795871342</x:v>
      </x:c>
      <x:c r="M509" s="133" t="n">
        <x:f>'Assumptions'!$B$10*'Assumptions'!$B$33</x:f>
        <x:v>1950000</x:v>
      </x:c>
      <x:c r="N509" s="133" t="n">
        <x:f>-PMT(K509/12,'Assumptions'!$B$35*12,M509)*12</x:f>
        <x:v>152782.44679593516</x:v>
      </x:c>
      <x:c r="O509" s="133" t="n">
        <x:f>(L509*(1+'Assumptions'!$B$29)^('Assumptions'!$B$14/12)/J509)*(1-'Assumptions'!$B$42)-'Debt Schedule'!$F$9</x:f>
        <x:v>3076976.455482041</x:v>
      </x:c>
      <x:c r="P509" s="132" t="n">
        <x:f>((O509+(L509-N509-'Assumptions'!$B$27-'Assumptions'!$B$28)*('Assumptions'!$B$14/12))/ABS('Monthly Cash Flow'!$S$5))^(1/('Assumptions'!$B$14/12))-1</x:f>
        <x:v>0.18630405660366223</x:v>
      </x:c>
      <x:c r="Q509" s="133" t="n">
        <x:f>-ABS('Monthly Cash Flow'!$S$5)+((L509-N509-'Assumptions'!$B$27-'Assumptions'!$B$28)*(1-(1+'Assumptions'!$B$43)^-('Assumptions'!$B$14/12))/'Assumptions'!$B$43)+(O509/(1+'Assumptions'!$B$43)^('Assumptions'!$B$14/12))</x:f>
        <x:v>589133.352139954</x:v>
      </x:c>
    </x:row>
    <x:row r="510">
      <x:c r="A510" s="131" t="n">
        <x:f>503</x:f>
        <x:v>503</x:v>
      </x:c>
      <x:c r="B510" s="131" t="n">
        <x:f>MOD(ABS(SIN((A510+1)*12.9898+78.233)*43758.5453),1)</x:f>
        <x:v>0.9341736322749057</x:v>
      </x:c>
      <x:c r="C510" s="131" t="n">
        <x:f>MOD(ABS(SIN((A510+2)*12.9898+78.233)*43758.5453),1)</x:f>
        <x:v>0.22327302016401518</x:v>
      </x:c>
      <x:c r="D510" s="131" t="n">
        <x:f>MOD(ABS(SIN((A510+3)*12.9898+78.233)*43758.5453),1)</x:f>
        <x:v>0.30313626004317484</x:v>
      </x:c>
      <x:c r="E510" s="131" t="n">
        <x:f>MOD(ABS(SIN((A510+4)*12.9898+78.233)*43758.5453),1)</x:f>
        <x:v>0.4099446984764654</x:v>
      </x:c>
      <x:c r="F510" s="131" t="n">
        <x:f>MOD(ABS(SIN((A510+5)*12.9898+78.233)*43758.5453),1)</x:f>
        <x:v>0.49931503723200876</x:v>
      </x:c>
      <x:c r="G510" s="132" t="n">
        <x:f>IF(B510&lt;(('Assumptions'!$C$47-'Assumptions'!$B$47)/('Assumptions'!$D$47-'Assumptions'!$B$47)),'Assumptions'!$B$47+SQRT(B510*('Assumptions'!$D$47-'Assumptions'!$B$47)*('Assumptions'!$C$47-'Assumptions'!$B$47)),'Assumptions'!$D$47-SQRT((1-B510)*('Assumptions'!$D$47-'Assumptions'!$B$47)*('Assumptions'!$D$47-'Assumptions'!$C$47)))</x:f>
        <x:v>0.06754661984320418</x:v>
      </x:c>
      <x:c r="H510" s="132" t="n">
        <x:f>IF(C510&lt;(('Assumptions'!$C$48-'Assumptions'!$B$48)/('Assumptions'!$D$48-'Assumptions'!$B$48)),'Assumptions'!$B$48+SQRT(C510*('Assumptions'!$D$48-'Assumptions'!$B$48)*('Assumptions'!$C$48-'Assumptions'!$B$48)),'Assumptions'!$D$48-SQRT((1-C510)*('Assumptions'!$D$48-'Assumptions'!$B$48)*('Assumptions'!$D$48-'Assumptions'!$C$48)))</x:f>
        <x:v>0.05714407792763</x:v>
      </x:c>
      <x:c r="I510" s="132" t="n">
        <x:f>IF(D510&lt;(('Assumptions'!$C$49-'Assumptions'!$B$49)/('Assumptions'!$D$49-'Assumptions'!$B$49)),'Assumptions'!$B$49+SQRT(D510*('Assumptions'!$D$49-'Assumptions'!$B$49)*('Assumptions'!$C$49-'Assumptions'!$B$49)),'Assumptions'!$D$49-SQRT((1-D510)*('Assumptions'!$D$49-'Assumptions'!$B$49)*('Assumptions'!$D$49-'Assumptions'!$C$49)))</x:f>
        <x:v>0.0272177560593413</x:v>
      </x:c>
      <x:c r="J510" s="132" t="n">
        <x:f>IF(E510&lt;(('Assumptions'!$C$50-'Assumptions'!$B$50)/('Assumptions'!$D$50-'Assumptions'!$B$50)),'Assumptions'!$B$50+SQRT(E510*('Assumptions'!$D$50-'Assumptions'!$B$50)*('Assumptions'!$C$50-'Assumptions'!$B$50)),'Assumptions'!$D$50-SQRT((1-E510)*('Assumptions'!$D$50-'Assumptions'!$B$50)*('Assumptions'!$D$50-'Assumptions'!$C$50)))</x:f>
        <x:v>0.06710403858578279</x:v>
      </x:c>
      <x:c r="K510" s="132" t="n">
        <x:f>IF(F510&lt;(('Assumptions'!$C$51-'Assumptions'!$B$51)/('Assumptions'!$D$51-'Assumptions'!$B$51)),'Assumptions'!$B$51+SQRT(F510*('Assumptions'!$D$51-'Assumptions'!$B$51)*('Assumptions'!$C$51-'Assumptions'!$B$51)),'Assumptions'!$D$51-SQRT((1-F510)*('Assumptions'!$D$51-'Assumptions'!$B$51)*('Assumptions'!$D$51-'Assumptions'!$C$51)))</x:f>
        <x:v>0.06947728637344308</x:v>
      </x:c>
      <x:c r="L510" s="133" t="n">
        <x:f>(('Assumptions'!$B$17*(1+G510)+'Assumptions'!$B$18)*(1-H510-'Assumptions'!$B$20)-SUM('Assumptions'!$B$21:$B$25)*(1+I510))-(('Assumptions'!$B$17*(1+G510)+'Assumptions'!$B$18)*(1-H510-'Assumptions'!$B$20)*'Assumptions'!$B$26)</x:f>
        <x:v>230862.01269290954</x:v>
      </x:c>
      <x:c r="M510" s="133" t="n">
        <x:f>'Assumptions'!$B$10*'Assumptions'!$B$33</x:f>
        <x:v>1950000</x:v>
      </x:c>
      <x:c r="N510" s="133" t="n">
        <x:f>-PMT(K510/12,'Assumptions'!$B$35*12,M510)*12</x:f>
        <x:v>154860.1886874914</x:v>
      </x:c>
      <x:c r="O510" s="133" t="n">
        <x:f>(L510*(1+'Assumptions'!$B$29)^('Assumptions'!$B$14/12)/J510)*(1-'Assumptions'!$B$42)-'Debt Schedule'!$F$9</x:f>
        <x:v>3749020.3360960116</x:v>
      </x:c>
      <x:c r="P510" s="132" t="n">
        <x:f>((O510+(L510-N510-'Assumptions'!$B$27-'Assumptions'!$B$28)*('Assumptions'!$B$14/12))/ABS('Monthly Cash Flow'!$S$5))^(1/('Assumptions'!$B$14/12))-1</x:f>
        <x:v>0.24863828246698616</x:v>
      </x:c>
      <x:c r="Q510" s="133" t="n">
        <x:f>-ABS('Monthly Cash Flow'!$S$5)+((L510-N510-'Assumptions'!$B$27-'Assumptions'!$B$28)*(1-(1+'Assumptions'!$B$43)^-('Assumptions'!$B$14/12))/'Assumptions'!$B$43)+(O510/(1+'Assumptions'!$B$43)^('Assumptions'!$B$14/12))</x:f>
        <x:v>1169821.9053787237</x:v>
      </x:c>
    </x:row>
    <x:row r="511">
      <x:c r="A511" s="131" t="n">
        <x:f>504</x:f>
        <x:v>504</x:v>
      </x:c>
      <x:c r="B511" s="131" t="n">
        <x:f>MOD(ABS(SIN((A511+1)*12.9898+78.233)*43758.5453),1)</x:f>
        <x:v>0.22327302016401518</x:v>
      </x:c>
      <x:c r="C511" s="131" t="n">
        <x:f>MOD(ABS(SIN((A511+2)*12.9898+78.233)*43758.5453),1)</x:f>
        <x:v>0.30313626004317484</x:v>
      </x:c>
      <x:c r="D511" s="131" t="n">
        <x:f>MOD(ABS(SIN((A511+3)*12.9898+78.233)*43758.5453),1)</x:f>
        <x:v>0.4099446984764654</x:v>
      </x:c>
      <x:c r="E511" s="131" t="n">
        <x:f>MOD(ABS(SIN((A511+4)*12.9898+78.233)*43758.5453),1)</x:f>
        <x:v>0.49931503723200876</x:v>
      </x:c>
      <x:c r="F511" s="131" t="n">
        <x:f>MOD(ABS(SIN((A511+5)*12.9898+78.233)*43758.5453),1)</x:f>
        <x:v>0.10249521040532272</x:v>
      </x:c>
      <x:c r="G511" s="132" t="n">
        <x:f>IF(B511&lt;(('Assumptions'!$C$47-'Assumptions'!$B$47)/('Assumptions'!$D$47-'Assumptions'!$B$47)),'Assumptions'!$B$47+SQRT(B511*('Assumptions'!$D$47-'Assumptions'!$B$47)*('Assumptions'!$C$47-'Assumptions'!$B$47)),'Assumptions'!$D$47-SQRT((1-B511)*('Assumptions'!$D$47-'Assumptions'!$B$47)*('Assumptions'!$D$47-'Assumptions'!$C$47)))</x:f>
        <x:v>-0.026797865578001318</x:v>
      </x:c>
      <x:c r="H511" s="132" t="n">
        <x:f>IF(C511&lt;(('Assumptions'!$C$48-'Assumptions'!$B$48)/('Assumptions'!$D$48-'Assumptions'!$B$48)),'Assumptions'!$B$48+SQRT(C511*('Assumptions'!$D$48-'Assumptions'!$B$48)*('Assumptions'!$C$48-'Assumptions'!$B$48)),'Assumptions'!$D$48-SQRT((1-C511)*('Assumptions'!$D$48-'Assumptions'!$B$48)*('Assumptions'!$D$48-'Assumptions'!$C$48)))</x:f>
        <x:v>0.06169035237200936</x:v>
      </x:c>
      <x:c r="I511" s="132" t="n">
        <x:f>IF(D511&lt;(('Assumptions'!$C$49-'Assumptions'!$B$49)/('Assumptions'!$D$49-'Assumptions'!$B$49)),'Assumptions'!$B$49+SQRT(D511*('Assumptions'!$D$49-'Assumptions'!$B$49)*('Assumptions'!$C$49-'Assumptions'!$B$49)),'Assumptions'!$D$49-SQRT((1-D511)*('Assumptions'!$D$49-'Assumptions'!$B$49)*('Assumptions'!$D$49-'Assumptions'!$C$49)))</x:f>
        <x:v>0.037105383153542934</x:v>
      </x:c>
      <x:c r="J511" s="132" t="n">
        <x:f>IF(E511&lt;(('Assumptions'!$C$50-'Assumptions'!$B$50)/('Assumptions'!$D$50-'Assumptions'!$B$50)),'Assumptions'!$B$50+SQRT(E511*('Assumptions'!$D$50-'Assumptions'!$B$50)*('Assumptions'!$C$50-'Assumptions'!$B$50)),'Assumptions'!$D$50-SQRT((1-E511)*('Assumptions'!$D$50-'Assumptions'!$B$50)*('Assumptions'!$D$50-'Assumptions'!$C$50)))</x:f>
        <x:v>0.06813333889510206</x:v>
      </x:c>
      <x:c r="K511" s="132" t="n">
        <x:f>IF(F511&lt;(('Assumptions'!$C$51-'Assumptions'!$B$51)/('Assumptions'!$D$51-'Assumptions'!$B$51)),'Assumptions'!$B$51+SQRT(F511*('Assumptions'!$D$51-'Assumptions'!$B$51)*('Assumptions'!$C$51-'Assumptions'!$B$51)),'Assumptions'!$D$51-SQRT((1-F511)*('Assumptions'!$D$51-'Assumptions'!$B$51)*('Assumptions'!$D$51-'Assumptions'!$C$51)))</x:f>
        <x:v>0.062809066100687</x:v>
      </x:c>
      <x:c r="L511" s="133" t="n">
        <x:f>(('Assumptions'!$B$17*(1+G511)+'Assumptions'!$B$18)*(1-H511-'Assumptions'!$B$20)-SUM('Assumptions'!$B$21:$B$25)*(1+I511))-(('Assumptions'!$B$17*(1+G511)+'Assumptions'!$B$18)*(1-H511-'Assumptions'!$B$20)*'Assumptions'!$B$26)</x:f>
        <x:v>197592.33320620333</x:v>
      </x:c>
      <x:c r="M511" s="133" t="n">
        <x:f>'Assumptions'!$B$10*'Assumptions'!$B$33</x:f>
        <x:v>1950000</x:v>
      </x:c>
      <x:c r="N511" s="133" t="n">
        <x:f>-PMT(K511/12,'Assumptions'!$B$35*12,M511)*12</x:f>
        <x:v>144548.5200058219</x:v>
      </x:c>
      <x:c r="O511" s="133" t="n">
        <x:f>(L511*(1+'Assumptions'!$B$29)^('Assumptions'!$B$14/12)/J511)*(1-'Assumptions'!$B$42)-'Debt Schedule'!$F$9</x:f>
        <x:v>3160271.49862596</x:v>
      </x:c>
      <x:c r="P511" s="132" t="n">
        <x:f>((O511+(L511-N511-'Assumptions'!$B$27-'Assumptions'!$B$28)*('Assumptions'!$B$14/12))/ABS('Monthly Cash Flow'!$S$5))^(1/('Assumptions'!$B$14/12))-1</x:f>
        <x:v>0.2003247033373985</x:v>
      </x:c>
      <x:c r="Q511" s="133" t="n">
        <x:f>-ABS('Monthly Cash Flow'!$S$5)+((L511-N511-'Assumptions'!$B$27-'Assumptions'!$B$28)*(1-(1+'Assumptions'!$B$43)^-('Assumptions'!$B$14/12))/'Assumptions'!$B$43)+(O511/(1+'Assumptions'!$B$43)^('Assumptions'!$B$14/12))</x:f>
        <x:v>717226.274655611</x:v>
      </x:c>
    </x:row>
    <x:row r="512">
      <x:c r="A512" s="131" t="n">
        <x:f>505</x:f>
        <x:v>505</x:v>
      </x:c>
      <x:c r="B512" s="131" t="n">
        <x:f>MOD(ABS(SIN((A512+1)*12.9898+78.233)*43758.5453),1)</x:f>
        <x:v>0.30313626004317484</x:v>
      </x:c>
      <x:c r="C512" s="131" t="n">
        <x:f>MOD(ABS(SIN((A512+2)*12.9898+78.233)*43758.5453),1)</x:f>
        <x:v>0.4099446984764654</x:v>
      </x:c>
      <x:c r="D512" s="131" t="n">
        <x:f>MOD(ABS(SIN((A512+3)*12.9898+78.233)*43758.5453),1)</x:f>
        <x:v>0.49931503723200876</x:v>
      </x:c>
      <x:c r="E512" s="131" t="n">
        <x:f>MOD(ABS(SIN((A512+4)*12.9898+78.233)*43758.5453),1)</x:f>
        <x:v>0.10249521040532272</x:v>
      </x:c>
      <x:c r="F512" s="131" t="n">
        <x:f>MOD(ABS(SIN((A512+5)*12.9898+78.233)*43758.5453),1)</x:f>
        <x:v>0.14309141977719264</x:v>
      </x:c>
      <x:c r="G512" s="132" t="n">
        <x:f>IF(B512&lt;(('Assumptions'!$C$47-'Assumptions'!$B$47)/('Assumptions'!$D$47-'Assumptions'!$B$47)),'Assumptions'!$B$47+SQRT(B512*('Assumptions'!$D$47-'Assumptions'!$B$47)*('Assumptions'!$C$47-'Assumptions'!$B$47)),'Assumptions'!$D$47-SQRT((1-B512)*('Assumptions'!$D$47-'Assumptions'!$B$47)*('Assumptions'!$D$47-'Assumptions'!$C$47)))</x:f>
        <x:v>-0.014704805287541575</x:v>
      </x:c>
      <x:c r="H512" s="132" t="n">
        <x:f>IF(C512&lt;(('Assumptions'!$C$48-'Assumptions'!$B$48)/('Assumptions'!$D$48-'Assumptions'!$B$48)),'Assumptions'!$B$48+SQRT(C512*('Assumptions'!$D$48-'Assumptions'!$B$48)*('Assumptions'!$C$48-'Assumptions'!$B$48)),'Assumptions'!$D$48-SQRT((1-C512)*('Assumptions'!$D$48-'Assumptions'!$B$48)*('Assumptions'!$D$48-'Assumptions'!$C$48)))</x:f>
        <x:v>0.06794108900762444</x:v>
      </x:c>
      <x:c r="I512" s="132" t="n">
        <x:f>IF(D512&lt;(('Assumptions'!$C$49-'Assumptions'!$B$49)/('Assumptions'!$D$49-'Assumptions'!$B$49)),'Assumptions'!$B$49+SQRT(D512*('Assumptions'!$D$49-'Assumptions'!$B$49)*('Assumptions'!$C$49-'Assumptions'!$B$49)),'Assumptions'!$D$49-SQRT((1-D512)*('Assumptions'!$D$49-'Assumptions'!$B$49)*('Assumptions'!$D$49-'Assumptions'!$C$49)))</x:f>
        <x:v>0.046005792489251546</x:v>
      </x:c>
      <x:c r="J512" s="132" t="n">
        <x:f>IF(E512&lt;(('Assumptions'!$C$50-'Assumptions'!$B$50)/('Assumptions'!$D$50-'Assumptions'!$B$50)),'Assumptions'!$B$50+SQRT(E512*('Assumptions'!$D$50-'Assumptions'!$B$50)*('Assumptions'!$C$50-'Assumptions'!$B$50)),'Assumptions'!$D$50-SQRT((1-E512)*('Assumptions'!$D$50-'Assumptions'!$B$50)*('Assumptions'!$D$50-'Assumptions'!$C$50)))</x:f>
        <x:v>0.06230223097541108</x:v>
      </x:c>
      <x:c r="K512" s="132" t="n">
        <x:f>IF(F512&lt;(('Assumptions'!$C$51-'Assumptions'!$B$51)/('Assumptions'!$D$51-'Assumptions'!$B$51)),'Assumptions'!$B$51+SQRT(F512*('Assumptions'!$D$51-'Assumptions'!$B$51)*('Assumptions'!$C$51-'Assumptions'!$B$51)),'Assumptions'!$D$51-SQRT((1-F512)*('Assumptions'!$D$51-'Assumptions'!$B$51)*('Assumptions'!$D$51-'Assumptions'!$C$51)))</x:f>
        <x:v>0.0637729690289948</x:v>
      </x:c>
      <x:c r="L512" s="133" t="n">
        <x:f>(('Assumptions'!$B$17*(1+G512)+'Assumptions'!$B$18)*(1-H512-'Assumptions'!$B$20)-SUM('Assumptions'!$B$21:$B$25)*(1+I512))-(('Assumptions'!$B$17*(1+G512)+'Assumptions'!$B$18)*(1-H512-'Assumptions'!$B$20)*'Assumptions'!$B$26)</x:f>
        <x:v>198114.1221705417</x:v>
      </x:c>
      <x:c r="M512" s="133" t="n">
        <x:f>'Assumptions'!$B$10*'Assumptions'!$B$33</x:f>
        <x:v>1950000</x:v>
      </x:c>
      <x:c r="N512" s="133" t="n">
        <x:f>-PMT(K512/12,'Assumptions'!$B$35*12,M512)*12</x:f>
        <x:v>146020.71121202645</x:v>
      </x:c>
      <x:c r="O512" s="133" t="n">
        <x:f>(L512*(1+'Assumptions'!$B$29)^('Assumptions'!$B$14/12)/J512)*(1-'Assumptions'!$B$42)-'Debt Schedule'!$F$9</x:f>
        <x:v>3465180.1110479683</x:v>
      </x:c>
      <x:c r="P512" s="132" t="n">
        <x:f>((O512+(L512-N512-'Assumptions'!$B$27-'Assumptions'!$B$28)*('Assumptions'!$B$14/12))/ABS('Monthly Cash Flow'!$S$5))^(1/('Assumptions'!$B$14/12))-1</x:f>
        <x:v>0.22187663032248417</x:v>
      </x:c>
      <x:c r="Q512" s="133" t="n">
        <x:f>-ABS('Monthly Cash Flow'!$S$5)+((L512-N512-'Assumptions'!$B$27-'Assumptions'!$B$28)*(1-(1+'Assumptions'!$B$43)^-('Assumptions'!$B$14/12))/'Assumptions'!$B$43)+(O512/(1+'Assumptions'!$B$43)^('Assumptions'!$B$14/12))</x:f>
        <x:v>902947.7614487326</x:v>
      </x:c>
    </x:row>
    <x:row r="513">
      <x:c r="A513" s="131" t="n">
        <x:f>506</x:f>
        <x:v>506</x:v>
      </x:c>
      <x:c r="B513" s="131" t="n">
        <x:f>MOD(ABS(SIN((A513+1)*12.9898+78.233)*43758.5453),1)</x:f>
        <x:v>0.4099446984764654</x:v>
      </x:c>
      <x:c r="C513" s="131" t="n">
        <x:f>MOD(ABS(SIN((A513+2)*12.9898+78.233)*43758.5453),1)</x:f>
        <x:v>0.49931503723200876</x:v>
      </x:c>
      <x:c r="D513" s="131" t="n">
        <x:f>MOD(ABS(SIN((A513+3)*12.9898+78.233)*43758.5453),1)</x:f>
        <x:v>0.10249521040532272</x:v>
      </x:c>
      <x:c r="E513" s="131" t="n">
        <x:f>MOD(ABS(SIN((A513+4)*12.9898+78.233)*43758.5453),1)</x:f>
        <x:v>0.14309141977719264</x:v>
      </x:c>
      <x:c r="F513" s="131" t="n">
        <x:f>MOD(ABS(SIN((A513+5)*12.9898+78.233)*43758.5453),1)</x:f>
        <x:v>0.46090630859180237</x:v>
      </x:c>
      <x:c r="G513" s="132" t="n">
        <x:f>IF(B513&lt;(('Assumptions'!$C$47-'Assumptions'!$B$47)/('Assumptions'!$D$47-'Assumptions'!$B$47)),'Assumptions'!$B$47+SQRT(B513*('Assumptions'!$D$47-'Assumptions'!$B$47)*('Assumptions'!$C$47-'Assumptions'!$B$47)),'Assumptions'!$D$47-SQRT((1-B513)*('Assumptions'!$D$47-'Assumptions'!$B$47)*('Assumptions'!$D$47-'Assumptions'!$C$47)))</x:f>
        <x:v>-0.0008099160024795105</x:v>
      </x:c>
      <x:c r="H513" s="132" t="n">
        <x:f>IF(C513&lt;(('Assumptions'!$C$48-'Assumptions'!$B$48)/('Assumptions'!$D$48-'Assumptions'!$B$48)),'Assumptions'!$B$48+SQRT(C513*('Assumptions'!$D$48-'Assumptions'!$B$48)*('Assumptions'!$C$48-'Assumptions'!$B$48)),'Assumptions'!$D$48-SQRT((1-C513)*('Assumptions'!$D$48-'Assumptions'!$B$48)*('Assumptions'!$D$48-'Assumptions'!$C$48)))</x:f>
        <x:v>0.07362208445304777</x:v>
      </x:c>
      <x:c r="I513" s="132" t="n">
        <x:f>IF(D513&lt;(('Assumptions'!$C$49-'Assumptions'!$B$49)/('Assumptions'!$D$49-'Assumptions'!$B$49)),'Assumptions'!$B$49+SQRT(D513*('Assumptions'!$D$49-'Assumptions'!$B$49)*('Assumptions'!$C$49-'Assumptions'!$B$49)),'Assumptions'!$D$49-SQRT((1-D513)*('Assumptions'!$D$49-'Assumptions'!$B$49)*('Assumptions'!$D$49-'Assumptions'!$C$49)))</x:f>
        <x:v>0.003270832156372125</x:v>
      </x:c>
      <x:c r="J513" s="132" t="n">
        <x:f>IF(E513&lt;(('Assumptions'!$C$50-'Assumptions'!$B$50)/('Assumptions'!$D$50-'Assumptions'!$B$50)),'Assumptions'!$B$50+SQRT(E513*('Assumptions'!$D$50-'Assumptions'!$B$50)*('Assumptions'!$C$50-'Assumptions'!$B$50)),'Assumptions'!$D$50-SQRT((1-E513)*('Assumptions'!$D$50-'Assumptions'!$B$50)*('Assumptions'!$D$50-'Assumptions'!$C$50)))</x:f>
        <x:v>0.06317411397928067</x:v>
      </x:c>
      <x:c r="K513" s="132" t="n">
        <x:f>IF(F513&lt;(('Assumptions'!$C$51-'Assumptions'!$B$51)/('Assumptions'!$D$51-'Assumptions'!$B$51)),'Assumptions'!$B$51+SQRT(F513*('Assumptions'!$D$51-'Assumptions'!$B$51)*('Assumptions'!$C$51-'Assumptions'!$B$51)),'Assumptions'!$D$51-SQRT((1-F513)*('Assumptions'!$D$51-'Assumptions'!$B$51)*('Assumptions'!$D$51-'Assumptions'!$C$51)))</x:f>
        <x:v>0.06889289476689883</x:v>
      </x:c>
      <x:c r="L513" s="133" t="n">
        <x:f>(('Assumptions'!$B$17*(1+G513)+'Assumptions'!$B$18)*(1-H513-'Assumptions'!$B$20)-SUM('Assumptions'!$B$21:$B$25)*(1+I513))-(('Assumptions'!$B$17*(1+G513)+'Assumptions'!$B$18)*(1-H513-'Assumptions'!$B$20)*'Assumptions'!$B$26)</x:f>
        <x:v>205866.59257584083</x:v>
      </x:c>
      <x:c r="M513" s="133" t="n">
        <x:f>'Assumptions'!$B$10*'Assumptions'!$B$33</x:f>
        <x:v>1950000</x:v>
      </x:c>
      <x:c r="N513" s="133" t="n">
        <x:f>-PMT(K513/12,'Assumptions'!$B$35*12,M513)*12</x:f>
        <x:v>153944.83130791673</x:v>
      </x:c>
      <x:c r="O513" s="133" t="n">
        <x:f>(L513*(1+'Assumptions'!$B$29)^('Assumptions'!$B$14/12)/J513)*(1-'Assumptions'!$B$42)-'Debt Schedule'!$F$9</x:f>
        <x:v>3551081.9415523573</x:v>
      </x:c>
      <x:c r="P513" s="132" t="n">
        <x:f>((O513+(L513-N513-'Assumptions'!$B$27-'Assumptions'!$B$28)*('Assumptions'!$B$14/12))/ABS('Monthly Cash Flow'!$S$5))^(1/('Assumptions'!$B$14/12))-1</x:f>
        <x:v>0.2277152421656028</x:v>
      </x:c>
      <x:c r="Q513" s="133" t="n">
        <x:f>-ABS('Monthly Cash Flow'!$S$5)+((L513-N513-'Assumptions'!$B$27-'Assumptions'!$B$28)*(1-(1+'Assumptions'!$B$43)^-('Assumptions'!$B$14/12))/'Assumptions'!$B$43)+(O513/(1+'Assumptions'!$B$43)^('Assumptions'!$B$14/12))</x:f>
        <x:v>955635.3523226553</x:v>
      </x:c>
    </x:row>
    <x:row r="514">
      <x:c r="A514" s="131" t="n">
        <x:f>507</x:f>
        <x:v>507</x:v>
      </x:c>
      <x:c r="B514" s="131" t="n">
        <x:f>MOD(ABS(SIN((A514+1)*12.9898+78.233)*43758.5453),1)</x:f>
        <x:v>0.49931503723200876</x:v>
      </x:c>
      <x:c r="C514" s="131" t="n">
        <x:f>MOD(ABS(SIN((A514+2)*12.9898+78.233)*43758.5453),1)</x:f>
        <x:v>0.10249521040532272</x:v>
      </x:c>
      <x:c r="D514" s="131" t="n">
        <x:f>MOD(ABS(SIN((A514+3)*12.9898+78.233)*43758.5453),1)</x:f>
        <x:v>0.14309141977719264</x:v>
      </x:c>
      <x:c r="E514" s="131" t="n">
        <x:f>MOD(ABS(SIN((A514+4)*12.9898+78.233)*43758.5453),1)</x:f>
        <x:v>0.46090630859180237</x:v>
      </x:c>
      <x:c r="F514" s="131" t="n">
        <x:f>MOD(ABS(SIN((A514+5)*12.9898+78.233)*43758.5453),1)</x:f>
        <x:v>0.2511912674490304</x:v>
      </x:c>
      <x:c r="G514" s="132" t="n">
        <x:f>IF(B514&lt;(('Assumptions'!$C$47-'Assumptions'!$B$47)/('Assumptions'!$D$47-'Assumptions'!$B$47)),'Assumptions'!$B$47+SQRT(B514*('Assumptions'!$D$47-'Assumptions'!$B$47)*('Assumptions'!$C$47-'Assumptions'!$B$47)),'Assumptions'!$D$47-SQRT((1-B514)*('Assumptions'!$D$47-'Assumptions'!$B$47)*('Assumptions'!$D$47-'Assumptions'!$C$47)))</x:f>
        <x:v>0.009469451873882193</x:v>
      </x:c>
      <x:c r="H514" s="132" t="n">
        <x:f>IF(C514&lt;(('Assumptions'!$C$48-'Assumptions'!$B$48)/('Assumptions'!$D$48-'Assumptions'!$B$48)),'Assumptions'!$B$48+SQRT(C514*('Assumptions'!$D$48-'Assumptions'!$B$48)*('Assumptions'!$C$48-'Assumptions'!$B$48)),'Assumptions'!$D$48-SQRT((1-C514)*('Assumptions'!$D$48-'Assumptions'!$B$48)*('Assumptions'!$D$48-'Assumptions'!$C$48)))</x:f>
        <x:v>0.0483911444542629</x:v>
      </x:c>
      <x:c r="I514" s="132" t="n">
        <x:f>IF(D514&lt;(('Assumptions'!$C$49-'Assumptions'!$B$49)/('Assumptions'!$D$49-'Assumptions'!$B$49)),'Assumptions'!$B$49+SQRT(D514*('Assumptions'!$D$49-'Assumptions'!$B$49)*('Assumptions'!$C$49-'Assumptions'!$B$49)),'Assumptions'!$D$49-SQRT((1-D514)*('Assumptions'!$D$49-'Assumptions'!$B$49)*('Assumptions'!$D$49-'Assumptions'!$C$49)))</x:f>
        <x:v>0.009311414800203775</x:v>
      </x:c>
      <x:c r="J514" s="132" t="n">
        <x:f>IF(E514&lt;(('Assumptions'!$C$50-'Assumptions'!$B$50)/('Assumptions'!$D$50-'Assumptions'!$B$50)),'Assumptions'!$B$50+SQRT(E514*('Assumptions'!$D$50-'Assumptions'!$B$50)*('Assumptions'!$C$50-'Assumptions'!$B$50)),'Assumptions'!$D$50-SQRT((1-E514)*('Assumptions'!$D$50-'Assumptions'!$B$50)*('Assumptions'!$D$50-'Assumptions'!$C$50)))</x:f>
        <x:v>0.06768658858363957</x:v>
      </x:c>
      <x:c r="K514" s="132" t="n">
        <x:f>IF(F514&lt;(('Assumptions'!$C$51-'Assumptions'!$B$51)/('Assumptions'!$D$51-'Assumptions'!$B$51)),'Assumptions'!$B$51+SQRT(F514*('Assumptions'!$D$51-'Assumptions'!$B$51)*('Assumptions'!$C$51-'Assumptions'!$B$51)),'Assumptions'!$D$51-SQRT((1-F514)*('Assumptions'!$D$51-'Assumptions'!$B$51)*('Assumptions'!$D$51-'Assumptions'!$C$51)))</x:f>
        <x:v>0.0658112934341463</x:v>
      </x:c>
      <x:c r="L514" s="133" t="n">
        <x:f>(('Assumptions'!$B$17*(1+G514)+'Assumptions'!$B$18)*(1-H514-'Assumptions'!$B$20)-SUM('Assumptions'!$B$21:$B$25)*(1+I514))-(('Assumptions'!$B$17*(1+G514)+'Assumptions'!$B$18)*(1-H514-'Assumptions'!$B$20)*'Assumptions'!$B$26)</x:f>
        <x:v>217599.33245831242</x:v>
      </x:c>
      <x:c r="M514" s="133" t="n">
        <x:f>'Assumptions'!$B$10*'Assumptions'!$B$33</x:f>
        <x:v>1950000</x:v>
      </x:c>
      <x:c r="N514" s="133" t="n">
        <x:f>-PMT(K514/12,'Assumptions'!$B$35*12,M514)*12</x:f>
        <x:v>149154.6211596122</x:v>
      </x:c>
      <x:c r="O514" s="133" t="n">
        <x:f>(L514*(1+'Assumptions'!$B$29)^('Assumptions'!$B$14/12)/J514)*(1-'Assumptions'!$B$42)-'Debt Schedule'!$F$9</x:f>
        <x:v>3503232.084575584</x:v>
      </x:c>
      <x:c r="P514" s="132" t="n">
        <x:f>((O514+(L514-N514-'Assumptions'!$B$27-'Assumptions'!$B$28)*('Assumptions'!$B$14/12))/ABS('Monthly Cash Flow'!$S$5))^(1/('Assumptions'!$B$14/12))-1</x:f>
        <x:v>0.23007035676386178</x:v>
      </x:c>
      <x:c r="Q514" s="133" t="n">
        <x:f>-ABS('Monthly Cash Flow'!$S$5)+((L514-N514-'Assumptions'!$B$27-'Assumptions'!$B$28)*(1-(1+'Assumptions'!$B$43)^-('Assumptions'!$B$14/12))/'Assumptions'!$B$43)+(O514/(1+'Assumptions'!$B$43)^('Assumptions'!$B$14/12))</x:f>
        <x:v>988559.3361887089</x:v>
      </x:c>
    </x:row>
    <x:row r="515">
      <x:c r="A515" s="131" t="n">
        <x:f>508</x:f>
        <x:v>508</x:v>
      </x:c>
      <x:c r="B515" s="131" t="n">
        <x:f>MOD(ABS(SIN((A515+1)*12.9898+78.233)*43758.5453),1)</x:f>
        <x:v>0.10249521040532272</x:v>
      </x:c>
      <x:c r="C515" s="131" t="n">
        <x:f>MOD(ABS(SIN((A515+2)*12.9898+78.233)*43758.5453),1)</x:f>
        <x:v>0.14309141977719264</x:v>
      </x:c>
      <x:c r="D515" s="131" t="n">
        <x:f>MOD(ABS(SIN((A515+3)*12.9898+78.233)*43758.5453),1)</x:f>
        <x:v>0.46090630859180237</x:v>
      </x:c>
      <x:c r="E515" s="131" t="n">
        <x:f>MOD(ABS(SIN((A515+4)*12.9898+78.233)*43758.5453),1)</x:f>
        <x:v>0.2511912674490304</x:v>
      </x:c>
      <x:c r="F515" s="131" t="n">
        <x:f>MOD(ABS(SIN((A515+5)*12.9898+78.233)*43758.5453),1)</x:f>
        <x:v>0.3431658987674382</x:v>
      </x:c>
      <x:c r="G515" s="132" t="n">
        <x:f>IF(B515&lt;(('Assumptions'!$C$47-'Assumptions'!$B$47)/('Assumptions'!$D$47-'Assumptions'!$B$47)),'Assumptions'!$B$47+SQRT(B515*('Assumptions'!$D$47-'Assumptions'!$B$47)*('Assumptions'!$C$47-'Assumptions'!$B$47)),'Assumptions'!$D$47-SQRT((1-B515)*('Assumptions'!$D$47-'Assumptions'!$B$47)*('Assumptions'!$D$47-'Assumptions'!$C$47)))</x:f>
        <x:v>-0.050402771753577345</x:v>
      </x:c>
      <x:c r="H515" s="132" t="n">
        <x:f>IF(C515&lt;(('Assumptions'!$C$48-'Assumptions'!$B$48)/('Assumptions'!$D$48-'Assumptions'!$B$48)),'Assumptions'!$B$48+SQRT(C515*('Assumptions'!$D$48-'Assumptions'!$B$48)*('Assumptions'!$C$48-'Assumptions'!$B$48)),'Assumptions'!$D$48-SQRT((1-C515)*('Assumptions'!$D$48-'Assumptions'!$B$48)*('Assumptions'!$D$48-'Assumptions'!$C$48)))</x:f>
        <x:v>0.05173020214505</x:v>
      </x:c>
      <x:c r="I515" s="132" t="n">
        <x:f>IF(D515&lt;(('Assumptions'!$C$49-'Assumptions'!$B$49)/('Assumptions'!$D$49-'Assumptions'!$B$49)),'Assumptions'!$B$49+SQRT(D515*('Assumptions'!$D$49-'Assumptions'!$B$49)*('Assumptions'!$C$49-'Assumptions'!$B$49)),'Assumptions'!$D$49-SQRT((1-D515)*('Assumptions'!$D$49-'Assumptions'!$B$49)*('Assumptions'!$D$49-'Assumptions'!$C$49)))</x:f>
        <x:v>0.042090668918684015</x:v>
      </x:c>
      <x:c r="J515" s="132" t="n">
        <x:f>IF(E515&lt;(('Assumptions'!$C$50-'Assumptions'!$B$50)/('Assumptions'!$D$50-'Assumptions'!$B$50)),'Assumptions'!$B$50+SQRT(E515*('Assumptions'!$D$50-'Assumptions'!$B$50)*('Assumptions'!$C$50-'Assumptions'!$B$50)),'Assumptions'!$D$50-SQRT((1-E515)*('Assumptions'!$D$50-'Assumptions'!$B$50)*('Assumptions'!$D$50-'Assumptions'!$C$50)))</x:f>
        <x:v>0.06501784777552937</x:v>
      </x:c>
      <x:c r="K515" s="132" t="n">
        <x:f>IF(F515&lt;(('Assumptions'!$C$51-'Assumptions'!$B$51)/('Assumptions'!$D$51-'Assumptions'!$B$51)),'Assumptions'!$B$51+SQRT(F515*('Assumptions'!$D$51-'Assumptions'!$B$51)*('Assumptions'!$C$51-'Assumptions'!$B$51)),'Assumptions'!$D$51-SQRT((1-F515)*('Assumptions'!$D$51-'Assumptions'!$B$51)*('Assumptions'!$D$51-'Assumptions'!$C$51)))</x:f>
        <x:v>0.06721445429043987</x:v>
      </x:c>
      <x:c r="L515" s="133" t="n">
        <x:f>(('Assumptions'!$B$17*(1+G515)+'Assumptions'!$B$18)*(1-H515-'Assumptions'!$B$20)-SUM('Assumptions'!$B$21:$B$25)*(1+I515))-(('Assumptions'!$B$17*(1+G515)+'Assumptions'!$B$18)*(1-H515-'Assumptions'!$B$20)*'Assumptions'!$B$26)</x:f>
        <x:v>192832.01265249876</x:v>
      </x:c>
      <x:c r="M515" s="133" t="n">
        <x:f>'Assumptions'!$B$10*'Assumptions'!$B$33</x:f>
        <x:v>1950000</x:v>
      </x:c>
      <x:c r="N515" s="133" t="n">
        <x:f>-PMT(K515/12,'Assumptions'!$B$35*12,M515)*12</x:f>
        <x:v>151328.06882430683</x:v>
      </x:c>
      <x:c r="O515" s="133" t="n">
        <x:f>(L515*(1+'Assumptions'!$B$29)^('Assumptions'!$B$14/12)/J515)*(1-'Assumptions'!$B$42)-'Debt Schedule'!$F$9</x:f>
        <x:v>3231919.403281611</x:v>
      </x:c>
      <x:c r="P515" s="132" t="n">
        <x:f>((O515+(L515-N515-'Assumptions'!$B$27-'Assumptions'!$B$28)*('Assumptions'!$B$14/12))/ABS('Monthly Cash Flow'!$S$5))^(1/('Assumptions'!$B$14/12))-1</x:f>
        <x:v>0.20136106735996506</x:v>
      </x:c>
      <x:c r="Q515" s="133" t="n">
        <x:f>-ABS('Monthly Cash Flow'!$S$5)+((L515-N515-'Assumptions'!$B$27-'Assumptions'!$B$28)*(1-(1+'Assumptions'!$B$43)^-('Assumptions'!$B$14/12))/'Assumptions'!$B$43)+(O515/(1+'Assumptions'!$B$43)^('Assumptions'!$B$14/12))</x:f>
        <x:v>717968.802272016</x:v>
      </x:c>
    </x:row>
    <x:row r="516">
      <x:c r="A516" s="131" t="n">
        <x:f>509</x:f>
        <x:v>509</x:v>
      </x:c>
      <x:c r="B516" s="131" t="n">
        <x:f>MOD(ABS(SIN((A516+1)*12.9898+78.233)*43758.5453),1)</x:f>
        <x:v>0.14309141977719264</x:v>
      </x:c>
      <x:c r="C516" s="131" t="n">
        <x:f>MOD(ABS(SIN((A516+2)*12.9898+78.233)*43758.5453),1)</x:f>
        <x:v>0.46090630859180237</x:v>
      </x:c>
      <x:c r="D516" s="131" t="n">
        <x:f>MOD(ABS(SIN((A516+3)*12.9898+78.233)*43758.5453),1)</x:f>
        <x:v>0.2511912674490304</x:v>
      </x:c>
      <x:c r="E516" s="131" t="n">
        <x:f>MOD(ABS(SIN((A516+4)*12.9898+78.233)*43758.5453),1)</x:f>
        <x:v>0.3431658987674382</x:v>
      </x:c>
      <x:c r="F516" s="131" t="n">
        <x:f>MOD(ABS(SIN((A516+5)*12.9898+78.233)*43758.5453),1)</x:f>
        <x:v>0.7707604341558181</x:v>
      </x:c>
      <x:c r="G516" s="132" t="n">
        <x:f>IF(B516&lt;(('Assumptions'!$C$47-'Assumptions'!$B$47)/('Assumptions'!$D$47-'Assumptions'!$B$47)),'Assumptions'!$B$47+SQRT(B516*('Assumptions'!$D$47-'Assumptions'!$B$47)*('Assumptions'!$C$47-'Assumptions'!$B$47)),'Assumptions'!$D$47-SQRT((1-B516)*('Assumptions'!$D$47-'Assumptions'!$B$47)*('Assumptions'!$D$47-'Assumptions'!$C$47)))</x:f>
        <x:v>-0.04139800281003536</x:v>
      </x:c>
      <x:c r="H516" s="132" t="n">
        <x:f>IF(C516&lt;(('Assumptions'!$C$48-'Assumptions'!$B$48)/('Assumptions'!$D$48-'Assumptions'!$B$48)),'Assumptions'!$B$48+SQRT(C516*('Assumptions'!$D$48-'Assumptions'!$B$48)*('Assumptions'!$C$48-'Assumptions'!$B$48)),'Assumptions'!$D$48-SQRT((1-C516)*('Assumptions'!$D$48-'Assumptions'!$B$48)*('Assumptions'!$D$48-'Assumptions'!$C$48)))</x:f>
        <x:v>0.07112312082859634</x:v>
      </x:c>
      <x:c r="I516" s="132" t="n">
        <x:f>IF(D516&lt;(('Assumptions'!$C$49-'Assumptions'!$B$49)/('Assumptions'!$D$49-'Assumptions'!$B$49)),'Assumptions'!$B$49+SQRT(D516*('Assumptions'!$D$49-'Assumptions'!$B$49)*('Assumptions'!$C$49-'Assumptions'!$B$49)),'Assumptions'!$D$49-SQRT((1-D516)*('Assumptions'!$D$49-'Assumptions'!$B$49)*('Assumptions'!$D$49-'Assumptions'!$C$49)))</x:f>
        <x:v>0.022085177243142108</x:v>
      </x:c>
      <x:c r="J516" s="132" t="n">
        <x:f>IF(E516&lt;(('Assumptions'!$C$50-'Assumptions'!$B$50)/('Assumptions'!$D$50-'Assumptions'!$B$50)),'Assumptions'!$B$50+SQRT(E516*('Assumptions'!$D$50-'Assumptions'!$B$50)*('Assumptions'!$C$50-'Assumptions'!$B$50)),'Assumptions'!$D$50-SQRT((1-E516)*('Assumptions'!$D$50-'Assumptions'!$B$50)*('Assumptions'!$D$50-'Assumptions'!$C$50)))</x:f>
        <x:v>0.06628705452484925</x:v>
      </x:c>
      <x:c r="K516" s="132" t="n">
        <x:f>IF(F516&lt;(('Assumptions'!$C$51-'Assumptions'!$B$51)/('Assumptions'!$D$51-'Assumptions'!$B$51)),'Assumptions'!$B$51+SQRT(F516*('Assumptions'!$D$51-'Assumptions'!$B$51)*('Assumptions'!$C$51-'Assumptions'!$B$51)),'Assumptions'!$D$51-SQRT((1-F516)*('Assumptions'!$D$51-'Assumptions'!$B$51)*('Assumptions'!$D$51-'Assumptions'!$C$51)))</x:f>
        <x:v>0.07449659383521172</x:v>
      </x:c>
      <x:c r="L516" s="133" t="n">
        <x:f>(('Assumptions'!$B$17*(1+G516)+'Assumptions'!$B$18)*(1-H516-'Assumptions'!$B$20)-SUM('Assumptions'!$B$21:$B$25)*(1+I516))-(('Assumptions'!$B$17*(1+G516)+'Assumptions'!$B$18)*(1-H516-'Assumptions'!$B$20)*'Assumptions'!$B$26)</x:f>
        <x:v>191512.80044953254</x:v>
      </x:c>
      <x:c r="M516" s="133" t="n">
        <x:f>'Assumptions'!$B$10*'Assumptions'!$B$33</x:f>
        <x:v>1950000</x:v>
      </x:c>
      <x:c r="N516" s="133" t="n">
        <x:f>-PMT(K516/12,'Assumptions'!$B$35*12,M516)*12</x:f>
        <x:v>162810.3354704811</x:v>
      </x:c>
      <x:c r="O516" s="133" t="n">
        <x:f>(L516*(1+'Assumptions'!$B$29)^('Assumptions'!$B$14/12)/J516)*(1-'Assumptions'!$B$42)-'Debt Schedule'!$F$9</x:f>
        <x:v>3148350.4054631717</x:v>
      </x:c>
      <x:c r="P516" s="132" t="n">
        <x:f>((O516+(L516-N516-'Assumptions'!$B$27-'Assumptions'!$B$28)*('Assumptions'!$B$14/12))/ABS('Monthly Cash Flow'!$S$5))^(1/('Assumptions'!$B$14/12))-1</x:f>
        <x:v>0.19021009610228257</x:v>
      </x:c>
      <x:c r="Q516" s="133" t="n">
        <x:f>-ABS('Monthly Cash Flow'!$S$5)+((L516-N516-'Assumptions'!$B$27-'Assumptions'!$B$28)*(1-(1+'Assumptions'!$B$43)^-('Assumptions'!$B$14/12))/'Assumptions'!$B$43)+(O516/(1+'Assumptions'!$B$43)^('Assumptions'!$B$14/12))</x:f>
        <x:v>617551.3529296792</x:v>
      </x:c>
    </x:row>
    <x:row r="517">
      <x:c r="A517" s="131" t="n">
        <x:f>510</x:f>
        <x:v>510</x:v>
      </x:c>
      <x:c r="B517" s="131" t="n">
        <x:f>MOD(ABS(SIN((A517+1)*12.9898+78.233)*43758.5453),1)</x:f>
        <x:v>0.46090630859180237</x:v>
      </x:c>
      <x:c r="C517" s="131" t="n">
        <x:f>MOD(ABS(SIN((A517+2)*12.9898+78.233)*43758.5453),1)</x:f>
        <x:v>0.2511912674490304</x:v>
      </x:c>
      <x:c r="D517" s="131" t="n">
        <x:f>MOD(ABS(SIN((A517+3)*12.9898+78.233)*43758.5453),1)</x:f>
        <x:v>0.3431658987674382</x:v>
      </x:c>
      <x:c r="E517" s="131" t="n">
        <x:f>MOD(ABS(SIN((A517+4)*12.9898+78.233)*43758.5453),1)</x:f>
        <x:v>0.7707604341558181</x:v>
      </x:c>
      <x:c r="F517" s="131" t="n">
        <x:f>MOD(ABS(SIN((A517+5)*12.9898+78.233)*43758.5453),1)</x:f>
        <x:v>0.4489306606410537</x:v>
      </x:c>
      <x:c r="G517" s="132" t="n">
        <x:f>IF(B517&lt;(('Assumptions'!$C$47-'Assumptions'!$B$47)/('Assumptions'!$D$47-'Assumptions'!$B$47)),'Assumptions'!$B$47+SQRT(B517*('Assumptions'!$D$47-'Assumptions'!$B$47)*('Assumptions'!$C$47-'Assumptions'!$B$47)),'Assumptions'!$D$47-SQRT((1-B517)*('Assumptions'!$D$47-'Assumptions'!$B$47)*('Assumptions'!$D$47-'Assumptions'!$C$47)))</x:f>
        <x:v>0.005174861094290287</x:v>
      </x:c>
      <x:c r="H517" s="132" t="n">
        <x:f>IF(C517&lt;(('Assumptions'!$C$48-'Assumptions'!$B$48)/('Assumptions'!$D$48-'Assumptions'!$B$48)),'Assumptions'!$B$48+SQRT(C517*('Assumptions'!$D$48-'Assumptions'!$B$48)*('Assumptions'!$C$48-'Assumptions'!$B$48)),'Assumptions'!$D$48-SQRT((1-C517)*('Assumptions'!$D$48-'Assumptions'!$B$48)*('Assumptions'!$D$48-'Assumptions'!$C$48)))</x:f>
        <x:v>0.05879116500911001</x:v>
      </x:c>
      <x:c r="I517" s="132" t="n">
        <x:f>IF(D517&lt;(('Assumptions'!$C$49-'Assumptions'!$B$49)/('Assumptions'!$D$49-'Assumptions'!$B$49)),'Assumptions'!$B$49+SQRT(D517*('Assumptions'!$D$49-'Assumptions'!$B$49)*('Assumptions'!$C$49-'Assumptions'!$B$49)),'Assumptions'!$D$49-SQRT((1-D517)*('Assumptions'!$D$49-'Assumptions'!$B$49)*('Assumptions'!$D$49-'Assumptions'!$C$49)))</x:f>
        <x:v>0.030888218103231543</x:v>
      </x:c>
      <x:c r="J517" s="132" t="n">
        <x:f>IF(E517&lt;(('Assumptions'!$C$50-'Assumptions'!$B$50)/('Assumptions'!$D$50-'Assumptions'!$B$50)),'Assumptions'!$B$50+SQRT(E517*('Assumptions'!$D$50-'Assumptions'!$B$50)*('Assumptions'!$C$50-'Assumptions'!$B$50)),'Assumptions'!$D$50-SQRT((1-E517)*('Assumptions'!$D$50-'Assumptions'!$B$50)*('Assumptions'!$D$50-'Assumptions'!$C$50)))</x:f>
        <x:v>0.07197045282138051</x:v>
      </x:c>
      <x:c r="K517" s="132" t="n">
        <x:f>IF(F517&lt;(('Assumptions'!$C$51-'Assumptions'!$B$51)/('Assumptions'!$D$51-'Assumptions'!$B$51)),'Assumptions'!$B$51+SQRT(F517*('Assumptions'!$D$51-'Assumptions'!$B$51)*('Assumptions'!$C$51-'Assumptions'!$B$51)),'Assumptions'!$D$51-SQRT((1-F517)*('Assumptions'!$D$51-'Assumptions'!$B$51)*('Assumptions'!$D$51-'Assumptions'!$C$51)))</x:f>
        <x:v>0.06871497253405777</x:v>
      </x:c>
      <x:c r="L517" s="133" t="n">
        <x:f>(('Assumptions'!$B$17*(1+G517)+'Assumptions'!$B$18)*(1-H517-'Assumptions'!$B$20)-SUM('Assumptions'!$B$21:$B$25)*(1+I517))-(('Assumptions'!$B$17*(1+G517)+'Assumptions'!$B$18)*(1-H517-'Assumptions'!$B$20)*'Assumptions'!$B$26)</x:f>
        <x:v>209690.55023425404</x:v>
      </x:c>
      <x:c r="M517" s="133" t="n">
        <x:f>'Assumptions'!$B$10*'Assumptions'!$B$33</x:f>
        <x:v>1950000</x:v>
      </x:c>
      <x:c r="N517" s="133" t="n">
        <x:f>-PMT(K517/12,'Assumptions'!$B$35*12,M517)*12</x:f>
        <x:v>153666.57911919433</x:v>
      </x:c>
      <x:c r="O517" s="133" t="n">
        <x:f>(L517*(1+'Assumptions'!$B$29)^('Assumptions'!$B$14/12)/J517)*(1-'Assumptions'!$B$42)-'Debt Schedule'!$F$9</x:f>
        <x:v>3174962.5081371428</x:v>
      </x:c>
      <x:c r="P517" s="132" t="n">
        <x:f>((O517+(L517-N517-'Assumptions'!$B$27-'Assumptions'!$B$28)*('Assumptions'!$B$14/12))/ABS('Monthly Cash Flow'!$S$5))^(1/('Assumptions'!$B$14/12))-1</x:f>
        <x:v>0.20251910640828297</x:v>
      </x:c>
      <x:c r="Q517" s="133" t="n">
        <x:f>-ABS('Monthly Cash Flow'!$S$5)+((L517-N517-'Assumptions'!$B$27-'Assumptions'!$B$28)*(1-(1+'Assumptions'!$B$43)^-('Assumptions'!$B$14/12))/'Assumptions'!$B$43)+(O517/(1+'Assumptions'!$B$43)^('Assumptions'!$B$14/12))</x:f>
        <x:v>737645.3789120791</x:v>
      </x:c>
    </x:row>
    <x:row r="518">
      <x:c r="A518" s="131" t="n">
        <x:f>511</x:f>
        <x:v>511</x:v>
      </x:c>
      <x:c r="B518" s="131" t="n">
        <x:f>MOD(ABS(SIN((A518+1)*12.9898+78.233)*43758.5453),1)</x:f>
        <x:v>0.2511912674490304</x:v>
      </x:c>
      <x:c r="C518" s="131" t="n">
        <x:f>MOD(ABS(SIN((A518+2)*12.9898+78.233)*43758.5453),1)</x:f>
        <x:v>0.3431658987674382</x:v>
      </x:c>
      <x:c r="D518" s="131" t="n">
        <x:f>MOD(ABS(SIN((A518+3)*12.9898+78.233)*43758.5453),1)</x:f>
        <x:v>0.7707604341558181</x:v>
      </x:c>
      <x:c r="E518" s="131" t="n">
        <x:f>MOD(ABS(SIN((A518+4)*12.9898+78.233)*43758.5453),1)</x:f>
        <x:v>0.4489306606410537</x:v>
      </x:c>
      <x:c r="F518" s="131" t="n">
        <x:f>MOD(ABS(SIN((A518+5)*12.9898+78.233)*43758.5453),1)</x:f>
        <x:v>0.8803984665937605</x:v>
      </x:c>
      <x:c r="G518" s="132" t="n">
        <x:f>IF(B518&lt;(('Assumptions'!$C$47-'Assumptions'!$B$47)/('Assumptions'!$D$47-'Assumptions'!$B$47)),'Assumptions'!$B$47+SQRT(B518*('Assumptions'!$D$47-'Assumptions'!$B$47)*('Assumptions'!$C$47-'Assumptions'!$B$47)),'Assumptions'!$D$47-SQRT((1-B518)*('Assumptions'!$D$47-'Assumptions'!$B$47)*('Assumptions'!$D$47-'Assumptions'!$C$47)))</x:f>
        <x:v>-0.022356002042806106</x:v>
      </x:c>
      <x:c r="H518" s="132" t="n">
        <x:f>IF(C518&lt;(('Assumptions'!$C$48-'Assumptions'!$B$48)/('Assumptions'!$D$48-'Assumptions'!$B$48)),'Assumptions'!$B$48+SQRT(C518*('Assumptions'!$D$48-'Assumptions'!$B$48)*('Assumptions'!$C$48-'Assumptions'!$B$48)),'Assumptions'!$D$48-SQRT((1-C518)*('Assumptions'!$D$48-'Assumptions'!$B$48)*('Assumptions'!$D$48-'Assumptions'!$C$48)))</x:f>
        <x:v>0.06397276743924882</x:v>
      </x:c>
      <x:c r="I518" s="132" t="n">
        <x:f>IF(D518&lt;(('Assumptions'!$C$49-'Assumptions'!$B$49)/('Assumptions'!$D$49-'Assumptions'!$B$49)),'Assumptions'!$B$49+SQRT(D518*('Assumptions'!$D$49-'Assumptions'!$B$49)*('Assumptions'!$C$49-'Assumptions'!$B$49)),'Assumptions'!$D$49-SQRT((1-D518)*('Assumptions'!$D$49-'Assumptions'!$B$49)*('Assumptions'!$D$49-'Assumptions'!$C$49)))</x:f>
        <x:v>0.07963257413949029</x:v>
      </x:c>
      <x:c r="J518" s="132" t="n">
        <x:f>IF(E518&lt;(('Assumptions'!$C$50-'Assumptions'!$B$50)/('Assumptions'!$D$50-'Assumptions'!$B$50)),'Assumptions'!$B$50+SQRT(E518*('Assumptions'!$D$50-'Assumptions'!$B$50)*('Assumptions'!$C$50-'Assumptions'!$B$50)),'Assumptions'!$D$50-SQRT((1-E518)*('Assumptions'!$D$50-'Assumptions'!$B$50)*('Assumptions'!$D$50-'Assumptions'!$C$50)))</x:f>
        <x:v>0.06755057223424693</x:v>
      </x:c>
      <x:c r="K518" s="132" t="n">
        <x:f>IF(F518&lt;(('Assumptions'!$C$51-'Assumptions'!$B$51)/('Assumptions'!$D$51-'Assumptions'!$B$51)),'Assumptions'!$B$51+SQRT(F518*('Assumptions'!$D$51-'Assumptions'!$B$51)*('Assumptions'!$C$51-'Assumptions'!$B$51)),'Assumptions'!$D$51-SQRT((1-F518)*('Assumptions'!$D$51-'Assumptions'!$B$51)*('Assumptions'!$D$51-'Assumptions'!$C$51)))</x:f>
        <x:v>0.07741328543098182</x:v>
      </x:c>
      <x:c r="L518" s="133" t="n">
        <x:f>(('Assumptions'!$B$17*(1+G518)+'Assumptions'!$B$18)*(1-H518-'Assumptions'!$B$20)-SUM('Assumptions'!$B$21:$B$25)*(1+I518))-(('Assumptions'!$B$17*(1+G518)+'Assumptions'!$B$18)*(1-H518-'Assumptions'!$B$20)*'Assumptions'!$B$26)</x:f>
        <x:v>192848.35443757422</x:v>
      </x:c>
      <x:c r="M518" s="133" t="n">
        <x:f>'Assumptions'!$B$10*'Assumptions'!$B$33</x:f>
        <x:v>1950000</x:v>
      </x:c>
      <x:c r="N518" s="133" t="n">
        <x:f>-PMT(K518/12,'Assumptions'!$B$35*12,M518)*12</x:f>
        <x:v>167500.26807340133</x:v>
      </x:c>
      <x:c r="O518" s="133" t="n">
        <x:f>(L518*(1+'Assumptions'!$B$29)^('Assumptions'!$B$14/12)/J518)*(1-'Assumptions'!$B$42)-'Debt Schedule'!$F$9</x:f>
        <x:v>3111006.239708816</x:v>
      </x:c>
      <x:c r="P518" s="132" t="n">
        <x:f>((O518+(L518-N518-'Assumptions'!$B$27-'Assumptions'!$B$28)*('Assumptions'!$B$14/12))/ABS('Monthly Cash Flow'!$S$5))^(1/('Assumptions'!$B$14/12))-1</x:f>
        <x:v>0.1860142299544434</x:v>
      </x:c>
      <x:c r="Q518" s="133" t="n">
        <x:f>-ABS('Monthly Cash Flow'!$S$5)+((L518-N518-'Assumptions'!$B$27-'Assumptions'!$B$28)*(1-(1+'Assumptions'!$B$43)^-('Assumptions'!$B$14/12))/'Assumptions'!$B$43)+(O518/(1+'Assumptions'!$B$43)^('Assumptions'!$B$14/12))</x:f>
        <x:v>581647.8300480761</x:v>
      </x:c>
    </x:row>
    <x:row r="519">
      <x:c r="A519" s="131" t="n">
        <x:f>512</x:f>
        <x:v>512</x:v>
      </x:c>
      <x:c r="B519" s="131" t="n">
        <x:f>MOD(ABS(SIN((A519+1)*12.9898+78.233)*43758.5453),1)</x:f>
        <x:v>0.3431658987674382</x:v>
      </x:c>
      <x:c r="C519" s="131" t="n">
        <x:f>MOD(ABS(SIN((A519+2)*12.9898+78.233)*43758.5453),1)</x:f>
        <x:v>0.7707604341558181</x:v>
      </x:c>
      <x:c r="D519" s="131" t="n">
        <x:f>MOD(ABS(SIN((A519+3)*12.9898+78.233)*43758.5453),1)</x:f>
        <x:v>0.4489306606410537</x:v>
      </x:c>
      <x:c r="E519" s="131" t="n">
        <x:f>MOD(ABS(SIN((A519+4)*12.9898+78.233)*43758.5453),1)</x:f>
        <x:v>0.8803984665937605</x:v>
      </x:c>
      <x:c r="F519" s="131" t="n">
        <x:f>MOD(ABS(SIN((A519+5)*12.9898+78.233)*43758.5453),1)</x:f>
        <x:v>0.4619704082288081</x:v>
      </x:c>
      <x:c r="G519" s="132" t="n">
        <x:f>IF(B519&lt;(('Assumptions'!$C$47-'Assumptions'!$B$47)/('Assumptions'!$D$47-'Assumptions'!$B$47)),'Assumptions'!$B$47+SQRT(B519*('Assumptions'!$D$47-'Assumptions'!$B$47)*('Assumptions'!$C$47-'Assumptions'!$B$47)),'Assumptions'!$D$47-SQRT((1-B519)*('Assumptions'!$D$47-'Assumptions'!$B$47)*('Assumptions'!$D$47-'Assumptions'!$C$47)))</x:f>
        <x:v>-0.00924769110144627</x:v>
      </x:c>
      <x:c r="H519" s="132" t="n">
        <x:f>IF(C519&lt;(('Assumptions'!$C$48-'Assumptions'!$B$48)/('Assumptions'!$D$48-'Assumptions'!$B$48)),'Assumptions'!$B$48+SQRT(C519*('Assumptions'!$D$48-'Assumptions'!$B$48)*('Assumptions'!$C$48-'Assumptions'!$B$48)),'Assumptions'!$D$48-SQRT((1-C519)*('Assumptions'!$D$48-'Assumptions'!$B$48)*('Assumptions'!$D$48-'Assumptions'!$C$48)))</x:f>
        <x:v>0.09508554598540911</x:v>
      </x:c>
      <x:c r="I519" s="132" t="n">
        <x:f>IF(D519&lt;(('Assumptions'!$C$49-'Assumptions'!$B$49)/('Assumptions'!$D$49-'Assumptions'!$B$49)),'Assumptions'!$B$49+SQRT(D519*('Assumptions'!$D$49-'Assumptions'!$B$49)*('Assumptions'!$C$49-'Assumptions'!$B$49)),'Assumptions'!$D$49-SQRT((1-D519)*('Assumptions'!$D$49-'Assumptions'!$B$49)*('Assumptions'!$D$49-'Assumptions'!$C$49)))</x:f>
        <x:v>0.04089868135465438</x:v>
      </x:c>
      <x:c r="J519" s="132" t="n">
        <x:f>IF(E519&lt;(('Assumptions'!$C$50-'Assumptions'!$B$50)/('Assumptions'!$D$50-'Assumptions'!$B$50)),'Assumptions'!$B$50+SQRT(E519*('Assumptions'!$D$50-'Assumptions'!$B$50)*('Assumptions'!$C$50-'Assumptions'!$B$50)),'Assumptions'!$D$50-SQRT((1-E519)*('Assumptions'!$D$50-'Assumptions'!$B$50)*('Assumptions'!$D$50-'Assumptions'!$C$50)))</x:f>
        <x:v>0.07420017834149145</x:v>
      </x:c>
      <x:c r="K519" s="132" t="n">
        <x:f>IF(F519&lt;(('Assumptions'!$C$51-'Assumptions'!$B$51)/('Assumptions'!$D$51-'Assumptions'!$B$51)),'Assumptions'!$B$51+SQRT(F519*('Assumptions'!$D$51-'Assumptions'!$B$51)*('Assumptions'!$C$51-'Assumptions'!$B$51)),'Assumptions'!$D$51-SQRT((1-F519)*('Assumptions'!$D$51-'Assumptions'!$B$51)*('Assumptions'!$D$51-'Assumptions'!$C$51)))</x:f>
        <x:v>0.06890879926668349</x:v>
      </x:c>
      <x:c r="L519" s="133" t="n">
        <x:f>(('Assumptions'!$B$17*(1+G519)+'Assumptions'!$B$18)*(1-H519-'Assumptions'!$B$20)-SUM('Assumptions'!$B$21:$B$25)*(1+I519))-(('Assumptions'!$B$17*(1+G519)+'Assumptions'!$B$18)*(1-H519-'Assumptions'!$B$20)*'Assumptions'!$B$26)</x:f>
        <x:v>190733.174797302</x:v>
      </x:c>
      <x:c r="M519" s="133" t="n">
        <x:f>'Assumptions'!$B$10*'Assumptions'!$B$33</x:f>
        <x:v>1950000</x:v>
      </x:c>
      <x:c r="N519" s="133" t="n">
        <x:f>-PMT(K519/12,'Assumptions'!$B$35*12,M519)*12</x:f>
        <x:v>153969.7142276694</x:v>
      </x:c>
      <x:c r="O519" s="133" t="n">
        <x:f>(L519*(1+'Assumptions'!$B$29)^('Assumptions'!$B$14/12)/J519)*(1-'Assumptions'!$B$42)-'Debt Schedule'!$F$9</x:f>
        <x:v>2801142.905826849</x:v>
      </x:c>
      <x:c r="P519" s="132" t="n">
        <x:f>((O519+(L519-N519-'Assumptions'!$B$27-'Assumptions'!$B$28)*('Assumptions'!$B$14/12))/ABS('Monthly Cash Flow'!$S$5))^(1/('Assumptions'!$B$14/12))-1</x:f>
        <x:v>0.165583491920978</x:v>
      </x:c>
      <x:c r="Q519" s="133" t="n">
        <x:f>-ABS('Monthly Cash Flow'!$S$5)+((L519-N519-'Assumptions'!$B$27-'Assumptions'!$B$28)*(1-(1+'Assumptions'!$B$43)^-('Assumptions'!$B$14/12))/'Assumptions'!$B$43)+(O519/(1+'Assumptions'!$B$43)^('Assumptions'!$B$14/12))</x:f>
        <x:v>432520.32831246755</x:v>
      </x:c>
    </x:row>
    <x:row r="520">
      <x:c r="A520" s="131" t="n">
        <x:f>513</x:f>
        <x:v>513</x:v>
      </x:c>
      <x:c r="B520" s="131" t="n">
        <x:f>MOD(ABS(SIN((A520+1)*12.9898+78.233)*43758.5453),1)</x:f>
        <x:v>0.7707604341558181</x:v>
      </x:c>
      <x:c r="C520" s="131" t="n">
        <x:f>MOD(ABS(SIN((A520+2)*12.9898+78.233)*43758.5453),1)</x:f>
        <x:v>0.4489306606410537</x:v>
      </x:c>
      <x:c r="D520" s="131" t="n">
        <x:f>MOD(ABS(SIN((A520+3)*12.9898+78.233)*43758.5453),1)</x:f>
        <x:v>0.8803984665937605</x:v>
      </x:c>
      <x:c r="E520" s="131" t="n">
        <x:f>MOD(ABS(SIN((A520+4)*12.9898+78.233)*43758.5453),1)</x:f>
        <x:v>0.4619704082288081</x:v>
      </x:c>
      <x:c r="F520" s="131" t="n">
        <x:f>MOD(ABS(SIN((A520+5)*12.9898+78.233)*43758.5453),1)</x:f>
        <x:v>0.7775863201313769</x:v>
      </x:c>
      <x:c r="G520" s="132" t="n">
        <x:f>IF(B520&lt;(('Assumptions'!$C$47-'Assumptions'!$B$47)/('Assumptions'!$D$47-'Assumptions'!$B$47)),'Assumptions'!$B$47+SQRT(B520*('Assumptions'!$D$47-'Assumptions'!$B$47)*('Assumptions'!$C$47-'Assumptions'!$B$47)),'Assumptions'!$D$47-SQRT((1-B520)*('Assumptions'!$D$47-'Assumptions'!$B$47)*('Assumptions'!$D$47-'Assumptions'!$C$47)))</x:f>
        <x:v>0.03943736256150241</x:v>
      </x:c>
      <x:c r="H520" s="132" t="n">
        <x:f>IF(C520&lt;(('Assumptions'!$C$48-'Assumptions'!$B$48)/('Assumptions'!$D$48-'Assumptions'!$B$48)),'Assumptions'!$B$48+SQRT(C520*('Assumptions'!$D$48-'Assumptions'!$B$48)*('Assumptions'!$C$48-'Assumptions'!$B$48)),'Assumptions'!$D$48-SQRT((1-C520)*('Assumptions'!$D$48-'Assumptions'!$B$48)*('Assumptions'!$D$48-'Assumptions'!$C$48)))</x:f>
        <x:v>0.0703622933579894</x:v>
      </x:c>
      <x:c r="I520" s="132" t="n">
        <x:f>IF(D520&lt;(('Assumptions'!$C$49-'Assumptions'!$B$49)/('Assumptions'!$D$49-'Assumptions'!$B$49)),'Assumptions'!$B$49+SQRT(D520*('Assumptions'!$D$49-'Assumptions'!$B$49)*('Assumptions'!$C$49-'Assumptions'!$B$49)),'Assumptions'!$D$49-SQRT((1-D520)*('Assumptions'!$D$49-'Assumptions'!$B$49)*('Assumptions'!$D$49-'Assumptions'!$C$49)))</x:f>
        <x:v>0.09917290957004549</x:v>
      </x:c>
      <x:c r="J520" s="132" t="n">
        <x:f>IF(E520&lt;(('Assumptions'!$C$50-'Assumptions'!$B$50)/('Assumptions'!$D$50-'Assumptions'!$B$50)),'Assumptions'!$B$50+SQRT(E520*('Assumptions'!$D$50-'Assumptions'!$B$50)*('Assumptions'!$C$50-'Assumptions'!$B$50)),'Assumptions'!$D$50-SQRT((1-E520)*('Assumptions'!$D$50-'Assumptions'!$B$50)*('Assumptions'!$D$50-'Assumptions'!$C$50)))</x:f>
        <x:v>0.06769874710910927</x:v>
      </x:c>
      <x:c r="K520" s="132" t="n">
        <x:f>IF(F520&lt;(('Assumptions'!$C$51-'Assumptions'!$B$51)/('Assumptions'!$D$51-'Assumptions'!$B$51)),'Assumptions'!$B$51+SQRT(F520*('Assumptions'!$D$51-'Assumptions'!$B$51)*('Assumptions'!$C$51-'Assumptions'!$B$51)),'Assumptions'!$D$51-SQRT((1-F520)*('Assumptions'!$D$51-'Assumptions'!$B$51)*('Assumptions'!$D$51-'Assumptions'!$C$51)))</x:f>
        <x:v>0.07465415139117265</x:v>
      </x:c>
      <x:c r="L520" s="133" t="n">
        <x:f>(('Assumptions'!$B$17*(1+G520)+'Assumptions'!$B$18)*(1-H520-'Assumptions'!$B$20)-SUM('Assumptions'!$B$21:$B$25)*(1+I520))-(('Assumptions'!$B$17*(1+G520)+'Assumptions'!$B$18)*(1-H520-'Assumptions'!$B$20)*'Assumptions'!$B$26)</x:f>
        <x:v>207756.59478523827</x:v>
      </x:c>
      <x:c r="M520" s="133" t="n">
        <x:f>'Assumptions'!$B$10*'Assumptions'!$B$33</x:f>
        <x:v>1950000</x:v>
      </x:c>
      <x:c r="N520" s="133" t="n">
        <x:f>-PMT(K520/12,'Assumptions'!$B$35*12,M520)*12</x:f>
        <x:v>163062.3925007083</x:v>
      </x:c>
      <x:c r="O520" s="133" t="n">
        <x:f>(L520*(1+'Assumptions'!$B$29)^('Assumptions'!$B$14/12)/J520)*(1-'Assumptions'!$B$42)-'Debt Schedule'!$F$9</x:f>
        <x:v>3344168.5957427667</x:v>
      </x:c>
      <x:c r="P520" s="132" t="n">
        <x:f>((O520+(L520-N520-'Assumptions'!$B$27-'Assumptions'!$B$28)*('Assumptions'!$B$14/12))/ABS('Monthly Cash Flow'!$S$5))^(1/('Assumptions'!$B$14/12))-1</x:f>
        <x:v>0.2107227714929356</x:v>
      </x:c>
      <x:c r="Q520" s="133" t="n">
        <x:f>-ABS('Monthly Cash Flow'!$S$5)+((L520-N520-'Assumptions'!$B$27-'Assumptions'!$B$28)*(1-(1+'Assumptions'!$B$43)^-('Assumptions'!$B$14/12))/'Assumptions'!$B$43)+(O520/(1+'Assumptions'!$B$43)^('Assumptions'!$B$14/12))</x:f>
        <x:v>799760.3089145983</x:v>
      </x:c>
    </x:row>
    <x:row r="521">
      <x:c r="A521" s="131" t="n">
        <x:f>514</x:f>
        <x:v>514</x:v>
      </x:c>
      <x:c r="B521" s="131" t="n">
        <x:f>MOD(ABS(SIN((A521+1)*12.9898+78.233)*43758.5453),1)</x:f>
        <x:v>0.4489306606410537</x:v>
      </x:c>
      <x:c r="C521" s="131" t="n">
        <x:f>MOD(ABS(SIN((A521+2)*12.9898+78.233)*43758.5453),1)</x:f>
        <x:v>0.8803984665937605</x:v>
      </x:c>
      <x:c r="D521" s="131" t="n">
        <x:f>MOD(ABS(SIN((A521+3)*12.9898+78.233)*43758.5453),1)</x:f>
        <x:v>0.4619704082288081</x:v>
      </x:c>
      <x:c r="E521" s="131" t="n">
        <x:f>MOD(ABS(SIN((A521+4)*12.9898+78.233)*43758.5453),1)</x:f>
        <x:v>0.7775863201313769</x:v>
      </x:c>
      <x:c r="F521" s="131" t="n">
        <x:f>MOD(ABS(SIN((A521+5)*12.9898+78.233)*43758.5453),1)</x:f>
        <x:v>0.7616299423862074</x:v>
      </x:c>
      <x:c r="G521" s="132" t="n">
        <x:f>IF(B521&lt;(('Assumptions'!$C$47-'Assumptions'!$B$47)/('Assumptions'!$D$47-'Assumptions'!$B$47)),'Assumptions'!$B$47+SQRT(B521*('Assumptions'!$D$47-'Assumptions'!$B$47)*('Assumptions'!$C$47-'Assumptions'!$B$47)),'Assumptions'!$D$47-SQRT((1-B521)*('Assumptions'!$D$47-'Assumptions'!$B$47)*('Assumptions'!$D$47-'Assumptions'!$C$47)))</x:f>
        <x:v>0.0037994983387939496</x:v>
      </x:c>
      <x:c r="H521" s="132" t="n">
        <x:f>IF(C521&lt;(('Assumptions'!$C$48-'Assumptions'!$B$48)/('Assumptions'!$D$48-'Assumptions'!$B$48)),'Assumptions'!$B$48+SQRT(C521*('Assumptions'!$D$48-'Assumptions'!$B$48)*('Assumptions'!$C$48-'Assumptions'!$B$48)),'Assumptions'!$D$48-SQRT((1-C521)*('Assumptions'!$D$48-'Assumptions'!$B$48)*('Assumptions'!$D$48-'Assumptions'!$C$48)))</x:f>
        <x:v>0.10755784387598588</x:v>
      </x:c>
      <x:c r="I521" s="132" t="n">
        <x:f>IF(D521&lt;(('Assumptions'!$C$49-'Assumptions'!$B$49)/('Assumptions'!$D$49-'Assumptions'!$B$49)),'Assumptions'!$B$49+SQRT(D521*('Assumptions'!$D$49-'Assumptions'!$B$49)*('Assumptions'!$C$49-'Assumptions'!$B$49)),'Assumptions'!$D$49-SQRT((1-D521)*('Assumptions'!$D$49-'Assumptions'!$B$49)*('Assumptions'!$D$49-'Assumptions'!$C$49)))</x:f>
        <x:v>0.042197220897336116</x:v>
      </x:c>
      <x:c r="J521" s="132" t="n">
        <x:f>IF(E521&lt;(('Assumptions'!$C$50-'Assumptions'!$B$50)/('Assumptions'!$D$50-'Assumptions'!$B$50)),'Assumptions'!$B$50+SQRT(E521*('Assumptions'!$D$50-'Assumptions'!$B$50)*('Assumptions'!$C$50-'Assumptions'!$B$50)),'Assumptions'!$D$50-SQRT((1-E521)*('Assumptions'!$D$50-'Assumptions'!$B$50)*('Assumptions'!$D$50-'Assumptions'!$C$50)))</x:f>
        <x:v>0.07209090097020841</x:v>
      </x:c>
      <x:c r="K521" s="132" t="n">
        <x:f>IF(F521&lt;(('Assumptions'!$C$51-'Assumptions'!$B$51)/('Assumptions'!$D$51-'Assumptions'!$B$51)),'Assumptions'!$B$51+SQRT(F521*('Assumptions'!$D$51-'Assumptions'!$B$51)*('Assumptions'!$C$51-'Assumptions'!$B$51)),'Assumptions'!$D$51-SQRT((1-F521)*('Assumptions'!$D$51-'Assumptions'!$B$51)*('Assumptions'!$D$51-'Assumptions'!$C$51)))</x:f>
        <x:v>0.07428946358828664</x:v>
      </x:c>
      <x:c r="L521" s="133" t="n">
        <x:f>(('Assumptions'!$B$17*(1+G521)+'Assumptions'!$B$18)*(1-H521-'Assumptions'!$B$20)-SUM('Assumptions'!$B$21:$B$25)*(1+I521))-(('Assumptions'!$B$17*(1+G521)+'Assumptions'!$B$18)*(1-H521-'Assumptions'!$B$20)*'Assumptions'!$B$26)</x:f>
        <x:v>190062.50042338652</x:v>
      </x:c>
      <x:c r="M521" s="133" t="n">
        <x:f>'Assumptions'!$B$10*'Assumptions'!$B$33</x:f>
        <x:v>1950000</x:v>
      </x:c>
      <x:c r="N521" s="133" t="n">
        <x:f>-PMT(K521/12,'Assumptions'!$B$35*12,M521)*12</x:f>
        <x:v>162479.20016942214</x:v>
      </x:c>
      <x:c r="O521" s="133" t="n">
        <x:f>(L521*(1+'Assumptions'!$B$29)^('Assumptions'!$B$14/12)/J521)*(1-'Assumptions'!$B$42)-'Debt Schedule'!$F$9</x:f>
        <x:v>2872962.5333550344</x:v>
      </x:c>
      <x:c r="P521" s="132" t="n">
        <x:f>((O521+(L521-N521-'Assumptions'!$B$27-'Assumptions'!$B$28)*('Assumptions'!$B$14/12))/ABS('Monthly Cash Flow'!$S$5))^(1/('Assumptions'!$B$14/12))-1</x:f>
        <x:v>0.16774501043131163</x:v>
      </x:c>
      <x:c r="Q521" s="133" t="n">
        <x:f>-ABS('Monthly Cash Flow'!$S$5)+((L521-N521-'Assumptions'!$B$27-'Assumptions'!$B$28)*(1-(1+'Assumptions'!$B$43)^-('Assumptions'!$B$14/12))/'Assumptions'!$B$43)+(O521/(1+'Assumptions'!$B$43)^('Assumptions'!$B$14/12))</x:f>
        <x:v>442314.6361932005</x:v>
      </x:c>
    </x:row>
    <x:row r="522">
      <x:c r="A522" s="131" t="n">
        <x:f>515</x:f>
        <x:v>515</x:v>
      </x:c>
      <x:c r="B522" s="131" t="n">
        <x:f>MOD(ABS(SIN((A522+1)*12.9898+78.233)*43758.5453),1)</x:f>
        <x:v>0.8803984665937605</x:v>
      </x:c>
      <x:c r="C522" s="131" t="n">
        <x:f>MOD(ABS(SIN((A522+2)*12.9898+78.233)*43758.5453),1)</x:f>
        <x:v>0.4619704082288081</x:v>
      </x:c>
      <x:c r="D522" s="131" t="n">
        <x:f>MOD(ABS(SIN((A522+3)*12.9898+78.233)*43758.5453),1)</x:f>
        <x:v>0.7775863201313769</x:v>
      </x:c>
      <x:c r="E522" s="131" t="n">
        <x:f>MOD(ABS(SIN((A522+4)*12.9898+78.233)*43758.5453),1)</x:f>
        <x:v>0.7616299423862074</x:v>
      </x:c>
      <x:c r="F522" s="131" t="n">
        <x:f>MOD(ABS(SIN((A522+5)*12.9898+78.233)*43758.5453),1)</x:f>
        <x:v>0.17917326564088398</x:v>
      </x:c>
      <x:c r="G522" s="132" t="n">
        <x:f>IF(B522&lt;(('Assumptions'!$C$47-'Assumptions'!$B$47)/('Assumptions'!$D$47-'Assumptions'!$B$47)),'Assumptions'!$B$47+SQRT(B522*('Assumptions'!$D$47-'Assumptions'!$B$47)*('Assumptions'!$C$47-'Assumptions'!$B$47)),'Assumptions'!$D$47-SQRT((1-B522)*('Assumptions'!$D$47-'Assumptions'!$B$47)*('Assumptions'!$D$47-'Assumptions'!$C$47)))</x:f>
        <x:v>0.0562550056063573</x:v>
      </x:c>
      <x:c r="H522" s="132" t="n">
        <x:f>IF(C522&lt;(('Assumptions'!$C$48-'Assumptions'!$B$48)/('Assumptions'!$D$48-'Assumptions'!$B$48)),'Assumptions'!$B$48+SQRT(C522*('Assumptions'!$D$48-'Assumptions'!$B$48)*('Assumptions'!$C$48-'Assumptions'!$B$48)),'Assumptions'!$D$48-SQRT((1-C522)*('Assumptions'!$D$48-'Assumptions'!$B$48)*('Assumptions'!$D$48-'Assumptions'!$C$48)))</x:f>
        <x:v>0.07119113133042741</x:v>
      </x:c>
      <x:c r="I522" s="132" t="n">
        <x:f>IF(D522&lt;(('Assumptions'!$C$49-'Assumptions'!$B$49)/('Assumptions'!$D$49-'Assumptions'!$B$49)),'Assumptions'!$B$49+SQRT(D522*('Assumptions'!$D$49-'Assumptions'!$B$49)*('Assumptions'!$C$49-'Assumptions'!$B$49)),'Assumptions'!$D$49-SQRT((1-D522)*('Assumptions'!$D$49-'Assumptions'!$B$49)*('Assumptions'!$D$49-'Assumptions'!$C$49)))</x:f>
        <x:v>0.08068812882945477</x:v>
      </x:c>
      <x:c r="J522" s="132" t="n">
        <x:f>IF(E522&lt;(('Assumptions'!$C$50-'Assumptions'!$B$50)/('Assumptions'!$D$50-'Assumptions'!$B$50)),'Assumptions'!$B$50+SQRT(E522*('Assumptions'!$D$50-'Assumptions'!$B$50)*('Assumptions'!$C$50-'Assumptions'!$B$50)),'Assumptions'!$D$50-SQRT((1-E522)*('Assumptions'!$D$50-'Assumptions'!$B$50)*('Assumptions'!$D$50-'Assumptions'!$C$50)))</x:f>
        <x:v>0.07181210779846979</x:v>
      </x:c>
      <x:c r="K522" s="132" t="n">
        <x:f>IF(F522&lt;(('Assumptions'!$C$51-'Assumptions'!$B$51)/('Assumptions'!$D$51-'Assumptions'!$B$51)),'Assumptions'!$B$51+SQRT(F522*('Assumptions'!$D$51-'Assumptions'!$B$51)*('Assumptions'!$C$51-'Assumptions'!$B$51)),'Assumptions'!$D$51-SQRT((1-F522)*('Assumptions'!$D$51-'Assumptions'!$B$51)*('Assumptions'!$D$51-'Assumptions'!$C$51)))</x:f>
        <x:v>0.06451944784518292</x:v>
      </x:c>
      <x:c r="L522" s="133" t="n">
        <x:f>(('Assumptions'!$B$17*(1+G522)+'Assumptions'!$B$18)*(1-H522-'Assumptions'!$B$20)-SUM('Assumptions'!$B$21:$B$25)*(1+I522))-(('Assumptions'!$B$17*(1+G522)+'Assumptions'!$B$18)*(1-H522-'Assumptions'!$B$20)*'Assumptions'!$B$26)</x:f>
        <x:v>215113.89191920942</x:v>
      </x:c>
      <x:c r="M522" s="133" t="n">
        <x:f>'Assumptions'!$B$10*'Assumptions'!$B$33</x:f>
        <x:v>1950000</x:v>
      </x:c>
      <x:c r="N522" s="133" t="n">
        <x:f>-PMT(K522/12,'Assumptions'!$B$35*12,M522)*12</x:f>
        <x:v>147165.17081244144</x:v>
      </x:c>
      <x:c r="O522" s="133" t="n">
        <x:f>(L522*(1+'Assumptions'!$B$29)^('Assumptions'!$B$14/12)/J522)*(1-'Assumptions'!$B$42)-'Debt Schedule'!$F$9</x:f>
        <x:v>3264260.1315384875</x:v>
      </x:c>
      <x:c r="P522" s="132" t="n">
        <x:f>((O522+(L522-N522-'Assumptions'!$B$27-'Assumptions'!$B$28)*('Assumptions'!$B$14/12))/ABS('Monthly Cash Flow'!$S$5))^(1/('Assumptions'!$B$14/12))-1</x:f>
        <x:v>0.21332625317681564</x:v>
      </x:c>
      <x:c r="Q522" s="133" t="n">
        <x:f>-ABS('Monthly Cash Flow'!$S$5)+((L522-N522-'Assumptions'!$B$27-'Assumptions'!$B$28)*(1-(1+'Assumptions'!$B$43)^-('Assumptions'!$B$14/12))/'Assumptions'!$B$43)+(O522/(1+'Assumptions'!$B$43)^('Assumptions'!$B$14/12))</x:f>
        <x:v>838296.3618775515</x:v>
      </x:c>
    </x:row>
    <x:row r="523">
      <x:c r="A523" s="131" t="n">
        <x:f>516</x:f>
        <x:v>516</x:v>
      </x:c>
      <x:c r="B523" s="131" t="n">
        <x:f>MOD(ABS(SIN((A523+1)*12.9898+78.233)*43758.5453),1)</x:f>
        <x:v>0.4619704082288081</x:v>
      </x:c>
      <x:c r="C523" s="131" t="n">
        <x:f>MOD(ABS(SIN((A523+2)*12.9898+78.233)*43758.5453),1)</x:f>
        <x:v>0.7775863201313769</x:v>
      </x:c>
      <x:c r="D523" s="131" t="n">
        <x:f>MOD(ABS(SIN((A523+3)*12.9898+78.233)*43758.5453),1)</x:f>
        <x:v>0.7616299423862074</x:v>
      </x:c>
      <x:c r="E523" s="131" t="n">
        <x:f>MOD(ABS(SIN((A523+4)*12.9898+78.233)*43758.5453),1)</x:f>
        <x:v>0.17917326564088398</x:v>
      </x:c>
      <x:c r="F523" s="131" t="n">
        <x:f>MOD(ABS(SIN((A523+5)*12.9898+78.233)*43758.5453),1)</x:f>
        <x:v>0.031459747693588724</x:v>
      </x:c>
      <x:c r="G523" s="132" t="n">
        <x:f>IF(B523&lt;(('Assumptions'!$C$47-'Assumptions'!$B$47)/('Assumptions'!$D$47-'Assumptions'!$B$47)),'Assumptions'!$B$47+SQRT(B523*('Assumptions'!$D$47-'Assumptions'!$B$47)*('Assumptions'!$C$47-'Assumptions'!$B$47)),'Assumptions'!$D$47-SQRT((1-B523)*('Assumptions'!$D$47-'Assumptions'!$B$47)*('Assumptions'!$D$47-'Assumptions'!$C$47)))</x:f>
        <x:v>0.0052962002994001445</x:v>
      </x:c>
      <x:c r="H523" s="132" t="n">
        <x:f>IF(C523&lt;(('Assumptions'!$C$48-'Assumptions'!$B$48)/('Assumptions'!$D$48-'Assumptions'!$B$48)),'Assumptions'!$B$48+SQRT(C523*('Assumptions'!$D$48-'Assumptions'!$B$48)*('Assumptions'!$C$48-'Assumptions'!$B$48)),'Assumptions'!$D$48-SQRT((1-C523)*('Assumptions'!$D$48-'Assumptions'!$B$48)*('Assumptions'!$D$48-'Assumptions'!$C$48)))</x:f>
        <x:v>0.09575929043466998</x:v>
      </x:c>
      <x:c r="I523" s="132" t="n">
        <x:f>IF(D523&lt;(('Assumptions'!$C$49-'Assumptions'!$B$49)/('Assumptions'!$D$49-'Assumptions'!$B$49)),'Assumptions'!$B$49+SQRT(D523*('Assumptions'!$D$49-'Assumptions'!$B$49)*('Assumptions'!$C$49-'Assumptions'!$B$49)),'Assumptions'!$D$49-SQRT((1-D523)*('Assumptions'!$D$49-'Assumptions'!$B$49)*('Assumptions'!$D$49-'Assumptions'!$C$49)))</x:f>
        <x:v>0.07824490788482033</x:v>
      </x:c>
      <x:c r="J523" s="132" t="n">
        <x:f>IF(E523&lt;(('Assumptions'!$C$50-'Assumptions'!$B$50)/('Assumptions'!$D$50-'Assumptions'!$B$50)),'Assumptions'!$B$50+SQRT(E523*('Assumptions'!$D$50-'Assumptions'!$B$50)*('Assumptions'!$C$50-'Assumptions'!$B$50)),'Assumptions'!$D$50-SQRT((1-E523)*('Assumptions'!$D$50-'Assumptions'!$B$50)*('Assumptions'!$D$50-'Assumptions'!$C$50)))</x:f>
        <x:v>0.06384932947398377</x:v>
      </x:c>
      <x:c r="K523" s="132" t="n">
        <x:f>IF(F523&lt;(('Assumptions'!$C$51-'Assumptions'!$B$51)/('Assumptions'!$D$51-'Assumptions'!$B$51)),'Assumptions'!$B$51+SQRT(F523*('Assumptions'!$D$51-'Assumptions'!$B$51)*('Assumptions'!$C$51-'Assumptions'!$B$51)),'Assumptions'!$D$51-SQRT((1-F523)*('Assumptions'!$D$51-'Assumptions'!$B$51)*('Assumptions'!$D$51-'Assumptions'!$C$51)))</x:f>
        <x:v>0.06044133143588697</x:v>
      </x:c>
      <x:c r="L523" s="133" t="n">
        <x:f>(('Assumptions'!$B$17*(1+G523)+'Assumptions'!$B$18)*(1-H523-'Assumptions'!$B$20)-SUM('Assumptions'!$B$21:$B$25)*(1+I523))-(('Assumptions'!$B$17*(1+G523)+'Assumptions'!$B$18)*(1-H523-'Assumptions'!$B$20)*'Assumptions'!$B$26)</x:f>
        <x:v>190279.99882056663</x:v>
      </x:c>
      <x:c r="M523" s="133" t="n">
        <x:f>'Assumptions'!$B$10*'Assumptions'!$B$33</x:f>
        <x:v>1950000</x:v>
      </x:c>
      <x:c r="N523" s="133" t="n">
        <x:f>-PMT(K523/12,'Assumptions'!$B$35*12,M523)*12</x:f>
        <x:v>140959.46358642736</x:v>
      </x:c>
      <x:c r="O523" s="133" t="n">
        <x:f>(L523*(1+'Assumptions'!$B$29)^('Assumptions'!$B$14/12)/J523)*(1-'Assumptions'!$B$42)-'Debt Schedule'!$F$9</x:f>
        <x:v>3247512.0886833193</x:v>
      </x:c>
      <x:c r="P523" s="132" t="n">
        <x:f>((O523+(L523-N523-'Assumptions'!$B$27-'Assumptions'!$B$28)*('Assumptions'!$B$14/12))/ABS('Monthly Cash Flow'!$S$5))^(1/('Assumptions'!$B$14/12))-1</x:f>
        <x:v>0.2053893060231191</x:v>
      </x:c>
      <x:c r="Q523" s="133" t="n">
        <x:f>-ABS('Monthly Cash Flow'!$S$5)+((L523-N523-'Assumptions'!$B$27-'Assumptions'!$B$28)*(1-(1+'Assumptions'!$B$43)^-('Assumptions'!$B$14/12))/'Assumptions'!$B$43)+(O523/(1+'Assumptions'!$B$43)^('Assumptions'!$B$14/12))</x:f>
        <x:v>757281.6644052267</x:v>
      </x:c>
    </x:row>
    <x:row r="524">
      <x:c r="A524" s="131" t="n">
        <x:f>517</x:f>
        <x:v>517</x:v>
      </x:c>
      <x:c r="B524" s="131" t="n">
        <x:f>MOD(ABS(SIN((A524+1)*12.9898+78.233)*43758.5453),1)</x:f>
        <x:v>0.7775863201313769</x:v>
      </x:c>
      <x:c r="C524" s="131" t="n">
        <x:f>MOD(ABS(SIN((A524+2)*12.9898+78.233)*43758.5453),1)</x:f>
        <x:v>0.7616299423862074</x:v>
      </x:c>
      <x:c r="D524" s="131" t="n">
        <x:f>MOD(ABS(SIN((A524+3)*12.9898+78.233)*43758.5453),1)</x:f>
        <x:v>0.17917326564088398</x:v>
      </x:c>
      <x:c r="E524" s="131" t="n">
        <x:f>MOD(ABS(SIN((A524+4)*12.9898+78.233)*43758.5453),1)</x:f>
        <x:v>0.031459747693588724</x:v>
      </x:c>
      <x:c r="F524" s="131" t="n">
        <x:f>MOD(ABS(SIN((A524+5)*12.9898+78.233)*43758.5453),1)</x:f>
        <x:v>0.13100170388497645</x:v>
      </x:c>
      <x:c r="G524" s="132" t="n">
        <x:f>IF(B524&lt;(('Assumptions'!$C$47-'Assumptions'!$B$47)/('Assumptions'!$D$47-'Assumptions'!$B$47)),'Assumptions'!$B$47+SQRT(B524*('Assumptions'!$D$47-'Assumptions'!$B$47)*('Assumptions'!$C$47-'Assumptions'!$B$47)),'Assumptions'!$D$47-SQRT((1-B524)*('Assumptions'!$D$47-'Assumptions'!$B$47)*('Assumptions'!$D$47-'Assumptions'!$C$47)))</x:f>
        <x:v>0.04034583939155652</x:v>
      </x:c>
      <x:c r="H524" s="132" t="n">
        <x:f>IF(C524&lt;(('Assumptions'!$C$48-'Assumptions'!$B$48)/('Assumptions'!$D$48-'Assumptions'!$B$48)),'Assumptions'!$B$48+SQRT(C524*('Assumptions'!$D$48-'Assumptions'!$B$48)*('Assumptions'!$C$48-'Assumptions'!$B$48)),'Assumptions'!$D$48-SQRT((1-C524)*('Assumptions'!$D$48-'Assumptions'!$B$48)*('Assumptions'!$D$48-'Assumptions'!$C$48)))</x:f>
        <x:v>0.09419981979291595</x:v>
      </x:c>
      <x:c r="I524" s="132" t="n">
        <x:f>IF(D524&lt;(('Assumptions'!$C$49-'Assumptions'!$B$49)/('Assumptions'!$D$49-'Assumptions'!$B$49)),'Assumptions'!$B$49+SQRT(D524*('Assumptions'!$D$49-'Assumptions'!$B$49)*('Assumptions'!$C$49-'Assumptions'!$B$49)),'Assumptions'!$D$49-SQRT((1-D524)*('Assumptions'!$D$49-'Assumptions'!$B$49)*('Assumptions'!$D$49-'Assumptions'!$C$49)))</x:f>
        <x:v>0.013989444971737784</x:v>
      </x:c>
      <x:c r="J524" s="132" t="n">
        <x:f>IF(E524&lt;(('Assumptions'!$C$50-'Assumptions'!$B$50)/('Assumptions'!$D$50-'Assumptions'!$B$50)),'Assumptions'!$B$50+SQRT(E524*('Assumptions'!$D$50-'Assumptions'!$B$50)*('Assumptions'!$C$50-'Assumptions'!$B$50)),'Assumptions'!$D$50-SQRT((1-E524)*('Assumptions'!$D$50-'Assumptions'!$B$50)*('Assumptions'!$D$50-'Assumptions'!$C$50)))</x:f>
        <x:v>0.06016053438824938</x:v>
      </x:c>
      <x:c r="K524" s="132" t="n">
        <x:f>IF(F524&lt;(('Assumptions'!$C$51-'Assumptions'!$B$51)/('Assumptions'!$D$51-'Assumptions'!$B$51)),'Assumptions'!$B$51+SQRT(F524*('Assumptions'!$D$51-'Assumptions'!$B$51)*('Assumptions'!$C$51-'Assumptions'!$B$51)),'Assumptions'!$D$51-SQRT((1-F524)*('Assumptions'!$D$51-'Assumptions'!$B$51)*('Assumptions'!$D$51-'Assumptions'!$C$51)))</x:f>
        <x:v>0.06350212200545512</x:v>
      </x:c>
      <x:c r="L524" s="133" t="n">
        <x:f>(('Assumptions'!$B$17*(1+G524)+'Assumptions'!$B$18)*(1-H524-'Assumptions'!$B$20)-SUM('Assumptions'!$B$21:$B$25)*(1+I524))-(('Assumptions'!$B$17*(1+G524)+'Assumptions'!$B$18)*(1-H524-'Assumptions'!$B$20)*'Assumptions'!$B$26)</x:f>
        <x:v>209795.9089313853</x:v>
      </x:c>
      <x:c r="M524" s="133" t="n">
        <x:f>'Assumptions'!$B$10*'Assumptions'!$B$33</x:f>
        <x:v>1950000</x:v>
      </x:c>
      <x:c r="N524" s="133" t="n">
        <x:f>-PMT(K524/12,'Assumptions'!$B$35*12,M524)*12</x:f>
        <x:v>145606.39911406042</x:v>
      </x:c>
      <x:c r="O524" s="133" t="n">
        <x:f>(L524*(1+'Assumptions'!$B$29)^('Assumptions'!$B$14/12)/J524)*(1-'Assumptions'!$B$42)-'Debt Schedule'!$F$9</x:f>
        <x:v>3800137.4648013636</x:v>
      </x:c>
      <x:c r="P524" s="132" t="n">
        <x:f>((O524+(L524-N524-'Assumptions'!$B$27-'Assumptions'!$B$28)*('Assumptions'!$B$14/12))/ABS('Monthly Cash Flow'!$S$5))^(1/('Assumptions'!$B$14/12))-1</x:f>
        <x:v>0.24813292776851403</x:v>
      </x:c>
      <x:c r="Q524" s="133" t="n">
        <x:f>-ABS('Monthly Cash Flow'!$S$5)+((L524-N524-'Assumptions'!$B$27-'Assumptions'!$B$28)*(1-(1+'Assumptions'!$B$43)^-('Assumptions'!$B$14/12))/'Assumptions'!$B$43)+(O524/(1+'Assumptions'!$B$43)^('Assumptions'!$B$14/12))</x:f>
        <x:v>1156783.6562251165</x:v>
      </x:c>
    </x:row>
    <x:row r="525">
      <x:c r="A525" s="131" t="n">
        <x:f>518</x:f>
        <x:v>518</x:v>
      </x:c>
      <x:c r="B525" s="131" t="n">
        <x:f>MOD(ABS(SIN((A525+1)*12.9898+78.233)*43758.5453),1)</x:f>
        <x:v>0.7616299423862074</x:v>
      </x:c>
      <x:c r="C525" s="131" t="n">
        <x:f>MOD(ABS(SIN((A525+2)*12.9898+78.233)*43758.5453),1)</x:f>
        <x:v>0.17917326564088398</x:v>
      </x:c>
      <x:c r="D525" s="131" t="n">
        <x:f>MOD(ABS(SIN((A525+3)*12.9898+78.233)*43758.5453),1)</x:f>
        <x:v>0.031459747693588724</x:v>
      </x:c>
      <x:c r="E525" s="131" t="n">
        <x:f>MOD(ABS(SIN((A525+4)*12.9898+78.233)*43758.5453),1)</x:f>
        <x:v>0.13100170388497645</x:v>
      </x:c>
      <x:c r="F525" s="131" t="n">
        <x:f>MOD(ABS(SIN((A525+5)*12.9898+78.233)*43758.5453),1)</x:f>
        <x:v>0.39461164160456974</x:v>
      </x:c>
      <x:c r="G525" s="132" t="n">
        <x:f>IF(B525&lt;(('Assumptions'!$C$47-'Assumptions'!$B$47)/('Assumptions'!$D$47-'Assumptions'!$B$47)),'Assumptions'!$B$47+SQRT(B525*('Assumptions'!$D$47-'Assumptions'!$B$47)*('Assumptions'!$C$47-'Assumptions'!$B$47)),'Assumptions'!$D$47-SQRT((1-B525)*('Assumptions'!$D$47-'Assumptions'!$B$47)*('Assumptions'!$D$47-'Assumptions'!$C$47)))</x:f>
        <x:v>0.03824304960718445</x:v>
      </x:c>
      <x:c r="H525" s="132" t="n">
        <x:f>IF(C525&lt;(('Assumptions'!$C$48-'Assumptions'!$B$48)/('Assumptions'!$D$48-'Assumptions'!$B$48)),'Assumptions'!$B$48+SQRT(C525*('Assumptions'!$D$48-'Assumptions'!$B$48)*('Assumptions'!$C$48-'Assumptions'!$B$48)),'Assumptions'!$D$48-SQRT((1-C525)*('Assumptions'!$D$48-'Assumptions'!$B$48)*('Assumptions'!$D$48-'Assumptions'!$C$48)))</x:f>
        <x:v>0.05431608061787337</x:v>
      </x:c>
      <x:c r="I525" s="132" t="n">
        <x:f>IF(D525&lt;(('Assumptions'!$C$49-'Assumptions'!$B$49)/('Assumptions'!$D$49-'Assumptions'!$B$49)),'Assumptions'!$B$49+SQRT(D525*('Assumptions'!$D$49-'Assumptions'!$B$49)*('Assumptions'!$C$49-'Assumptions'!$B$49)),'Assumptions'!$D$49-SQRT((1-D525)*('Assumptions'!$D$49-'Assumptions'!$B$49)*('Assumptions'!$D$49-'Assumptions'!$C$49)))</x:f>
        <x:v>-0.011567277057071623</x:v>
      </x:c>
      <x:c r="J525" s="132" t="n">
        <x:f>IF(E525&lt;(('Assumptions'!$C$50-'Assumptions'!$B$50)/('Assumptions'!$D$50-'Assumptions'!$B$50)),'Assumptions'!$B$50+SQRT(E525*('Assumptions'!$D$50-'Assumptions'!$B$50)*('Assumptions'!$C$50-'Assumptions'!$B$50)),'Assumptions'!$D$50-SQRT((1-E525)*('Assumptions'!$D$50-'Assumptions'!$B$50)*('Assumptions'!$D$50-'Assumptions'!$C$50)))</x:f>
        <x:v>0.06292912362855367</x:v>
      </x:c>
      <x:c r="K525" s="132" t="n">
        <x:f>IF(F525&lt;(('Assumptions'!$C$51-'Assumptions'!$B$51)/('Assumptions'!$D$51-'Assumptions'!$B$51)),'Assumptions'!$B$51+SQRT(F525*('Assumptions'!$D$51-'Assumptions'!$B$51)*('Assumptions'!$C$51-'Assumptions'!$B$51)),'Assumptions'!$D$51-SQRT((1-F525)*('Assumptions'!$D$51-'Assumptions'!$B$51)*('Assumptions'!$D$51-'Assumptions'!$C$51)))</x:f>
        <x:v>0.06793122302337391</x:v>
      </x:c>
      <x:c r="L525" s="133" t="n">
        <x:f>(('Assumptions'!$B$17*(1+G525)+'Assumptions'!$B$18)*(1-H525-'Assumptions'!$B$20)-SUM('Assumptions'!$B$21:$B$25)*(1+I525))-(('Assumptions'!$B$17*(1+G525)+'Assumptions'!$B$18)*(1-H525-'Assumptions'!$B$20)*'Assumptions'!$B$26)</x:f>
        <x:v>227365.20287672797</x:v>
      </x:c>
      <x:c r="M525" s="133" t="n">
        <x:f>'Assumptions'!$B$10*'Assumptions'!$B$33</x:f>
        <x:v>1950000</x:v>
      </x:c>
      <x:c r="N525" s="133" t="n">
        <x:f>-PMT(K525/12,'Assumptions'!$B$35*12,M525)*12</x:f>
        <x:v>152443.30640744878</x:v>
      </x:c>
      <x:c r="O525" s="133" t="n">
        <x:f>(L525*(1+'Assumptions'!$B$29)^('Assumptions'!$B$14/12)/J525)*(1-'Assumptions'!$B$42)-'Debt Schedule'!$F$9</x:f>
        <x:v>3937189.26470084</x:v>
      </x:c>
      <x:c r="P525" s="132" t="n">
        <x:f>((O525+(L525-N525-'Assumptions'!$B$27-'Assumptions'!$B$28)*('Assumptions'!$B$14/12))/ABS('Monthly Cash Flow'!$S$5))^(1/('Assumptions'!$B$14/12))-1</x:f>
        <x:v>0.26004472048428817</x:v>
      </x:c>
      <x:c r="Q525" s="133" t="n">
        <x:f>-ABS('Monthly Cash Flow'!$S$5)+((L525-N525-'Assumptions'!$B$27-'Assumptions'!$B$28)*(1-(1+'Assumptions'!$B$43)^-('Assumptions'!$B$14/12))/'Assumptions'!$B$43)+(O525/(1+'Assumptions'!$B$43)^('Assumptions'!$B$14/12))</x:f>
        <x:v>1282566.2304707426</x:v>
      </x:c>
    </x:row>
    <x:row r="526">
      <x:c r="A526" s="131" t="n">
        <x:f>519</x:f>
        <x:v>519</x:v>
      </x:c>
      <x:c r="B526" s="131" t="n">
        <x:f>MOD(ABS(SIN((A526+1)*12.9898+78.233)*43758.5453),1)</x:f>
        <x:v>0.17917326564088398</x:v>
      </x:c>
      <x:c r="C526" s="131" t="n">
        <x:f>MOD(ABS(SIN((A526+2)*12.9898+78.233)*43758.5453),1)</x:f>
        <x:v>0.031459747693588724</x:v>
      </x:c>
      <x:c r="D526" s="131" t="n">
        <x:f>MOD(ABS(SIN((A526+3)*12.9898+78.233)*43758.5453),1)</x:f>
        <x:v>0.13100170388497645</x:v>
      </x:c>
      <x:c r="E526" s="131" t="n">
        <x:f>MOD(ABS(SIN((A526+4)*12.9898+78.233)*43758.5453),1)</x:f>
        <x:v>0.39461164160456974</x:v>
      </x:c>
      <x:c r="F526" s="131" t="n">
        <x:f>MOD(ABS(SIN((A526+5)*12.9898+78.233)*43758.5453),1)</x:f>
        <x:v>0.6071995234378846</x:v>
      </x:c>
      <x:c r="G526" s="132" t="n">
        <x:f>IF(B526&lt;(('Assumptions'!$C$47-'Assumptions'!$B$47)/('Assumptions'!$D$47-'Assumptions'!$B$47)),'Assumptions'!$B$47+SQRT(B526*('Assumptions'!$D$47-'Assumptions'!$B$47)*('Assumptions'!$C$47-'Assumptions'!$B$47)),'Assumptions'!$D$47-SQRT((1-B526)*('Assumptions'!$D$47-'Assumptions'!$B$47)*('Assumptions'!$D$47-'Assumptions'!$C$47)))</x:f>
        <x:v>-0.03442440716713867</x:v>
      </x:c>
      <x:c r="H526" s="132" t="n">
        <x:f>IF(C526&lt;(('Assumptions'!$C$48-'Assumptions'!$B$48)/('Assumptions'!$D$48-'Assumptions'!$B$48)),'Assumptions'!$B$48+SQRT(C526*('Assumptions'!$D$48-'Assumptions'!$B$48)*('Assumptions'!$C$48-'Assumptions'!$B$48)),'Assumptions'!$D$48-SQRT((1-C526)*('Assumptions'!$D$48-'Assumptions'!$B$48)*('Assumptions'!$D$48-'Assumptions'!$C$48)))</x:f>
        <x:v>0.0401890709777115</x:v>
      </x:c>
      <x:c r="I526" s="132" t="n">
        <x:f>IF(D526&lt;(('Assumptions'!$C$49-'Assumptions'!$B$49)/('Assumptions'!$D$49-'Assumptions'!$B$49)),'Assumptions'!$B$49+SQRT(D526*('Assumptions'!$D$49-'Assumptions'!$B$49)*('Assumptions'!$C$49-'Assumptions'!$B$49)),'Assumptions'!$D$49-SQRT((1-D526)*('Assumptions'!$D$49-'Assumptions'!$B$49)*('Assumptions'!$D$49-'Assumptions'!$C$49)))</x:f>
        <x:v>0.007614071860910586</x:v>
      </x:c>
      <x:c r="J526" s="132" t="n">
        <x:f>IF(E526&lt;(('Assumptions'!$C$50-'Assumptions'!$B$50)/('Assumptions'!$D$50-'Assumptions'!$B$50)),'Assumptions'!$B$50+SQRT(E526*('Assumptions'!$D$50-'Assumptions'!$B$50)*('Assumptions'!$C$50-'Assumptions'!$B$50)),'Assumptions'!$D$50-SQRT((1-E526)*('Assumptions'!$D$50-'Assumptions'!$B$50)*('Assumptions'!$D$50-'Assumptions'!$C$50)))</x:f>
        <x:v>0.06692271825754269</x:v>
      </x:c>
      <x:c r="K526" s="132" t="n">
        <x:f>IF(F526&lt;(('Assumptions'!$C$51-'Assumptions'!$B$51)/('Assumptions'!$D$51-'Assumptions'!$B$51)),'Assumptions'!$B$51+SQRT(F526*('Assumptions'!$D$51-'Assumptions'!$B$51)*('Assumptions'!$C$51-'Assumptions'!$B$51)),'Assumptions'!$D$51-SQRT((1-F526)*('Assumptions'!$D$51-'Assumptions'!$B$51)*('Assumptions'!$D$51-'Assumptions'!$C$51)))</x:f>
        <x:v>0.07125099169592519</x:v>
      </x:c>
      <x:c r="L526" s="133" t="n">
        <x:f>(('Assumptions'!$B$17*(1+G526)+'Assumptions'!$B$18)*(1-H526-'Assumptions'!$B$20)-SUM('Assumptions'!$B$21:$B$25)*(1+I526))-(('Assumptions'!$B$17*(1+G526)+'Assumptions'!$B$18)*(1-H526-'Assumptions'!$B$20)*'Assumptions'!$B$26)</x:f>
        <x:v>206408.04489964258</x:v>
      </x:c>
      <x:c r="M526" s="133" t="n">
        <x:f>'Assumptions'!$B$10*'Assumptions'!$B$33</x:f>
        <x:v>1950000</x:v>
      </x:c>
      <x:c r="N526" s="133" t="n">
        <x:f>-PMT(K526/12,'Assumptions'!$B$35*12,M526)*12</x:f>
        <x:v>157651.70074558206</x:v>
      </x:c>
      <x:c r="O526" s="133" t="n">
        <x:f>(L526*(1+'Assumptions'!$B$29)^('Assumptions'!$B$14/12)/J526)*(1-'Assumptions'!$B$42)-'Debt Schedule'!$F$9</x:f>
        <x:v>3360988.4852967514</x:v>
      </x:c>
      <x:c r="P526" s="132" t="n">
        <x:f>((O526+(L526-N526-'Assumptions'!$B$27-'Assumptions'!$B$28)*('Assumptions'!$B$14/12))/ABS('Monthly Cash Flow'!$S$5))^(1/('Assumptions'!$B$14/12))-1</x:f>
        <x:v>0.2133808884402686</x:v>
      </x:c>
      <x:c r="Q526" s="133" t="n">
        <x:f>-ABS('Monthly Cash Flow'!$S$5)+((L526-N526-'Assumptions'!$B$27-'Assumptions'!$B$28)*(1-(1+'Assumptions'!$B$43)^-('Assumptions'!$B$14/12))/'Assumptions'!$B$43)+(O526/(1+'Assumptions'!$B$43)^('Assumptions'!$B$14/12))</x:f>
        <x:v>825602.8506446437</x:v>
      </x:c>
    </x:row>
    <x:row r="527">
      <x:c r="A527" s="131" t="n">
        <x:f>520</x:f>
        <x:v>520</x:v>
      </x:c>
      <x:c r="B527" s="131" t="n">
        <x:f>MOD(ABS(SIN((A527+1)*12.9898+78.233)*43758.5453),1)</x:f>
        <x:v>0.031459747693588724</x:v>
      </x:c>
      <x:c r="C527" s="131" t="n">
        <x:f>MOD(ABS(SIN((A527+2)*12.9898+78.233)*43758.5453),1)</x:f>
        <x:v>0.13100170388497645</x:v>
      </x:c>
      <x:c r="D527" s="131" t="n">
        <x:f>MOD(ABS(SIN((A527+3)*12.9898+78.233)*43758.5453),1)</x:f>
        <x:v>0.39461164160456974</x:v>
      </x:c>
      <x:c r="E527" s="131" t="n">
        <x:f>MOD(ABS(SIN((A527+4)*12.9898+78.233)*43758.5453),1)</x:f>
        <x:v>0.6071995234378846</x:v>
      </x:c>
      <x:c r="F527" s="131" t="n">
        <x:f>MOD(ABS(SIN((A527+5)*12.9898+78.233)*43758.5453),1)</x:f>
        <x:v>0.6054214270698139</x:v>
      </x:c>
      <x:c r="G527" s="132" t="n">
        <x:f>IF(B527&lt;(('Assumptions'!$C$47-'Assumptions'!$B$47)/('Assumptions'!$D$47-'Assumptions'!$B$47)),'Assumptions'!$B$47+SQRT(B527*('Assumptions'!$D$47-'Assumptions'!$B$47)*('Assumptions'!$C$47-'Assumptions'!$B$47)),'Assumptions'!$D$47-SQRT((1-B527)*('Assumptions'!$D$47-'Assumptions'!$B$47)*('Assumptions'!$D$47-'Assumptions'!$C$47)))</x:f>
        <x:v>-0.07252211899279479</x:v>
      </x:c>
      <x:c r="H527" s="132" t="n">
        <x:f>IF(C527&lt;(('Assumptions'!$C$48-'Assumptions'!$B$48)/('Assumptions'!$D$48-'Assumptions'!$B$48)),'Assumptions'!$B$48+SQRT(C527*('Assumptions'!$D$48-'Assumptions'!$B$48)*('Assumptions'!$C$48-'Assumptions'!$B$48)),'Assumptions'!$D$48-SQRT((1-C527)*('Assumptions'!$D$48-'Assumptions'!$B$48)*('Assumptions'!$D$48-'Assumptions'!$C$48)))</x:f>
        <x:v>0.050791960533350916</x:v>
      </x:c>
      <x:c r="I527" s="132" t="n">
        <x:f>IF(D527&lt;(('Assumptions'!$C$49-'Assumptions'!$B$49)/('Assumptions'!$D$49-'Assumptions'!$B$49)),'Assumptions'!$B$49+SQRT(D527*('Assumptions'!$D$49-'Assumptions'!$B$49)*('Assumptions'!$C$49-'Assumptions'!$B$49)),'Assumptions'!$D$49-SQRT((1-D527)*('Assumptions'!$D$49-'Assumptions'!$B$49)*('Assumptions'!$D$49-'Assumptions'!$C$49)))</x:f>
        <x:v>0.03564796223354262</x:v>
      </x:c>
      <x:c r="J527" s="132" t="n">
        <x:f>IF(E527&lt;(('Assumptions'!$C$50-'Assumptions'!$B$50)/('Assumptions'!$D$50-'Assumptions'!$B$50)),'Assumptions'!$B$50+SQRT(E527*('Assumptions'!$D$50-'Assumptions'!$B$50)*('Assumptions'!$C$50-'Assumptions'!$B$50)),'Assumptions'!$D$50-SQRT((1-E527)*('Assumptions'!$D$50-'Assumptions'!$B$50)*('Assumptions'!$D$50-'Assumptions'!$C$50)))</x:f>
        <x:v>0.06948928479916353</x:v>
      </x:c>
      <x:c r="K527" s="132" t="n">
        <x:f>IF(F527&lt;(('Assumptions'!$C$51-'Assumptions'!$B$51)/('Assumptions'!$D$51-'Assumptions'!$B$51)),'Assumptions'!$B$51+SQRT(F527*('Assumptions'!$D$51-'Assumptions'!$B$51)*('Assumptions'!$C$51-'Assumptions'!$B$51)),'Assumptions'!$D$51-SQRT((1-F527)*('Assumptions'!$D$51-'Assumptions'!$B$51)*('Assumptions'!$D$51-'Assumptions'!$C$51)))</x:f>
        <x:v>0.07121990790224347</x:v>
      </x:c>
      <x:c r="L527" s="133" t="n">
        <x:f>(('Assumptions'!$B$17*(1+G527)+'Assumptions'!$B$18)*(1-H527-'Assumptions'!$B$20)-SUM('Assumptions'!$B$21:$B$25)*(1+I527))-(('Assumptions'!$B$17*(1+G527)+'Assumptions'!$B$18)*(1-H527-'Assumptions'!$B$20)*'Assumptions'!$B$26)</x:f>
        <x:v>186788.19387288243</x:v>
      </x:c>
      <x:c r="M527" s="133" t="n">
        <x:f>'Assumptions'!$B$10*'Assumptions'!$B$33</x:f>
        <x:v>1950000</x:v>
      </x:c>
      <x:c r="N527" s="133" t="n">
        <x:f>-PMT(K527/12,'Assumptions'!$B$35*12,M527)*12</x:f>
        <x:v>157602.6096561943</x:v>
      </x:c>
      <x:c r="O527" s="133" t="n">
        <x:f>(L527*(1+'Assumptions'!$B$29)^('Assumptions'!$B$14/12)/J527)*(1-'Assumptions'!$B$42)-'Debt Schedule'!$F$9</x:f>
        <x:v>2929176.6133139944</x:v>
      </x:c>
      <x:c r="P527" s="132" t="n">
        <x:f>((O527+(L527-N527-'Assumptions'!$B$27-'Assumptions'!$B$28)*('Assumptions'!$B$14/12))/ABS('Monthly Cash Flow'!$S$5))^(1/('Assumptions'!$B$14/12))-1</x:f>
        <x:v>0.17303323503585188</x:v>
      </x:c>
      <x:c r="Q527" s="133" t="n">
        <x:f>-ABS('Monthly Cash Flow'!$S$5)+((L527-N527-'Assumptions'!$B$27-'Assumptions'!$B$28)*(1-(1+'Assumptions'!$B$43)^-('Assumptions'!$B$14/12))/'Assumptions'!$B$43)+(O527/(1+'Assumptions'!$B$43)^('Assumptions'!$B$14/12))</x:f>
        <x:v>483293.0739425996</x:v>
      </x:c>
    </x:row>
    <x:row r="528">
      <x:c r="A528" s="131" t="n">
        <x:f>521</x:f>
        <x:v>521</x:v>
      </x:c>
      <x:c r="B528" s="131" t="n">
        <x:f>MOD(ABS(SIN((A528+1)*12.9898+78.233)*43758.5453),1)</x:f>
        <x:v>0.13100170388497645</x:v>
      </x:c>
      <x:c r="C528" s="131" t="n">
        <x:f>MOD(ABS(SIN((A528+2)*12.9898+78.233)*43758.5453),1)</x:f>
        <x:v>0.39461164160456974</x:v>
      </x:c>
      <x:c r="D528" s="131" t="n">
        <x:f>MOD(ABS(SIN((A528+3)*12.9898+78.233)*43758.5453),1)</x:f>
        <x:v>0.6071995234378846</x:v>
      </x:c>
      <x:c r="E528" s="131" t="n">
        <x:f>MOD(ABS(SIN((A528+4)*12.9898+78.233)*43758.5453),1)</x:f>
        <x:v>0.6054214270698139</x:v>
      </x:c>
      <x:c r="F528" s="131" t="n">
        <x:f>MOD(ABS(SIN((A528+5)*12.9898+78.233)*43758.5453),1)</x:f>
        <x:v>0.13499572252476355</x:v>
      </x:c>
      <x:c r="G528" s="132" t="n">
        <x:f>IF(B528&lt;(('Assumptions'!$C$47-'Assumptions'!$B$47)/('Assumptions'!$D$47-'Assumptions'!$B$47)),'Assumptions'!$B$47+SQRT(B528*('Assumptions'!$D$47-'Assumptions'!$B$47)*('Assumptions'!$C$47-'Assumptions'!$B$47)),'Assumptions'!$D$47-SQRT((1-B528)*('Assumptions'!$D$47-'Assumptions'!$B$47)*('Assumptions'!$D$47-'Assumptions'!$C$47)))</x:f>
        <x:v>-0.04392825227229461</x:v>
      </x:c>
      <x:c r="H528" s="132" t="n">
        <x:f>IF(C528&lt;(('Assumptions'!$C$48-'Assumptions'!$B$48)/('Assumptions'!$D$48-'Assumptions'!$B$48)),'Assumptions'!$B$48+SQRT(C528*('Assumptions'!$D$48-'Assumptions'!$B$48)*('Assumptions'!$C$48-'Assumptions'!$B$48)),'Assumptions'!$D$48-SQRT((1-C528)*('Assumptions'!$D$48-'Assumptions'!$B$48)*('Assumptions'!$D$48-'Assumptions'!$C$48)))</x:f>
        <x:v>0.06701083947681144</x:v>
      </x:c>
      <x:c r="I528" s="132" t="n">
        <x:f>IF(D528&lt;(('Assumptions'!$C$49-'Assumptions'!$B$49)/('Assumptions'!$D$49-'Assumptions'!$B$49)),'Assumptions'!$B$49+SQRT(D528*('Assumptions'!$D$49-'Assumptions'!$B$49)*('Assumptions'!$C$49-'Assumptions'!$B$49)),'Assumptions'!$D$49-SQRT((1-D528)*('Assumptions'!$D$49-'Assumptions'!$B$49)*('Assumptions'!$D$49-'Assumptions'!$C$49)))</x:f>
        <x:v>0.05788870702383071</x:v>
      </x:c>
      <x:c r="J528" s="132" t="n">
        <x:f>IF(E528&lt;(('Assumptions'!$C$50-'Assumptions'!$B$50)/('Assumptions'!$D$50-'Assumptions'!$B$50)),'Assumptions'!$B$50+SQRT(E528*('Assumptions'!$D$50-'Assumptions'!$B$50)*('Assumptions'!$C$50-'Assumptions'!$B$50)),'Assumptions'!$D$50-SQRT((1-E528)*('Assumptions'!$D$50-'Assumptions'!$B$50)*('Assumptions'!$D$50-'Assumptions'!$C$50)))</x:f>
        <x:v>0.06946552214693985</x:v>
      </x:c>
      <x:c r="K528" s="132" t="n">
        <x:f>IF(F528&lt;(('Assumptions'!$C$51-'Assumptions'!$B$51)/('Assumptions'!$D$51-'Assumptions'!$B$51)),'Assumptions'!$B$51+SQRT(F528*('Assumptions'!$D$51-'Assumptions'!$B$51)*('Assumptions'!$C$51-'Assumptions'!$B$51)),'Assumptions'!$D$51-SQRT((1-F528)*('Assumptions'!$D$51-'Assumptions'!$B$51)*('Assumptions'!$D$51-'Assumptions'!$C$51)))</x:f>
        <x:v>0.06359293227389817</x:v>
      </x:c>
      <x:c r="L528" s="133" t="n">
        <x:f>(('Assumptions'!$B$17*(1+G528)+'Assumptions'!$B$18)*(1-H528-'Assumptions'!$B$20)-SUM('Assumptions'!$B$21:$B$25)*(1+I528))-(('Assumptions'!$B$17*(1+G528)+'Assumptions'!$B$18)*(1-H528-'Assumptions'!$B$20)*'Assumptions'!$B$26)</x:f>
        <x:v>187627.87356785982</x:v>
      </x:c>
      <x:c r="M528" s="133" t="n">
        <x:f>'Assumptions'!$B$10*'Assumptions'!$B$33</x:f>
        <x:v>1950000</x:v>
      </x:c>
      <x:c r="N528" s="133" t="n">
        <x:f>-PMT(K528/12,'Assumptions'!$B$35*12,M528)*12</x:f>
        <x:v>145745.255023375</x:v>
      </x:c>
      <x:c r="O528" s="133" t="n">
        <x:f>(L528*(1+'Assumptions'!$B$29)^('Assumptions'!$B$14/12)/J528)*(1-'Assumptions'!$B$42)-'Debt Schedule'!$F$9</x:f>
        <x:v>2943350.821493389</x:v>
      </x:c>
      <x:c r="P528" s="132" t="n">
        <x:f>((O528+(L528-N528-'Assumptions'!$B$27-'Assumptions'!$B$28)*('Assumptions'!$B$14/12))/ABS('Monthly Cash Flow'!$S$5))^(1/('Assumptions'!$B$14/12))-1</x:f>
        <x:v>0.17930281169296802</x:v>
      </x:c>
      <x:c r="Q528" s="133" t="n">
        <x:f>-ABS('Monthly Cash Flow'!$S$5)+((L528-N528-'Assumptions'!$B$27-'Assumptions'!$B$28)*(1-(1+'Assumptions'!$B$43)^-('Assumptions'!$B$14/12))/'Assumptions'!$B$43)+(O528/(1+'Assumptions'!$B$43)^('Assumptions'!$B$14/12))</x:f>
        <x:v>540225.8917792018</x:v>
      </x:c>
    </x:row>
    <x:row r="529">
      <x:c r="A529" s="131" t="n">
        <x:f>522</x:f>
        <x:v>522</x:v>
      </x:c>
      <x:c r="B529" s="131" t="n">
        <x:f>MOD(ABS(SIN((A529+1)*12.9898+78.233)*43758.5453),1)</x:f>
        <x:v>0.39461164160456974</x:v>
      </x:c>
      <x:c r="C529" s="131" t="n">
        <x:f>MOD(ABS(SIN((A529+2)*12.9898+78.233)*43758.5453),1)</x:f>
        <x:v>0.6071995234378846</x:v>
      </x:c>
      <x:c r="D529" s="131" t="n">
        <x:f>MOD(ABS(SIN((A529+3)*12.9898+78.233)*43758.5453),1)</x:f>
        <x:v>0.6054214270698139</x:v>
      </x:c>
      <x:c r="E529" s="131" t="n">
        <x:f>MOD(ABS(SIN((A529+4)*12.9898+78.233)*43758.5453),1)</x:f>
        <x:v>0.13499572252476355</x:v>
      </x:c>
      <x:c r="F529" s="131" t="n">
        <x:f>MOD(ABS(SIN((A529+5)*12.9898+78.233)*43758.5453),1)</x:f>
        <x:v>0.5078417988224828</x:v>
      </x:c>
      <x:c r="G529" s="132" t="n">
        <x:f>IF(B529&lt;(('Assumptions'!$C$47-'Assumptions'!$B$47)/('Assumptions'!$D$47-'Assumptions'!$B$47)),'Assumptions'!$B$47+SQRT(B529*('Assumptions'!$D$47-'Assumptions'!$B$47)*('Assumptions'!$C$47-'Assumptions'!$B$47)),'Assumptions'!$D$47-SQRT((1-B529)*('Assumptions'!$D$47-'Assumptions'!$B$47)*('Assumptions'!$D$47-'Assumptions'!$C$47)))</x:f>
        <x:v>-0.0026825843000869987</x:v>
      </x:c>
      <x:c r="H529" s="132" t="n">
        <x:f>IF(C529&lt;(('Assumptions'!$C$48-'Assumptions'!$B$48)/('Assumptions'!$D$48-'Assumptions'!$B$48)),'Assumptions'!$B$48+SQRT(C529*('Assumptions'!$D$48-'Assumptions'!$B$48)*('Assumptions'!$C$48-'Assumptions'!$B$48)),'Assumptions'!$D$48-SQRT((1-C529)*('Assumptions'!$D$48-'Assumptions'!$B$48)*('Assumptions'!$D$48-'Assumptions'!$C$48)))</x:f>
        <x:v>0.08120676744941971</x:v>
      </x:c>
      <x:c r="I529" s="132" t="n">
        <x:f>IF(D529&lt;(('Assumptions'!$C$49-'Assumptions'!$B$49)/('Assumptions'!$D$49-'Assumptions'!$B$49)),'Assumptions'!$B$49+SQRT(D529*('Assumptions'!$D$49-'Assumptions'!$B$49)*('Assumptions'!$C$49-'Assumptions'!$B$49)),'Assumptions'!$D$49-SQRT((1-D529)*('Assumptions'!$D$49-'Assumptions'!$B$49)*('Assumptions'!$D$49-'Assumptions'!$C$49)))</x:f>
        <x:v>0.05768046157344579</x:v>
      </x:c>
      <x:c r="J529" s="132" t="n">
        <x:f>IF(E529&lt;(('Assumptions'!$C$50-'Assumptions'!$B$50)/('Assumptions'!$D$50-'Assumptions'!$B$50)),'Assumptions'!$B$50+SQRT(E529*('Assumptions'!$D$50-'Assumptions'!$B$50)*('Assumptions'!$C$50-'Assumptions'!$B$50)),'Assumptions'!$D$50-SQRT((1-E529)*('Assumptions'!$D$50-'Assumptions'!$B$50)*('Assumptions'!$D$50-'Assumptions'!$C$50)))</x:f>
        <x:v>0.06301126460697287</x:v>
      </x:c>
      <x:c r="K529" s="132" t="n">
        <x:f>IF(F529&lt;(('Assumptions'!$C$51-'Assumptions'!$B$51)/('Assumptions'!$D$51-'Assumptions'!$B$51)),'Assumptions'!$B$51+SQRT(F529*('Assumptions'!$D$51-'Assumptions'!$B$51)*('Assumptions'!$C$51-'Assumptions'!$B$51)),'Assumptions'!$D$51-SQRT((1-F529)*('Assumptions'!$D$51-'Assumptions'!$B$51)*('Assumptions'!$D$51-'Assumptions'!$C$51)))</x:f>
        <x:v>0.06961003137375907</x:v>
      </x:c>
      <x:c r="L529" s="133" t="n">
        <x:f>(('Assumptions'!$B$17*(1+G529)+'Assumptions'!$B$18)*(1-H529-'Assumptions'!$B$20)-SUM('Assumptions'!$B$21:$B$25)*(1+I529))-(('Assumptions'!$B$17*(1+G529)+'Assumptions'!$B$18)*(1-H529-'Assumptions'!$B$20)*'Assumptions'!$B$26)</x:f>
        <x:v>195672.6068331312</x:v>
      </x:c>
      <x:c r="M529" s="133" t="n">
        <x:f>'Assumptions'!$B$10*'Assumptions'!$B$33</x:f>
        <x:v>1950000</x:v>
      </x:c>
      <x:c r="N529" s="133" t="n">
        <x:f>-PMT(K529/12,'Assumptions'!$B$35*12,M529)*12</x:f>
        <x:v>155068.41704803094</x:v>
      </x:c>
      <x:c r="O529" s="133" t="n">
        <x:f>(L529*(1+'Assumptions'!$B$29)^('Assumptions'!$B$14/12)/J529)*(1-'Assumptions'!$B$42)-'Debt Schedule'!$F$9</x:f>
        <x:v>3383964.608125153</x:v>
      </x:c>
      <x:c r="P529" s="132" t="n">
        <x:f>((O529+(L529-N529-'Assumptions'!$B$27-'Assumptions'!$B$28)*('Assumptions'!$B$14/12))/ABS('Monthly Cash Flow'!$S$5))^(1/('Assumptions'!$B$14/12))-1</x:f>
        <x:v>0.21211062456723817</x:v>
      </x:c>
      <x:c r="Q529" s="133" t="n">
        <x:f>-ABS('Monthly Cash Flow'!$S$5)+((L529-N529-'Assumptions'!$B$27-'Assumptions'!$B$28)*(1-(1+'Assumptions'!$B$43)^-('Assumptions'!$B$14/12))/'Assumptions'!$B$43)+(O529/(1+'Assumptions'!$B$43)^('Assumptions'!$B$14/12))</x:f>
        <x:v>808966.1363059948</x:v>
      </x:c>
    </x:row>
    <x:row r="530">
      <x:c r="A530" s="131" t="n">
        <x:f>523</x:f>
        <x:v>523</x:v>
      </x:c>
      <x:c r="B530" s="131" t="n">
        <x:f>MOD(ABS(SIN((A530+1)*12.9898+78.233)*43758.5453),1)</x:f>
        <x:v>0.6071995234378846</x:v>
      </x:c>
      <x:c r="C530" s="131" t="n">
        <x:f>MOD(ABS(SIN((A530+2)*12.9898+78.233)*43758.5453),1)</x:f>
        <x:v>0.6054214270698139</x:v>
      </x:c>
      <x:c r="D530" s="131" t="n">
        <x:f>MOD(ABS(SIN((A530+3)*12.9898+78.233)*43758.5453),1)</x:f>
        <x:v>0.13499572252476355</x:v>
      </x:c>
      <x:c r="E530" s="131" t="n">
        <x:f>MOD(ABS(SIN((A530+4)*12.9898+78.233)*43758.5453),1)</x:f>
        <x:v>0.5078417988224828</x:v>
      </x:c>
      <x:c r="F530" s="131" t="n">
        <x:f>MOD(ABS(SIN((A530+5)*12.9898+78.233)*43758.5453),1)</x:f>
        <x:v>0.029999162312378758</x:v>
      </x:c>
      <x:c r="G530" s="132" t="n">
        <x:f>IF(B530&lt;(('Assumptions'!$C$47-'Assumptions'!$B$47)/('Assumptions'!$D$47-'Assumptions'!$B$47)),'Assumptions'!$B$47+SQRT(B530*('Assumptions'!$D$47-'Assumptions'!$B$47)*('Assumptions'!$C$47-'Assumptions'!$B$47)),'Assumptions'!$D$47-SQRT((1-B530)*('Assumptions'!$D$47-'Assumptions'!$B$47)*('Assumptions'!$D$47-'Assumptions'!$C$47)))</x:f>
        <x:v>0.020723221401258707</x:v>
      </x:c>
      <x:c r="H530" s="132" t="n">
        <x:f>IF(C530&lt;(('Assumptions'!$C$48-'Assumptions'!$B$48)/('Assumptions'!$D$48-'Assumptions'!$B$48)),'Assumptions'!$B$48+SQRT(C530*('Assumptions'!$D$48-'Assumptions'!$B$48)*('Assumptions'!$C$48-'Assumptions'!$B$48)),'Assumptions'!$D$48-SQRT((1-C530)*('Assumptions'!$D$48-'Assumptions'!$B$48)*('Assumptions'!$D$48-'Assumptions'!$C$48)))</x:f>
        <x:v>0.08107384755657607</x:v>
      </x:c>
      <x:c r="I530" s="132" t="n">
        <x:f>IF(D530&lt;(('Assumptions'!$C$49-'Assumptions'!$B$49)/('Assumptions'!$D$49-'Assumptions'!$B$49)),'Assumptions'!$B$49+SQRT(D530*('Assumptions'!$D$49-'Assumptions'!$B$49)*('Assumptions'!$C$49-'Assumptions'!$B$49)),'Assumptions'!$D$49-SQRT((1-D530)*('Assumptions'!$D$49-'Assumptions'!$B$49)*('Assumptions'!$D$49-'Assumptions'!$C$49)))</x:f>
        <x:v>0.008183161252932503</x:v>
      </x:c>
      <x:c r="J530" s="132" t="n">
        <x:f>IF(E530&lt;(('Assumptions'!$C$50-'Assumptions'!$B$50)/('Assumptions'!$D$50-'Assumptions'!$B$50)),'Assumptions'!$B$50+SQRT(E530*('Assumptions'!$D$50-'Assumptions'!$B$50)*('Assumptions'!$C$50-'Assumptions'!$B$50)),'Assumptions'!$D$50-SQRT((1-E530)*('Assumptions'!$D$50-'Assumptions'!$B$50)*('Assumptions'!$D$50-'Assumptions'!$C$50)))</x:f>
        <x:v>0.06823481856998471</x:v>
      </x:c>
      <x:c r="K530" s="132" t="n">
        <x:f>IF(F530&lt;(('Assumptions'!$C$51-'Assumptions'!$B$51)/('Assumptions'!$D$51-'Assumptions'!$B$51)),'Assumptions'!$B$51+SQRT(F530*('Assumptions'!$D$51-'Assumptions'!$B$51)*('Assumptions'!$C$51-'Assumptions'!$B$51)),'Assumptions'!$D$51-SQRT((1-F530)*('Assumptions'!$D$51-'Assumptions'!$B$51)*('Assumptions'!$D$51-'Assumptions'!$C$51)))</x:f>
        <x:v>0.06037224122174726</x:v>
      </x:c>
      <x:c r="L530" s="133" t="n">
        <x:f>(('Assumptions'!$B$17*(1+G530)+'Assumptions'!$B$18)*(1-H530-'Assumptions'!$B$20)-SUM('Assumptions'!$B$21:$B$25)*(1+I530))-(('Assumptions'!$B$17*(1+G530)+'Assumptions'!$B$18)*(1-H530-'Assumptions'!$B$20)*'Assumptions'!$B$26)</x:f>
        <x:v>209309.72328113217</x:v>
      </x:c>
      <x:c r="M530" s="133" t="n">
        <x:f>'Assumptions'!$B$10*'Assumptions'!$B$33</x:f>
        <x:v>1950000</x:v>
      </x:c>
      <x:c r="N530" s="133" t="n">
        <x:f>-PMT(K530/12,'Assumptions'!$B$35*12,M530)*12</x:f>
        <x:v>140855.32367364707</x:v>
      </x:c>
      <x:c r="O530" s="133" t="n">
        <x:f>(L530*(1+'Assumptions'!$B$29)^('Assumptions'!$B$14/12)/J530)*(1-'Assumptions'!$B$42)-'Debt Schedule'!$F$9</x:f>
        <x:v>3342699.5240393635</x:v>
      </x:c>
      <x:c r="P530" s="132" t="n">
        <x:f>((O530+(L530-N530-'Assumptions'!$B$27-'Assumptions'!$B$28)*('Assumptions'!$B$14/12))/ABS('Monthly Cash Flow'!$S$5))^(1/('Assumptions'!$B$14/12))-1</x:f>
        <x:v>0.21904415295607005</x:v>
      </x:c>
      <x:c r="Q530" s="133" t="n">
        <x:f>-ABS('Monthly Cash Flow'!$S$5)+((L530-N530-'Assumptions'!$B$27-'Assumptions'!$B$28)*(1-(1+'Assumptions'!$B$43)^-('Assumptions'!$B$14/12))/'Assumptions'!$B$43)+(O530/(1+'Assumptions'!$B$43)^('Assumptions'!$B$14/12))</x:f>
        <x:v>888917.9726192448</x:v>
      </x:c>
    </x:row>
    <x:row r="531">
      <x:c r="A531" s="131" t="n">
        <x:f>524</x:f>
        <x:v>524</x:v>
      </x:c>
      <x:c r="B531" s="131" t="n">
        <x:f>MOD(ABS(SIN((A531+1)*12.9898+78.233)*43758.5453),1)</x:f>
        <x:v>0.6054214270698139</x:v>
      </x:c>
      <x:c r="C531" s="131" t="n">
        <x:f>MOD(ABS(SIN((A531+2)*12.9898+78.233)*43758.5453),1)</x:f>
        <x:v>0.13499572252476355</x:v>
      </x:c>
      <x:c r="D531" s="131" t="n">
        <x:f>MOD(ABS(SIN((A531+3)*12.9898+78.233)*43758.5453),1)</x:f>
        <x:v>0.5078417988224828</x:v>
      </x:c>
      <x:c r="E531" s="131" t="n">
        <x:f>MOD(ABS(SIN((A531+4)*12.9898+78.233)*43758.5453),1)</x:f>
        <x:v>0.029999162312378758</x:v>
      </x:c>
      <x:c r="F531" s="131" t="n">
        <x:f>MOD(ABS(SIN((A531+5)*12.9898+78.233)*43758.5453),1)</x:f>
        <x:v>0.16540296327366377</x:v>
      </x:c>
      <x:c r="G531" s="132" t="n">
        <x:f>IF(B531&lt;(('Assumptions'!$C$47-'Assumptions'!$B$47)/('Assumptions'!$D$47-'Assumptions'!$B$47)),'Assumptions'!$B$47+SQRT(B531*('Assumptions'!$D$47-'Assumptions'!$B$47)*('Assumptions'!$C$47-'Assumptions'!$B$47)),'Assumptions'!$D$47-SQRT((1-B531)*('Assumptions'!$D$47-'Assumptions'!$B$47)*('Assumptions'!$D$47-'Assumptions'!$C$47)))</x:f>
        <x:v>0.020543992254311083</x:v>
      </x:c>
      <x:c r="H531" s="132" t="n">
        <x:f>IF(C531&lt;(('Assumptions'!$C$48-'Assumptions'!$B$48)/('Assumptions'!$D$48-'Assumptions'!$B$48)),'Assumptions'!$B$48+SQRT(C531*('Assumptions'!$D$48-'Assumptions'!$B$48)*('Assumptions'!$C$48-'Assumptions'!$B$48)),'Assumptions'!$D$48-SQRT((1-C531)*('Assumptions'!$D$48-'Assumptions'!$B$48)*('Assumptions'!$D$48-'Assumptions'!$C$48)))</x:f>
        <x:v>0.051106536530935616</x:v>
      </x:c>
      <x:c r="I531" s="132" t="n">
        <x:f>IF(D531&lt;(('Assumptions'!$C$49-'Assumptions'!$B$49)/('Assumptions'!$D$49-'Assumptions'!$B$49)),'Assumptions'!$B$49+SQRT(D531*('Assumptions'!$D$49-'Assumptions'!$B$49)*('Assumptions'!$C$49-'Assumptions'!$B$49)),'Assumptions'!$D$49-SQRT((1-D531)*('Assumptions'!$D$49-'Assumptions'!$B$49)*('Assumptions'!$D$49-'Assumptions'!$C$49)))</x:f>
        <x:v>0.046895115802235765</x:v>
      </x:c>
      <x:c r="J531" s="132" t="n">
        <x:f>IF(E531&lt;(('Assumptions'!$C$50-'Assumptions'!$B$50)/('Assumptions'!$D$50-'Assumptions'!$B$50)),'Assumptions'!$B$50+SQRT(E531*('Assumptions'!$D$50-'Assumptions'!$B$50)*('Assumptions'!$C$50-'Assumptions'!$B$50)),'Assumptions'!$D$50-SQRT((1-E531)*('Assumptions'!$D$50-'Assumptions'!$B$50)*('Assumptions'!$D$50-'Assumptions'!$C$50)))</x:f>
        <x:v>0.06009803993816208</x:v>
      </x:c>
      <x:c r="K531" s="132" t="n">
        <x:f>IF(F531&lt;(('Assumptions'!$C$51-'Assumptions'!$B$51)/('Assumptions'!$D$51-'Assumptions'!$B$51)),'Assumptions'!$B$51+SQRT(F531*('Assumptions'!$D$51-'Assumptions'!$B$51)*('Assumptions'!$C$51-'Assumptions'!$B$51)),'Assumptions'!$D$51-SQRT((1-F531)*('Assumptions'!$D$51-'Assumptions'!$B$51)*('Assumptions'!$D$51-'Assumptions'!$C$51)))</x:f>
        <x:v>0.06424431723010252</x:v>
      </x:c>
      <x:c r="L531" s="133" t="n">
        <x:f>(('Assumptions'!$B$17*(1+G531)+'Assumptions'!$B$18)*(1-H531-'Assumptions'!$B$20)-SUM('Assumptions'!$B$21:$B$25)*(1+I531))-(('Assumptions'!$B$17*(1+G531)+'Assumptions'!$B$18)*(1-H531-'Assumptions'!$B$20)*'Assumptions'!$B$26)</x:f>
        <x:v>215463.02251878753</x:v>
      </x:c>
      <x:c r="M531" s="133" t="n">
        <x:f>'Assumptions'!$B$10*'Assumptions'!$B$33</x:f>
        <x:v>1950000</x:v>
      </x:c>
      <x:c r="N531" s="133" t="n">
        <x:f>-PMT(K531/12,'Assumptions'!$B$35*12,M531)*12</x:f>
        <x:v>146742.91685379233</x:v>
      </x:c>
      <x:c r="O531" s="133" t="n">
        <x:f>(L531*(1+'Assumptions'!$B$29)^('Assumptions'!$B$14/12)/J531)*(1-'Assumptions'!$B$42)-'Debt Schedule'!$F$9</x:f>
        <x:v>3906847.119462763</x:v>
      </x:c>
      <x:c r="P531" s="132" t="n">
        <x:f>((O531+(L531-N531-'Assumptions'!$B$27-'Assumptions'!$B$28)*('Assumptions'!$B$14/12))/ABS('Monthly Cash Flow'!$S$5))^(1/('Assumptions'!$B$14/12))-1</x:f>
        <x:v>0.25626191458091174</x:v>
      </x:c>
      <x:c r="Q531" s="133" t="n">
        <x:f>-ABS('Monthly Cash Flow'!$S$5)+((L531-N531-'Assumptions'!$B$27-'Assumptions'!$B$28)*(1-(1+'Assumptions'!$B$43)^-('Assumptions'!$B$14/12))/'Assumptions'!$B$43)+(O531/(1+'Assumptions'!$B$43)^('Assumptions'!$B$14/12))</x:f>
        <x:v>1240216.4789775438</x:v>
      </x:c>
    </x:row>
    <x:row r="532">
      <x:c r="A532" s="131" t="n">
        <x:f>525</x:f>
        <x:v>525</x:v>
      </x:c>
      <x:c r="B532" s="131" t="n">
        <x:f>MOD(ABS(SIN((A532+1)*12.9898+78.233)*43758.5453),1)</x:f>
        <x:v>0.13499572252476355</x:v>
      </x:c>
      <x:c r="C532" s="131" t="n">
        <x:f>MOD(ABS(SIN((A532+2)*12.9898+78.233)*43758.5453),1)</x:f>
        <x:v>0.5078417988224828</x:v>
      </x:c>
      <x:c r="D532" s="131" t="n">
        <x:f>MOD(ABS(SIN((A532+3)*12.9898+78.233)*43758.5453),1)</x:f>
        <x:v>0.029999162312378758</x:v>
      </x:c>
      <x:c r="E532" s="131" t="n">
        <x:f>MOD(ABS(SIN((A532+4)*12.9898+78.233)*43758.5453),1)</x:f>
        <x:v>0.16540296327366377</x:v>
      </x:c>
      <x:c r="F532" s="131" t="n">
        <x:f>MOD(ABS(SIN((A532+5)*12.9898+78.233)*43758.5453),1)</x:f>
        <x:v>0.26637171982292784</x:v>
      </x:c>
      <x:c r="G532" s="132" t="n">
        <x:f>IF(B532&lt;(('Assumptions'!$C$47-'Assumptions'!$B$47)/('Assumptions'!$D$47-'Assumptions'!$B$47)),'Assumptions'!$B$47+SQRT(B532*('Assumptions'!$D$47-'Assumptions'!$B$47)*('Assumptions'!$C$47-'Assumptions'!$B$47)),'Assumptions'!$D$47-SQRT((1-B532)*('Assumptions'!$D$47-'Assumptions'!$B$47)*('Assumptions'!$D$47-'Assumptions'!$C$47)))</x:f>
        <x:v>-0.04307990389507125</x:v>
      </x:c>
      <x:c r="H532" s="132" t="n">
        <x:f>IF(C532&lt;(('Assumptions'!$C$48-'Assumptions'!$B$48)/('Assumptions'!$D$48-'Assumptions'!$B$48)),'Assumptions'!$B$48+SQRT(C532*('Assumptions'!$D$48-'Assumptions'!$B$48)*('Assumptions'!$C$48-'Assumptions'!$B$48)),'Assumptions'!$D$48-SQRT((1-C532)*('Assumptions'!$D$48-'Assumptions'!$B$48)*('Assumptions'!$D$48-'Assumptions'!$C$48)))</x:f>
        <x:v>0.07418972595132162</x:v>
      </x:c>
      <x:c r="I532" s="132" t="n">
        <x:f>IF(D532&lt;(('Assumptions'!$C$49-'Assumptions'!$B$49)/('Assumptions'!$D$49-'Assumptions'!$B$49)),'Assumptions'!$B$49+SQRT(D532*('Assumptions'!$D$49-'Assumptions'!$B$49)*('Assumptions'!$C$49-'Assumptions'!$B$49)),'Assumptions'!$D$49-SQRT((1-D532)*('Assumptions'!$D$49-'Assumptions'!$B$49)*('Assumptions'!$D$49-'Assumptions'!$C$49)))</x:f>
        <x:v>-0.012000251308040697</x:v>
      </x:c>
      <x:c r="J532" s="132" t="n">
        <x:f>IF(E532&lt;(('Assumptions'!$C$50-'Assumptions'!$B$50)/('Assumptions'!$D$50-'Assumptions'!$B$50)),'Assumptions'!$B$50+SQRT(E532*('Assumptions'!$D$50-'Assumptions'!$B$50)*('Assumptions'!$C$50-'Assumptions'!$B$50)),'Assumptions'!$D$50-SQRT((1-E532)*('Assumptions'!$D$50-'Assumptions'!$B$50)*('Assumptions'!$D$50-'Assumptions'!$C$50)))</x:f>
        <x:v>0.06360046446892156</x:v>
      </x:c>
      <x:c r="K532" s="132" t="n">
        <x:f>IF(F532&lt;(('Assumptions'!$C$51-'Assumptions'!$B$51)/('Assumptions'!$D$51-'Assumptions'!$B$51)),'Assumptions'!$B$51+SQRT(F532*('Assumptions'!$D$51-'Assumptions'!$B$51)*('Assumptions'!$C$51-'Assumptions'!$B$51)),'Assumptions'!$D$51-SQRT((1-F532)*('Assumptions'!$D$51-'Assumptions'!$B$51)*('Assumptions'!$D$51-'Assumptions'!$C$51)))</x:f>
        <x:v>0.06605875124952848</x:v>
      </x:c>
      <x:c r="L532" s="133" t="n">
        <x:f>(('Assumptions'!$B$17*(1+G532)+'Assumptions'!$B$18)*(1-H532-'Assumptions'!$B$20)-SUM('Assumptions'!$B$21:$B$25)*(1+I532))-(('Assumptions'!$B$17*(1+G532)+'Assumptions'!$B$18)*(1-H532-'Assumptions'!$B$20)*'Assumptions'!$B$26)</x:f>
        <x:v>194206.30068615536</x:v>
      </x:c>
      <x:c r="M532" s="133" t="n">
        <x:f>'Assumptions'!$B$10*'Assumptions'!$B$33</x:f>
        <x:v>1950000</x:v>
      </x:c>
      <x:c r="N532" s="133" t="n">
        <x:f>-PMT(K532/12,'Assumptions'!$B$35*12,M532)*12</x:f>
        <x:v>149536.97944902434</x:v>
      </x:c>
      <x:c r="O532" s="133" t="n">
        <x:f>(L532*(1+'Assumptions'!$B$29)^('Assumptions'!$B$14/12)/J532)*(1-'Assumptions'!$B$42)-'Debt Schedule'!$F$9</x:f>
        <x:v>3327491.8894265816</x:v>
      </x:c>
      <x:c r="P532" s="132" t="n">
        <x:f>((O532+(L532-N532-'Assumptions'!$B$27-'Assumptions'!$B$28)*('Assumptions'!$B$14/12))/ABS('Monthly Cash Flow'!$S$5))^(1/('Assumptions'!$B$14/12))-1</x:f>
        <x:v>0.2095122973311574</x:v>
      </x:c>
      <x:c r="Q532" s="133" t="n">
        <x:f>-ABS('Monthly Cash Flow'!$S$5)+((L532-N532-'Assumptions'!$B$27-'Assumptions'!$B$28)*(1-(1+'Assumptions'!$B$43)^-('Assumptions'!$B$14/12))/'Assumptions'!$B$43)+(O532/(1+'Assumptions'!$B$43)^('Assumptions'!$B$14/12))</x:f>
        <x:v>789311.0676191945</x:v>
      </x:c>
    </x:row>
    <x:row r="533">
      <x:c r="A533" s="131" t="n">
        <x:f>526</x:f>
        <x:v>526</x:v>
      </x:c>
      <x:c r="B533" s="131" t="n">
        <x:f>MOD(ABS(SIN((A533+1)*12.9898+78.233)*43758.5453),1)</x:f>
        <x:v>0.5078417988224828</x:v>
      </x:c>
      <x:c r="C533" s="131" t="n">
        <x:f>MOD(ABS(SIN((A533+2)*12.9898+78.233)*43758.5453),1)</x:f>
        <x:v>0.029999162312378758</x:v>
      </x:c>
      <x:c r="D533" s="131" t="n">
        <x:f>MOD(ABS(SIN((A533+3)*12.9898+78.233)*43758.5453),1)</x:f>
        <x:v>0.16540296327366377</x:v>
      </x:c>
      <x:c r="E533" s="131" t="n">
        <x:f>MOD(ABS(SIN((A533+4)*12.9898+78.233)*43758.5453),1)</x:f>
        <x:v>0.26637171982292784</x:v>
      </x:c>
      <x:c r="F533" s="131" t="n">
        <x:f>MOD(ABS(SIN((A533+5)*12.9898+78.233)*43758.5453),1)</x:f>
        <x:v>0.6705034589831484</x:v>
      </x:c>
      <x:c r="G533" s="132" t="n">
        <x:f>IF(B533&lt;(('Assumptions'!$C$47-'Assumptions'!$B$47)/('Assumptions'!$D$47-'Assumptions'!$B$47)),'Assumptions'!$B$47+SQRT(B533*('Assumptions'!$D$47-'Assumptions'!$B$47)*('Assumptions'!$C$47-'Assumptions'!$B$47)),'Assumptions'!$D$47-SQRT((1-B533)*('Assumptions'!$D$47-'Assumptions'!$B$47)*('Assumptions'!$D$47-'Assumptions'!$C$47)))</x:f>
        <x:v>0.010400195524009781</x:v>
      </x:c>
      <x:c r="H533" s="132" t="n">
        <x:f>IF(C533&lt;(('Assumptions'!$C$48-'Assumptions'!$B$48)/('Assumptions'!$D$48-'Assumptions'!$B$48)),'Assumptions'!$B$48+SQRT(C533*('Assumptions'!$D$48-'Assumptions'!$B$48)*('Assumptions'!$C$48-'Assumptions'!$B$48)),'Assumptions'!$D$48-SQRT((1-C533)*('Assumptions'!$D$48-'Assumptions'!$B$48)*('Assumptions'!$D$48-'Assumptions'!$C$48)))</x:f>
        <x:v>0.0399497354553199</x:v>
      </x:c>
      <x:c r="I533" s="132" t="n">
        <x:f>IF(D533&lt;(('Assumptions'!$C$49-'Assumptions'!$B$49)/('Assumptions'!$D$49-'Assumptions'!$B$49)),'Assumptions'!$B$49+SQRT(D533*('Assumptions'!$D$49-'Assumptions'!$B$49)*('Assumptions'!$C$49-'Assumptions'!$B$49)),'Assumptions'!$D$49-SQRT((1-D533)*('Assumptions'!$D$49-'Assumptions'!$B$49)*('Assumptions'!$D$49-'Assumptions'!$C$49)))</x:f>
        <x:v>0.012265257639763286</x:v>
      </x:c>
      <x:c r="J533" s="132" t="n">
        <x:f>IF(E533&lt;(('Assumptions'!$C$50-'Assumptions'!$B$50)/('Assumptions'!$D$50-'Assumptions'!$B$50)),'Assumptions'!$B$50+SQRT(E533*('Assumptions'!$D$50-'Assumptions'!$B$50)*('Assumptions'!$C$50-'Assumptions'!$B$50)),'Assumptions'!$D$50-SQRT((1-E533)*('Assumptions'!$D$50-'Assumptions'!$B$50)*('Assumptions'!$D$50-'Assumptions'!$C$50)))</x:f>
        <x:v>0.06524168179145584</x:v>
      </x:c>
      <x:c r="K533" s="132" t="n">
        <x:f>IF(F533&lt;(('Assumptions'!$C$51-'Assumptions'!$B$51)/('Assumptions'!$D$51-'Assumptions'!$B$51)),'Assumptions'!$B$51+SQRT(F533*('Assumptions'!$D$51-'Assumptions'!$B$51)*('Assumptions'!$C$51-'Assumptions'!$B$51)),'Assumptions'!$D$51-SQRT((1-F533)*('Assumptions'!$D$51-'Assumptions'!$B$51)*('Assumptions'!$D$51-'Assumptions'!$C$51)))</x:f>
        <x:v>0.07240753358692747</x:v>
      </x:c>
      <x:c r="L533" s="133" t="n">
        <x:f>(('Assumptions'!$B$17*(1+G533)+'Assumptions'!$B$18)*(1-H533-'Assumptions'!$B$20)-SUM('Assumptions'!$B$21:$B$25)*(1+I533))-(('Assumptions'!$B$17*(1+G533)+'Assumptions'!$B$18)*(1-H533-'Assumptions'!$B$20)*'Assumptions'!$B$26)</x:f>
        <x:v>220623.59039603983</x:v>
      </x:c>
      <x:c r="M533" s="133" t="n">
        <x:f>'Assumptions'!$B$10*'Assumptions'!$B$33</x:f>
        <x:v>1950000</x:v>
      </x:c>
      <x:c r="N533" s="133" t="n">
        <x:f>-PMT(K533/12,'Assumptions'!$B$35*12,M533)*12</x:f>
        <x:v>159482.5169351374</x:v>
      </x:c>
      <x:c r="O533" s="133" t="n">
        <x:f>(L533*(1+'Assumptions'!$B$29)^('Assumptions'!$B$14/12)/J533)*(1-'Assumptions'!$B$42)-'Debt Schedule'!$F$9</x:f>
        <x:v>3685027.8750032196</x:v>
      </x:c>
      <x:c r="P533" s="132" t="n">
        <x:f>((O533+(L533-N533-'Assumptions'!$B$27-'Assumptions'!$B$28)*('Assumptions'!$B$14/12))/ABS('Monthly Cash Flow'!$S$5))^(1/('Assumptions'!$B$14/12))-1</x:f>
        <x:v>0.23972178754456008</x:v>
      </x:c>
      <x:c r="Q533" s="133" t="n">
        <x:f>-ABS('Monthly Cash Flow'!$S$5)+((L533-N533-'Assumptions'!$B$27-'Assumptions'!$B$28)*(1-(1+'Assumptions'!$B$43)^-('Assumptions'!$B$14/12))/'Assumptions'!$B$43)+(O533/(1+'Assumptions'!$B$43)^('Assumptions'!$B$14/12))</x:f>
        <x:v>1073753.6852235466</x:v>
      </x:c>
    </x:row>
    <x:row r="534">
      <x:c r="A534" s="131" t="n">
        <x:f>527</x:f>
        <x:v>527</x:v>
      </x:c>
      <x:c r="B534" s="131" t="n">
        <x:f>MOD(ABS(SIN((A534+1)*12.9898+78.233)*43758.5453),1)</x:f>
        <x:v>0.029999162312378758</x:v>
      </x:c>
      <x:c r="C534" s="131" t="n">
        <x:f>MOD(ABS(SIN((A534+2)*12.9898+78.233)*43758.5453),1)</x:f>
        <x:v>0.16540296327366377</x:v>
      </x:c>
      <x:c r="D534" s="131" t="n">
        <x:f>MOD(ABS(SIN((A534+3)*12.9898+78.233)*43758.5453),1)</x:f>
        <x:v>0.26637171982292784</x:v>
      </x:c>
      <x:c r="E534" s="131" t="n">
        <x:f>MOD(ABS(SIN((A534+4)*12.9898+78.233)*43758.5453),1)</x:f>
        <x:v>0.6705034589831484</x:v>
      </x:c>
      <x:c r="F534" s="131" t="n">
        <x:f>MOD(ABS(SIN((A534+5)*12.9898+78.233)*43758.5453),1)</x:f>
        <x:v>0.0854949756176211</x:v>
      </x:c>
      <x:c r="G534" s="132" t="n">
        <x:f>IF(B534&lt;(('Assumptions'!$C$47-'Assumptions'!$B$47)/('Assumptions'!$D$47-'Assumptions'!$B$47)),'Assumptions'!$B$47+SQRT(B534*('Assumptions'!$D$47-'Assumptions'!$B$47)*('Assumptions'!$C$47-'Assumptions'!$B$47)),'Assumptions'!$D$47-SQRT((1-B534)*('Assumptions'!$D$47-'Assumptions'!$B$47)*('Assumptions'!$D$47-'Assumptions'!$C$47)))</x:f>
        <x:v>-0.07316755889791073</x:v>
      </x:c>
      <x:c r="H534" s="132" t="n">
        <x:f>IF(C534&lt;(('Assumptions'!$C$48-'Assumptions'!$B$48)/('Assumptions'!$D$48-'Assumptions'!$B$48)),'Assumptions'!$B$48+SQRT(C534*('Assumptions'!$D$48-'Assumptions'!$B$48)*('Assumptions'!$C$48-'Assumptions'!$B$48)),'Assumptions'!$D$48-SQRT((1-C534)*('Assumptions'!$D$48-'Assumptions'!$B$48)*('Assumptions'!$D$48-'Assumptions'!$C$48)))</x:f>
        <x:v>0.05336300020979948</x:v>
      </x:c>
      <x:c r="I534" s="132" t="n">
        <x:f>IF(D534&lt;(('Assumptions'!$C$49-'Assumptions'!$B$49)/('Assumptions'!$D$49-'Assumptions'!$B$49)),'Assumptions'!$B$49+SQRT(D534*('Assumptions'!$D$49-'Assumptions'!$B$49)*('Assumptions'!$C$49-'Assumptions'!$B$49)),'Assumptions'!$D$49-SQRT((1-D534)*('Assumptions'!$D$49-'Assumptions'!$B$49)*('Assumptions'!$D$49-'Assumptions'!$C$49)))</x:f>
        <x:v>0.023635944795329385</x:v>
      </x:c>
      <x:c r="J534" s="132" t="n">
        <x:f>IF(E534&lt;(('Assumptions'!$C$50-'Assumptions'!$B$50)/('Assumptions'!$D$50-'Assumptions'!$B$50)),'Assumptions'!$B$50+SQRT(E534*('Assumptions'!$D$50-'Assumptions'!$B$50)*('Assumptions'!$C$50-'Assumptions'!$B$50)),'Assumptions'!$D$50-SQRT((1-E534)*('Assumptions'!$D$50-'Assumptions'!$B$50)*('Assumptions'!$D$50-'Assumptions'!$C$50)))</x:f>
        <x:v>0.07037342728895743</x:v>
      </x:c>
      <x:c r="K534" s="132" t="n">
        <x:f>IF(F534&lt;(('Assumptions'!$C$51-'Assumptions'!$B$51)/('Assumptions'!$D$51-'Assumptions'!$B$51)),'Assumptions'!$B$51+SQRT(F534*('Assumptions'!$D$51-'Assumptions'!$B$51)*('Assumptions'!$C$51-'Assumptions'!$B$51)),'Assumptions'!$D$51-SQRT((1-F534)*('Assumptions'!$D$51-'Assumptions'!$B$51)*('Assumptions'!$D$51-'Assumptions'!$C$51)))</x:f>
        <x:v>0.062348826486362016</x:v>
      </x:c>
      <x:c r="L534" s="133" t="n">
        <x:f>(('Assumptions'!$B$17*(1+G534)+'Assumptions'!$B$18)*(1-H534-'Assumptions'!$B$20)-SUM('Assumptions'!$B$21:$B$25)*(1+I534))-(('Assumptions'!$B$17*(1+G534)+'Assumptions'!$B$18)*(1-H534-'Assumptions'!$B$20)*'Assumptions'!$B$26)</x:f>
        <x:v>187224.238791349</x:v>
      </x:c>
      <x:c r="M534" s="133" t="n">
        <x:f>'Assumptions'!$B$10*'Assumptions'!$B$33</x:f>
        <x:v>1950000</x:v>
      </x:c>
      <x:c r="N534" s="133" t="n">
        <x:f>-PMT(K534/12,'Assumptions'!$B$35*12,M534)*12</x:f>
        <x:v>143847.8335006753</x:v>
      </x:c>
      <x:c r="O534" s="133" t="n">
        <x:f>(L534*(1+'Assumptions'!$B$29)^('Assumptions'!$B$14/12)/J534)*(1-'Assumptions'!$B$42)-'Debt Schedule'!$F$9</x:f>
        <x:v>2899127.7191454237</x:v>
      </x:c>
      <x:c r="P534" s="132" t="n">
        <x:f>((O534+(L534-N534-'Assumptions'!$B$27-'Assumptions'!$B$28)*('Assumptions'!$B$14/12))/ABS('Monthly Cash Flow'!$S$5))^(1/('Assumptions'!$B$14/12))-1</x:f>
        <x:v>0.17635223855429838</x:v>
      </x:c>
      <x:c r="Q534" s="133" t="n">
        <x:f>-ABS('Monthly Cash Flow'!$S$5)+((L534-N534-'Assumptions'!$B$27-'Assumptions'!$B$28)*(1-(1+'Assumptions'!$B$43)^-('Assumptions'!$B$14/12))/'Assumptions'!$B$43)+(O534/(1+'Assumptions'!$B$43)^('Assumptions'!$B$14/12))</x:f>
        <x:v>518429.45159329334</x:v>
      </x:c>
    </x:row>
    <x:row r="535">
      <x:c r="A535" s="131" t="n">
        <x:f>528</x:f>
        <x:v>528</x:v>
      </x:c>
      <x:c r="B535" s="131" t="n">
        <x:f>MOD(ABS(SIN((A535+1)*12.9898+78.233)*43758.5453),1)</x:f>
        <x:v>0.16540296327366377</x:v>
      </x:c>
      <x:c r="C535" s="131" t="n">
        <x:f>MOD(ABS(SIN((A535+2)*12.9898+78.233)*43758.5453),1)</x:f>
        <x:v>0.26637171982292784</x:v>
      </x:c>
      <x:c r="D535" s="131" t="n">
        <x:f>MOD(ABS(SIN((A535+3)*12.9898+78.233)*43758.5453),1)</x:f>
        <x:v>0.6705034589831484</x:v>
      </x:c>
      <x:c r="E535" s="131" t="n">
        <x:f>MOD(ABS(SIN((A535+4)*12.9898+78.233)*43758.5453),1)</x:f>
        <x:v>0.0854949756176211</x:v>
      </x:c>
      <x:c r="F535" s="131" t="n">
        <x:f>MOD(ABS(SIN((A535+5)*12.9898+78.233)*43758.5453),1)</x:f>
        <x:v>0.9116943184671982</x:v>
      </x:c>
      <x:c r="G535" s="132" t="n">
        <x:f>IF(B535&lt;(('Assumptions'!$C$47-'Assumptions'!$B$47)/('Assumptions'!$D$47-'Assumptions'!$B$47)),'Assumptions'!$B$47+SQRT(B535*('Assumptions'!$D$47-'Assumptions'!$B$47)*('Assumptions'!$C$47-'Assumptions'!$B$47)),'Assumptions'!$D$47-SQRT((1-B535)*('Assumptions'!$D$47-'Assumptions'!$B$47)*('Assumptions'!$D$47-'Assumptions'!$C$47)))</x:f>
        <x:v>-0.03699467388729799</x:v>
      </x:c>
      <x:c r="H535" s="132" t="n">
        <x:f>IF(C535&lt;(('Assumptions'!$C$48-'Assumptions'!$B$48)/('Assumptions'!$D$48-'Assumptions'!$B$48)),'Assumptions'!$B$48+SQRT(C535*('Assumptions'!$D$48-'Assumptions'!$B$48)*('Assumptions'!$C$48-'Assumptions'!$B$48)),'Assumptions'!$D$48-SQRT((1-C535)*('Assumptions'!$D$48-'Assumptions'!$B$48)*('Assumptions'!$D$48-'Assumptions'!$C$48)))</x:f>
        <x:v>0.05964838402705385</x:v>
      </x:c>
      <x:c r="I535" s="132" t="n">
        <x:f>IF(D535&lt;(('Assumptions'!$C$49-'Assumptions'!$B$49)/('Assumptions'!$D$49-'Assumptions'!$B$49)),'Assumptions'!$B$49+SQRT(D535*('Assumptions'!$D$49-'Assumptions'!$B$49)*('Assumptions'!$C$49-'Assumptions'!$B$49)),'Assumptions'!$D$49-SQRT((1-D535)*('Assumptions'!$D$49-'Assumptions'!$B$49)*('Assumptions'!$D$49-'Assumptions'!$C$49)))</x:f>
        <x:v>0.06563694359517316</x:v>
      </x:c>
      <x:c r="J535" s="132" t="n">
        <x:f>IF(E535&lt;(('Assumptions'!$C$50-'Assumptions'!$B$50)/('Assumptions'!$D$50-'Assumptions'!$B$50)),'Assumptions'!$B$50+SQRT(E535*('Assumptions'!$D$50-'Assumptions'!$B$50)*('Assumptions'!$C$50-'Assumptions'!$B$50)),'Assumptions'!$D$50-SQRT((1-E535)*('Assumptions'!$D$50-'Assumptions'!$B$50)*('Assumptions'!$D$50-'Assumptions'!$C$50)))</x:f>
        <x:v>0.06188592858058185</x:v>
      </x:c>
      <x:c r="K535" s="132" t="n">
        <x:f>IF(F535&lt;(('Assumptions'!$C$51-'Assumptions'!$B$51)/('Assumptions'!$D$51-'Assumptions'!$B$51)),'Assumptions'!$B$51+SQRT(F535*('Assumptions'!$D$51-'Assumptions'!$B$51)*('Assumptions'!$C$51-'Assumptions'!$B$51)),'Assumptions'!$D$51-SQRT((1-F535)*('Assumptions'!$D$51-'Assumptions'!$B$51)*('Assumptions'!$D$51-'Assumptions'!$C$51)))</x:f>
        <x:v>0.07848101930991809</x:v>
      </x:c>
      <x:c r="L535" s="133" t="n">
        <x:f>(('Assumptions'!$B$17*(1+G535)+'Assumptions'!$B$18)*(1-H535-'Assumptions'!$B$20)-SUM('Assumptions'!$B$21:$B$25)*(1+I535))-(('Assumptions'!$B$17*(1+G535)+'Assumptions'!$B$18)*(1-H535-'Assumptions'!$B$20)*'Assumptions'!$B$26)</x:f>
        <x:v>191440.85982995408</x:v>
      </x:c>
      <x:c r="M535" s="133" t="n">
        <x:f>'Assumptions'!$B$10*'Assumptions'!$B$33</x:f>
        <x:v>1950000</x:v>
      </x:c>
      <x:c r="N535" s="133" t="n">
        <x:f>-PMT(K535/12,'Assumptions'!$B$35*12,M535)*12</x:f>
        <x:v>169229.56643025563</x:v>
      </x:c>
      <x:c r="O535" s="133" t="n">
        <x:f>(L535*(1+'Assumptions'!$B$29)^('Assumptions'!$B$14/12)/J535)*(1-'Assumptions'!$B$42)-'Debt Schedule'!$F$9</x:f>
        <x:v>3370984.080123674</x:v>
      </x:c>
      <x:c r="P535" s="132" t="n">
        <x:f>((O535+(L535-N535-'Assumptions'!$B$27-'Assumptions'!$B$28)*('Assumptions'!$B$14/12))/ABS('Monthly Cash Flow'!$S$5))^(1/('Assumptions'!$B$14/12))-1</x:f>
        <x:v>0.204504363047175</x:v>
      </x:c>
      <x:c r="Q535" s="133" t="n">
        <x:f>-ABS('Monthly Cash Flow'!$S$5)+((L535-N535-'Assumptions'!$B$27-'Assumptions'!$B$28)*(1-(1+'Assumptions'!$B$43)^-('Assumptions'!$B$14/12))/'Assumptions'!$B$43)+(O535/(1+'Assumptions'!$B$43)^('Assumptions'!$B$14/12))</x:f>
        <x:v>731182.7014164284</x:v>
      </x:c>
    </x:row>
    <x:row r="536">
      <x:c r="A536" s="131" t="n">
        <x:f>529</x:f>
        <x:v>529</x:v>
      </x:c>
      <x:c r="B536" s="131" t="n">
        <x:f>MOD(ABS(SIN((A536+1)*12.9898+78.233)*43758.5453),1)</x:f>
        <x:v>0.26637171982292784</x:v>
      </x:c>
      <x:c r="C536" s="131" t="n">
        <x:f>MOD(ABS(SIN((A536+2)*12.9898+78.233)*43758.5453),1)</x:f>
        <x:v>0.6705034589831484</x:v>
      </x:c>
      <x:c r="D536" s="131" t="n">
        <x:f>MOD(ABS(SIN((A536+3)*12.9898+78.233)*43758.5453),1)</x:f>
        <x:v>0.0854949756176211</x:v>
      </x:c>
      <x:c r="E536" s="131" t="n">
        <x:f>MOD(ABS(SIN((A536+4)*12.9898+78.233)*43758.5453),1)</x:f>
        <x:v>0.9116943184671982</x:v>
      </x:c>
      <x:c r="F536" s="131" t="n">
        <x:f>MOD(ABS(SIN((A536+5)*12.9898+78.233)*43758.5453),1)</x:f>
        <x:v>0.4027000444548321</x:v>
      </x:c>
      <x:c r="G536" s="132" t="n">
        <x:f>IF(B536&lt;(('Assumptions'!$C$47-'Assumptions'!$B$47)/('Assumptions'!$D$47-'Assumptions'!$B$47)),'Assumptions'!$B$47+SQRT(B536*('Assumptions'!$D$47-'Assumptions'!$B$47)*('Assumptions'!$C$47-'Assumptions'!$B$47)),'Assumptions'!$D$47-SQRT((1-B536)*('Assumptions'!$D$47-'Assumptions'!$B$47)*('Assumptions'!$D$47-'Assumptions'!$C$47)))</x:f>
        <x:v>-0.02004425426681164</x:v>
      </x:c>
      <x:c r="H536" s="132" t="n">
        <x:f>IF(C536&lt;(('Assumptions'!$C$48-'Assumptions'!$B$48)/('Assumptions'!$D$48-'Assumptions'!$B$48)),'Assumptions'!$B$48+SQRT(C536*('Assumptions'!$D$48-'Assumptions'!$B$48)*('Assumptions'!$C$48-'Assumptions'!$B$48)),'Assumptions'!$D$48-SQRT((1-C536)*('Assumptions'!$D$48-'Assumptions'!$B$48)*('Assumptions'!$D$48-'Assumptions'!$C$48)))</x:f>
        <x:v>0.0861523486032279</x:v>
      </x:c>
      <x:c r="I536" s="132" t="n">
        <x:f>IF(D536&lt;(('Assumptions'!$C$49-'Assumptions'!$B$49)/('Assumptions'!$D$49-'Assumptions'!$B$49)),'Assumptions'!$B$49+SQRT(D536*('Assumptions'!$D$49-'Assumptions'!$B$49)*('Assumptions'!$C$49-'Assumptions'!$B$49)),'Assumptions'!$D$49-SQRT((1-D536)*('Assumptions'!$D$49-'Assumptions'!$B$49)*('Assumptions'!$D$49-'Assumptions'!$C$49)))</x:f>
        <x:v>0.0003866045597448707</x:v>
      </x:c>
      <x:c r="J536" s="132" t="n">
        <x:f>IF(E536&lt;(('Assumptions'!$C$50-'Assumptions'!$B$50)/('Assumptions'!$D$50-'Assumptions'!$B$50)),'Assumptions'!$B$50+SQRT(E536*('Assumptions'!$D$50-'Assumptions'!$B$50)*('Assumptions'!$C$50-'Assumptions'!$B$50)),'Assumptions'!$D$50-SQRT((1-E536)*('Assumptions'!$D$50-'Assumptions'!$B$50)*('Assumptions'!$D$50-'Assumptions'!$C$50)))</x:f>
        <x:v>0.07501642970039546</x:v>
      </x:c>
      <x:c r="K536" s="132" t="n">
        <x:f>IF(F536&lt;(('Assumptions'!$C$51-'Assumptions'!$B$51)/('Assumptions'!$D$51-'Assumptions'!$B$51)),'Assumptions'!$B$51+SQRT(F536*('Assumptions'!$D$51-'Assumptions'!$B$51)*('Assumptions'!$C$51-'Assumptions'!$B$51)),'Assumptions'!$D$51-SQRT((1-F536)*('Assumptions'!$D$51-'Assumptions'!$B$51)*('Assumptions'!$D$51-'Assumptions'!$C$51)))</x:f>
        <x:v>0.06804563172494735</x:v>
      </x:c>
      <x:c r="L536" s="133" t="n">
        <x:f>(('Assumptions'!$B$17*(1+G536)+'Assumptions'!$B$18)*(1-H536-'Assumptions'!$B$20)-SUM('Assumptions'!$B$21:$B$25)*(1+I536))-(('Assumptions'!$B$17*(1+G536)+'Assumptions'!$B$18)*(1-H536-'Assumptions'!$B$20)*'Assumptions'!$B$26)</x:f>
        <x:v>195678.30490369216</x:v>
      </x:c>
      <x:c r="M536" s="133" t="n">
        <x:f>'Assumptions'!$B$10*'Assumptions'!$B$33</x:f>
        <x:v>1950000</x:v>
      </x:c>
      <x:c r="N536" s="133" t="n">
        <x:f>-PMT(K536/12,'Assumptions'!$B$35*12,M536)*12</x:f>
        <x:v>152621.62715687932</x:v>
      </x:c>
      <x:c r="O536" s="133" t="n">
        <x:f>(L536*(1+'Assumptions'!$B$29)^('Assumptions'!$B$14/12)/J536)*(1-'Assumptions'!$B$42)-'Debt Schedule'!$F$9</x:f>
        <x:v>2842498.629737207</x:v>
      </x:c>
      <x:c r="P536" s="132" t="n">
        <x:f>((O536+(L536-N536-'Assumptions'!$B$27-'Assumptions'!$B$28)*('Assumptions'!$B$14/12))/ABS('Monthly Cash Flow'!$S$5))^(1/('Assumptions'!$B$14/12))-1</x:f>
        <x:v>0.17161631016295487</x:v>
      </x:c>
      <x:c r="Q536" s="133" t="n">
        <x:f>-ABS('Monthly Cash Flow'!$S$5)+((L536-N536-'Assumptions'!$B$27-'Assumptions'!$B$28)*(1-(1+'Assumptions'!$B$43)^-('Assumptions'!$B$14/12))/'Assumptions'!$B$43)+(O536/(1+'Assumptions'!$B$43)^('Assumptions'!$B$14/12))</x:f>
        <x:v>482055.223531225</x:v>
      </x:c>
    </x:row>
    <x:row r="537">
      <x:c r="A537" s="131" t="n">
        <x:f>530</x:f>
        <x:v>530</x:v>
      </x:c>
      <x:c r="B537" s="131" t="n">
        <x:f>MOD(ABS(SIN((A537+1)*12.9898+78.233)*43758.5453),1)</x:f>
        <x:v>0.6705034589831484</x:v>
      </x:c>
      <x:c r="C537" s="131" t="n">
        <x:f>MOD(ABS(SIN((A537+2)*12.9898+78.233)*43758.5453),1)</x:f>
        <x:v>0.0854949756176211</x:v>
      </x:c>
      <x:c r="D537" s="131" t="n">
        <x:f>MOD(ABS(SIN((A537+3)*12.9898+78.233)*43758.5453),1)</x:f>
        <x:v>0.9116943184671982</x:v>
      </x:c>
      <x:c r="E537" s="131" t="n">
        <x:f>MOD(ABS(SIN((A537+4)*12.9898+78.233)*43758.5453),1)</x:f>
        <x:v>0.4027000444548321</x:v>
      </x:c>
      <x:c r="F537" s="131" t="n">
        <x:f>MOD(ABS(SIN((A537+5)*12.9898+78.233)*43758.5453),1)</x:f>
        <x:v>0.00028765209617631626</x:v>
      </x:c>
      <x:c r="G537" s="132" t="n">
        <x:f>IF(B537&lt;(('Assumptions'!$C$47-'Assumptions'!$B$47)/('Assumptions'!$D$47-'Assumptions'!$B$47)),'Assumptions'!$B$47+SQRT(B537*('Assumptions'!$D$47-'Assumptions'!$B$47)*('Assumptions'!$C$47-'Assumptions'!$B$47)),'Assumptions'!$D$47-SQRT((1-B537)*('Assumptions'!$D$47-'Assumptions'!$B$47)*('Assumptions'!$D$47-'Assumptions'!$C$47)))</x:f>
        <x:v>0.02739184166865527</x:v>
      </x:c>
      <x:c r="H537" s="132" t="n">
        <x:f>IF(C537&lt;(('Assumptions'!$C$48-'Assumptions'!$B$48)/('Assumptions'!$D$48-'Assumptions'!$B$48)),'Assumptions'!$B$48+SQRT(C537*('Assumptions'!$D$48-'Assumptions'!$B$48)*('Assumptions'!$C$48-'Assumptions'!$B$48)),'Assumptions'!$D$48-SQRT((1-C537)*('Assumptions'!$D$48-'Assumptions'!$B$48)*('Assumptions'!$D$48-'Assumptions'!$C$48)))</x:f>
        <x:v>0.04679682766292938</x:v>
      </x:c>
      <x:c r="I537" s="132" t="n">
        <x:f>IF(D537&lt;(('Assumptions'!$C$49-'Assumptions'!$B$49)/('Assumptions'!$D$49-'Assumptions'!$B$49)),'Assumptions'!$B$49+SQRT(D537*('Assumptions'!$D$49-'Assumptions'!$B$49)*('Assumptions'!$C$49-'Assumptions'!$B$49)),'Assumptions'!$D$49-SQRT((1-D537)*('Assumptions'!$D$49-'Assumptions'!$B$49)*('Assumptions'!$D$49-'Assumptions'!$C$49)))</x:f>
        <x:v>0.106326178079901</x:v>
      </x:c>
      <x:c r="J537" s="132" t="n">
        <x:f>IF(E537&lt;(('Assumptions'!$C$50-'Assumptions'!$B$50)/('Assumptions'!$D$50-'Assumptions'!$B$50)),'Assumptions'!$B$50+SQRT(E537*('Assumptions'!$D$50-'Assumptions'!$B$50)*('Assumptions'!$C$50-'Assumptions'!$B$50)),'Assumptions'!$D$50-SQRT((1-E537)*('Assumptions'!$D$50-'Assumptions'!$B$50)*('Assumptions'!$D$50-'Assumptions'!$C$50)))</x:f>
        <x:v>0.06701879771832227</x:v>
      </x:c>
      <x:c r="K537" s="132" t="n">
        <x:f>IF(F537&lt;(('Assumptions'!$C$51-'Assumptions'!$B$51)/('Assumptions'!$D$51-'Assumptions'!$B$51)),'Assumptions'!$B$51+SQRT(F537*('Assumptions'!$D$51-'Assumptions'!$B$51)*('Assumptions'!$C$51-'Assumptions'!$B$51)),'Assumptions'!$D$51-SQRT((1-F537)*('Assumptions'!$D$51-'Assumptions'!$B$51)*('Assumptions'!$D$51-'Assumptions'!$C$51)))</x:f>
        <x:v>0.057781254913643276</x:v>
      </x:c>
      <x:c r="L537" s="133" t="n">
        <x:f>(('Assumptions'!$B$17*(1+G537)+'Assumptions'!$B$18)*(1-H537-'Assumptions'!$B$20)-SUM('Assumptions'!$B$21:$B$25)*(1+I537))-(('Assumptions'!$B$17*(1+G537)+'Assumptions'!$B$18)*(1-H537-'Assumptions'!$B$20)*'Assumptions'!$B$26)</x:f>
        <x:v>211801.41520830398</x:v>
      </x:c>
      <x:c r="M537" s="133" t="n">
        <x:f>'Assumptions'!$B$10*'Assumptions'!$B$33</x:f>
        <x:v>1950000</x:v>
      </x:c>
      <x:c r="N537" s="133" t="n">
        <x:f>-PMT(K537/12,'Assumptions'!$B$35*12,M537)*12</x:f>
        <x:v>136974.4244776494</x:v>
      </x:c>
      <x:c r="O537" s="133" t="n">
        <x:f>(L537*(1+'Assumptions'!$B$29)^('Assumptions'!$B$14/12)/J537)*(1-'Assumptions'!$B$42)-'Debt Schedule'!$F$9</x:f>
        <x:v>3443865.6621092283</x:v>
      </x:c>
      <x:c r="P537" s="132" t="n">
        <x:f>((O537+(L537-N537-'Assumptions'!$B$27-'Assumptions'!$B$28)*('Assumptions'!$B$14/12))/ABS('Monthly Cash Flow'!$S$5))^(1/('Assumptions'!$B$14/12))-1</x:f>
        <x:v>0.22821194366244213</x:v>
      </x:c>
      <x:c r="Q537" s="133" t="n">
        <x:f>-ABS('Monthly Cash Flow'!$S$5)+((L537-N537-'Assumptions'!$B$27-'Assumptions'!$B$28)*(1-(1+'Assumptions'!$B$43)^-('Assumptions'!$B$14/12))/'Assumptions'!$B$43)+(O537/(1+'Assumptions'!$B$43)^('Assumptions'!$B$14/12))</x:f>
        <x:v>975891.3190349308</x:v>
      </x:c>
    </x:row>
    <x:row r="538">
      <x:c r="A538" s="131" t="n">
        <x:f>531</x:f>
        <x:v>531</x:v>
      </x:c>
      <x:c r="B538" s="131" t="n">
        <x:f>MOD(ABS(SIN((A538+1)*12.9898+78.233)*43758.5453),1)</x:f>
        <x:v>0.0854949756176211</x:v>
      </x:c>
      <x:c r="C538" s="131" t="n">
        <x:f>MOD(ABS(SIN((A538+2)*12.9898+78.233)*43758.5453),1)</x:f>
        <x:v>0.9116943184671982</x:v>
      </x:c>
      <x:c r="D538" s="131" t="n">
        <x:f>MOD(ABS(SIN((A538+3)*12.9898+78.233)*43758.5453),1)</x:f>
        <x:v>0.4027000444548321</x:v>
      </x:c>
      <x:c r="E538" s="131" t="n">
        <x:f>MOD(ABS(SIN((A538+4)*12.9898+78.233)*43758.5453),1)</x:f>
        <x:v>0.00028765209617631626</x:v>
      </x:c>
      <x:c r="F538" s="131" t="n">
        <x:f>MOD(ABS(SIN((A538+5)*12.9898+78.233)*43758.5453),1)</x:f>
        <x:v>0.5838033776781231</x:v>
      </x:c>
      <x:c r="G538" s="132" t="n">
        <x:f>IF(B538&lt;(('Assumptions'!$C$47-'Assumptions'!$B$47)/('Assumptions'!$D$47-'Assumptions'!$B$47)),'Assumptions'!$B$47+SQRT(B538*('Assumptions'!$D$47-'Assumptions'!$B$47)*('Assumptions'!$C$47-'Assumptions'!$B$47)),'Assumptions'!$D$47-SQRT((1-B538)*('Assumptions'!$D$47-'Assumptions'!$B$47)*('Assumptions'!$D$47-'Assumptions'!$C$47)))</x:f>
        <x:v>-0.05470232439933693</x:v>
      </x:c>
      <x:c r="H538" s="132" t="n">
        <x:f>IF(C538&lt;(('Assumptions'!$C$48-'Assumptions'!$B$48)/('Assumptions'!$D$48-'Assumptions'!$B$48)),'Assumptions'!$B$48+SQRT(C538*('Assumptions'!$D$48-'Assumptions'!$B$48)*('Assumptions'!$C$48-'Assumptions'!$B$48)),'Assumptions'!$D$48-SQRT((1-C538)*('Assumptions'!$D$48-'Assumptions'!$B$48)*('Assumptions'!$D$48-'Assumptions'!$C$48)))</x:f>
        <x:v>0.11212366599624951</x:v>
      </x:c>
      <x:c r="I538" s="132" t="n">
        <x:f>IF(D538&lt;(('Assumptions'!$C$49-'Assumptions'!$B$49)/('Assumptions'!$D$49-'Assumptions'!$B$49)),'Assumptions'!$B$49+SQRT(D538*('Assumptions'!$D$49-'Assumptions'!$B$49)*('Assumptions'!$C$49-'Assumptions'!$B$49)),'Assumptions'!$D$49-SQRT((1-D538)*('Assumptions'!$D$49-'Assumptions'!$B$49)*('Assumptions'!$D$49-'Assumptions'!$C$49)))</x:f>
        <x:v>0.03641444176403574</x:v>
      </x:c>
      <x:c r="J538" s="132" t="n">
        <x:f>IF(E538&lt;(('Assumptions'!$C$50-'Assumptions'!$B$50)/('Assumptions'!$D$50-'Assumptions'!$B$50)),'Assumptions'!$B$50+SQRT(E538*('Assumptions'!$D$50-'Assumptions'!$B$50)*('Assumptions'!$C$50-'Assumptions'!$B$50)),'Assumptions'!$D$50-SQRT((1-E538)*('Assumptions'!$D$50-'Assumptions'!$B$50)*('Assumptions'!$D$50-'Assumptions'!$C$50)))</x:f>
        <x:v>0.05775440464154506</x:v>
      </x:c>
      <x:c r="K538" s="132" t="n">
        <x:f>IF(F538&lt;(('Assumptions'!$C$51-'Assumptions'!$B$51)/('Assumptions'!$D$51-'Assumptions'!$B$51)),'Assumptions'!$B$51+SQRT(F538*('Assumptions'!$D$51-'Assumptions'!$B$51)*('Assumptions'!$C$51-'Assumptions'!$B$51)),'Assumptions'!$D$51-SQRT((1-F538)*('Assumptions'!$D$51-'Assumptions'!$B$51)*('Assumptions'!$D$51-'Assumptions'!$C$51)))</x:f>
        <x:v>0.07084745166083496</x:v>
      </x:c>
      <x:c r="L538" s="133" t="n">
        <x:f>(('Assumptions'!$B$17*(1+G538)+'Assumptions'!$B$18)*(1-H538-'Assumptions'!$B$20)-SUM('Assumptions'!$B$21:$B$25)*(1+I538))-(('Assumptions'!$B$17*(1+G538)+'Assumptions'!$B$18)*(1-H538-'Assumptions'!$B$20)*'Assumptions'!$B$26)</x:f>
        <x:v>171379.18407362438</x:v>
      </x:c>
      <x:c r="M538" s="133" t="n">
        <x:f>'Assumptions'!$B$10*'Assumptions'!$B$33</x:f>
        <x:v>1950000</x:v>
      </x:c>
      <x:c r="N538" s="133" t="n">
        <x:f>-PMT(K538/12,'Assumptions'!$B$35*12,M538)*12</x:f>
        <x:v>157014.85451086806</x:v>
      </x:c>
      <x:c r="O538" s="133" t="n">
        <x:f>(L538*(1+'Assumptions'!$B$29)^('Assumptions'!$B$14/12)/J538)*(1-'Assumptions'!$B$42)-'Debt Schedule'!$F$9</x:f>
        <x:v>3233604.768884164</x:v>
      </x:c>
      <x:c r="P538" s="132" t="n">
        <x:f>((O538+(L538-N538-'Assumptions'!$B$27-'Assumptions'!$B$28)*('Assumptions'!$B$14/12))/ABS('Monthly Cash Flow'!$S$5))^(1/('Assumptions'!$B$14/12))-1</x:f>
        <x:v>0.1912525345265117</x:v>
      </x:c>
      <x:c r="Q538" s="133" t="n">
        <x:f>-ABS('Monthly Cash Flow'!$S$5)+((L538-N538-'Assumptions'!$B$27-'Assumptions'!$B$28)*(1-(1+'Assumptions'!$B$43)^-('Assumptions'!$B$14/12))/'Assumptions'!$B$43)+(O538/(1+'Assumptions'!$B$43)^('Assumptions'!$B$14/12))</x:f>
        <x:v>616134.7910275294</x:v>
      </x:c>
    </x:row>
    <x:row r="539">
      <x:c r="A539" s="131" t="n">
        <x:f>532</x:f>
        <x:v>532</x:v>
      </x:c>
      <x:c r="B539" s="131" t="n">
        <x:f>MOD(ABS(SIN((A539+1)*12.9898+78.233)*43758.5453),1)</x:f>
        <x:v>0.9116943184671982</x:v>
      </x:c>
      <x:c r="C539" s="131" t="n">
        <x:f>MOD(ABS(SIN((A539+2)*12.9898+78.233)*43758.5453),1)</x:f>
        <x:v>0.4027000444548321</x:v>
      </x:c>
      <x:c r="D539" s="131" t="n">
        <x:f>MOD(ABS(SIN((A539+3)*12.9898+78.233)*43758.5453),1)</x:f>
        <x:v>0.00028765209617631626</x:v>
      </x:c>
      <x:c r="E539" s="131" t="n">
        <x:f>MOD(ABS(SIN((A539+4)*12.9898+78.233)*43758.5453),1)</x:f>
        <x:v>0.5838033776781231</x:v>
      </x:c>
      <x:c r="F539" s="131" t="n">
        <x:f>MOD(ABS(SIN((A539+5)*12.9898+78.233)*43758.5453),1)</x:f>
        <x:v>0.9962994055895251</x:v>
      </x:c>
      <x:c r="G539" s="132" t="n">
        <x:f>IF(B539&lt;(('Assumptions'!$C$47-'Assumptions'!$B$47)/('Assumptions'!$D$47-'Assumptions'!$B$47)),'Assumptions'!$B$47+SQRT(B539*('Assumptions'!$D$47-'Assumptions'!$B$47)*('Assumptions'!$C$47-'Assumptions'!$B$47)),'Assumptions'!$D$47-SQRT((1-B539)*('Assumptions'!$D$47-'Assumptions'!$B$47)*('Assumptions'!$D$47-'Assumptions'!$C$47)))</x:f>
        <x:v>0.06241155889738404</x:v>
      </x:c>
      <x:c r="H539" s="132" t="n">
        <x:f>IF(C539&lt;(('Assumptions'!$C$48-'Assumptions'!$B$48)/('Assumptions'!$D$48-'Assumptions'!$B$48)),'Assumptions'!$B$48+SQRT(C539*('Assumptions'!$D$48-'Assumptions'!$B$48)*('Assumptions'!$C$48-'Assumptions'!$B$48)),'Assumptions'!$D$48-SQRT((1-C539)*('Assumptions'!$D$48-'Assumptions'!$B$48)*('Assumptions'!$D$48-'Assumptions'!$C$48)))</x:f>
        <x:v>0.06750007166350108</x:v>
      </x:c>
      <x:c r="I539" s="132" t="n">
        <x:f>IF(D539&lt;(('Assumptions'!$C$49-'Assumptions'!$B$49)/('Assumptions'!$D$49-'Assumptions'!$B$49)),'Assumptions'!$B$49+SQRT(D539*('Assumptions'!$D$49-'Assumptions'!$B$49)*('Assumptions'!$C$49-'Assumptions'!$B$49)),'Assumptions'!$D$49-SQRT((1-D539)*('Assumptions'!$D$49-'Assumptions'!$B$49)*('Assumptions'!$D$49-'Assumptions'!$C$49)))</x:f>
        <x:v>-0.028237432940650422</x:v>
      </x:c>
      <x:c r="J539" s="132" t="n">
        <x:f>IF(E539&lt;(('Assumptions'!$C$50-'Assumptions'!$B$50)/('Assumptions'!$D$50-'Assumptions'!$B$50)),'Assumptions'!$B$50+SQRT(E539*('Assumptions'!$D$50-'Assumptions'!$B$50)*('Assumptions'!$C$50-'Assumptions'!$B$50)),'Assumptions'!$D$50-SQRT((1-E539)*('Assumptions'!$D$50-'Assumptions'!$B$50)*('Assumptions'!$D$50-'Assumptions'!$C$50)))</x:f>
        <x:v>0.06918079023088895</x:v>
      </x:c>
      <x:c r="K539" s="132" t="n">
        <x:f>IF(F539&lt;(('Assumptions'!$C$51-'Assumptions'!$B$51)/('Assumptions'!$D$51-'Assumptions'!$B$51)),'Assumptions'!$B$51+SQRT(F539*('Assumptions'!$D$51-'Assumptions'!$B$51)*('Assumptions'!$C$51-'Assumptions'!$B$51)),'Assumptions'!$D$51-SQRT((1-F539)*('Assumptions'!$D$51-'Assumptions'!$B$51)*('Assumptions'!$D$51-'Assumptions'!$C$51)))</x:f>
        <x:v>0.08366549220307971</x:v>
      </x:c>
      <x:c r="L539" s="133" t="n">
        <x:f>(('Assumptions'!$B$17*(1+G539)+'Assumptions'!$B$18)*(1-H539-'Assumptions'!$B$20)-SUM('Assumptions'!$B$21:$B$25)*(1+I539))-(('Assumptions'!$B$17*(1+G539)+'Assumptions'!$B$18)*(1-H539-'Assumptions'!$B$20)*'Assumptions'!$B$26)</x:f>
        <x:v>232212.49256095797</x:v>
      </x:c>
      <x:c r="M539" s="133" t="n">
        <x:f>'Assumptions'!$B$10*'Assumptions'!$B$33</x:f>
        <x:v>1950000</x:v>
      </x:c>
      <x:c r="N539" s="133" t="n">
        <x:f>-PMT(K539/12,'Assumptions'!$B$35*12,M539)*12</x:f>
        <x:v>177717.3358696606</x:v>
      </x:c>
      <x:c r="O539" s="133" t="n">
        <x:f>(L539*(1+'Assumptions'!$B$29)^('Assumptions'!$B$14/12)/J539)*(1-'Assumptions'!$B$42)-'Debt Schedule'!$F$9</x:f>
        <x:v>3657750.166898876</x:v>
      </x:c>
      <x:c r="P539" s="132" t="n">
        <x:f>((O539+(L539-N539-'Assumptions'!$B$27-'Assumptions'!$B$28)*('Assumptions'!$B$14/12))/ABS('Monthly Cash Flow'!$S$5))^(1/('Assumptions'!$B$14/12))-1</x:f>
        <x:v>0.23573861189694512</x:v>
      </x:c>
      <x:c r="Q539" s="133" t="n">
        <x:f>-ABS('Monthly Cash Flow'!$S$5)+((L539-N539-'Assumptions'!$B$27-'Assumptions'!$B$28)*(1-(1+'Assumptions'!$B$43)^-('Assumptions'!$B$14/12))/'Assumptions'!$B$43)+(O539/(1+'Assumptions'!$B$43)^('Assumptions'!$B$14/12))</x:f>
        <x:v>1031623.1212565675</x:v>
      </x:c>
    </x:row>
    <x:row r="540">
      <x:c r="A540" s="131" t="n">
        <x:f>533</x:f>
        <x:v>533</x:v>
      </x:c>
      <x:c r="B540" s="131" t="n">
        <x:f>MOD(ABS(SIN((A540+1)*12.9898+78.233)*43758.5453),1)</x:f>
        <x:v>0.4027000444548321</x:v>
      </x:c>
      <x:c r="C540" s="131" t="n">
        <x:f>MOD(ABS(SIN((A540+2)*12.9898+78.233)*43758.5453),1)</x:f>
        <x:v>0.00028765209617631626</x:v>
      </x:c>
      <x:c r="D540" s="131" t="n">
        <x:f>MOD(ABS(SIN((A540+3)*12.9898+78.233)*43758.5453),1)</x:f>
        <x:v>0.5838033776781231</x:v>
      </x:c>
      <x:c r="E540" s="131" t="n">
        <x:f>MOD(ABS(SIN((A540+4)*12.9898+78.233)*43758.5453),1)</x:f>
        <x:v>0.9962994055895251</x:v>
      </x:c>
      <x:c r="F540" s="131" t="n">
        <x:f>MOD(ABS(SIN((A540+5)*12.9898+78.233)*43758.5453),1)</x:f>
        <x:v>0.8700713476719102</x:v>
      </x:c>
      <x:c r="G540" s="132" t="n">
        <x:f>IF(B540&lt;(('Assumptions'!$C$47-'Assumptions'!$B$47)/('Assumptions'!$D$47-'Assumptions'!$B$47)),'Assumptions'!$B$47+SQRT(B540*('Assumptions'!$D$47-'Assumptions'!$B$47)*('Assumptions'!$C$47-'Assumptions'!$B$47)),'Assumptions'!$D$47-SQRT((1-B540)*('Assumptions'!$D$47-'Assumptions'!$B$47)*('Assumptions'!$D$47-'Assumptions'!$C$47)))</x:f>
        <x:v>-0.0016902798960551912</x:v>
      </x:c>
      <x:c r="H540" s="132" t="n">
        <x:f>IF(C540&lt;(('Assumptions'!$C$48-'Assumptions'!$B$48)/('Assumptions'!$D$48-'Assumptions'!$B$48)),'Assumptions'!$B$48+SQRT(C540*('Assumptions'!$D$48-'Assumptions'!$B$48)*('Assumptions'!$C$48-'Assumptions'!$B$48)),'Assumptions'!$D$48-SQRT((1-C540)*('Assumptions'!$D$48-'Assumptions'!$B$48)*('Assumptions'!$D$48-'Assumptions'!$C$48)))</x:f>
        <x:v>0.030974295600617104</x:v>
      </x:c>
      <x:c r="I540" s="132" t="n">
        <x:f>IF(D540&lt;(('Assumptions'!$C$49-'Assumptions'!$B$49)/('Assumptions'!$D$49-'Assumptions'!$B$49)),'Assumptions'!$B$49+SQRT(D540*('Assumptions'!$D$49-'Assumptions'!$B$49)*('Assumptions'!$C$49-'Assumptions'!$B$49)),'Assumptions'!$D$49-SQRT((1-D540)*('Assumptions'!$D$49-'Assumptions'!$B$49)*('Assumptions'!$D$49-'Assumptions'!$C$49)))</x:f>
        <x:v>0.05518519608124192</x:v>
      </x:c>
      <x:c r="J540" s="132" t="n">
        <x:f>IF(E540&lt;(('Assumptions'!$C$50-'Assumptions'!$B$50)/('Assumptions'!$D$50-'Assumptions'!$B$50)),'Assumptions'!$B$50+SQRT(E540*('Assumptions'!$D$50-'Assumptions'!$B$50)*('Assumptions'!$C$50-'Assumptions'!$B$50)),'Assumptions'!$D$50-SQRT((1-E540)*('Assumptions'!$D$50-'Assumptions'!$B$50)*('Assumptions'!$D$50-'Assumptions'!$C$50)))</x:f>
        <x:v>0.07897980777402194</x:v>
      </x:c>
      <x:c r="K540" s="132" t="n">
        <x:f>IF(F540&lt;(('Assumptions'!$C$51-'Assumptions'!$B$51)/('Assumptions'!$D$51-'Assumptions'!$B$51)),'Assumptions'!$B$51+SQRT(F540*('Assumptions'!$D$51-'Assumptions'!$B$51)*('Assumptions'!$C$51-'Assumptions'!$B$51)),'Assumptions'!$D$51-SQRT((1-F540)*('Assumptions'!$D$51-'Assumptions'!$B$51)*('Assumptions'!$D$51-'Assumptions'!$C$51)))</x:f>
        <x:v>0.07709252480668494</x:v>
      </x:c>
      <x:c r="L540" s="133" t="n">
        <x:f>(('Assumptions'!$B$17*(1+G540)+'Assumptions'!$B$18)*(1-H540-'Assumptions'!$B$20)-SUM('Assumptions'!$B$21:$B$25)*(1+I540))-(('Assumptions'!$B$17*(1+G540)+'Assumptions'!$B$18)*(1-H540-'Assumptions'!$B$20)*'Assumptions'!$B$26)</x:f>
        <x:v>214497.68774864924</x:v>
      </x:c>
      <x:c r="M540" s="133" t="n">
        <x:f>'Assumptions'!$B$10*'Assumptions'!$B$33</x:f>
        <x:v>1950000</x:v>
      </x:c>
      <x:c r="N540" s="133" t="n">
        <x:f>-PMT(K540/12,'Assumptions'!$B$35*12,M540)*12</x:f>
        <x:v>166982.05141656753</x:v>
      </x:c>
      <x:c r="O540" s="133" t="n">
        <x:f>(L540*(1+'Assumptions'!$B$29)^('Assumptions'!$B$14/12)/J540)*(1-'Assumptions'!$B$42)-'Debt Schedule'!$F$9</x:f>
        <x:v>2959514.823951368</x:v>
      </x:c>
      <x:c r="P540" s="132" t="n">
        <x:f>((O540+(L540-N540-'Assumptions'!$B$27-'Assumptions'!$B$28)*('Assumptions'!$B$14/12))/ABS('Monthly Cash Flow'!$S$5))^(1/('Assumptions'!$B$14/12))-1</x:f>
        <x:v>0.18282265215363025</x:v>
      </x:c>
      <x:c r="Q540" s="133" t="n">
        <x:f>-ABS('Monthly Cash Flow'!$S$5)+((L540-N540-'Assumptions'!$B$27-'Assumptions'!$B$28)*(1-(1+'Assumptions'!$B$43)^-('Assumptions'!$B$14/12))/'Assumptions'!$B$43)+(O540/(1+'Assumptions'!$B$43)^('Assumptions'!$B$14/12))</x:f>
        <x:v>571616.0348724064</x:v>
      </x:c>
    </x:row>
    <x:row r="541">
      <x:c r="A541" s="131" t="n">
        <x:f>534</x:f>
        <x:v>534</x:v>
      </x:c>
      <x:c r="B541" s="131" t="n">
        <x:f>MOD(ABS(SIN((A541+1)*12.9898+78.233)*43758.5453),1)</x:f>
        <x:v>0.00028765209617631626</x:v>
      </x:c>
      <x:c r="C541" s="131" t="n">
        <x:f>MOD(ABS(SIN((A541+2)*12.9898+78.233)*43758.5453),1)</x:f>
        <x:v>0.5838033776781231</x:v>
      </x:c>
      <x:c r="D541" s="131" t="n">
        <x:f>MOD(ABS(SIN((A541+3)*12.9898+78.233)*43758.5453),1)</x:f>
        <x:v>0.9962994055895251</x:v>
      </x:c>
      <x:c r="E541" s="131" t="n">
        <x:f>MOD(ABS(SIN((A541+4)*12.9898+78.233)*43758.5453),1)</x:f>
        <x:v>0.8700713476719102</x:v>
      </x:c>
      <x:c r="F541" s="131" t="n">
        <x:f>MOD(ABS(SIN((A541+5)*12.9898+78.233)*43758.5453),1)</x:f>
        <x:v>0.11502590346208308</x:v>
      </x:c>
      <x:c r="G541" s="132" t="n">
        <x:f>IF(B541&lt;(('Assumptions'!$C$47-'Assumptions'!$B$47)/('Assumptions'!$D$47-'Assumptions'!$B$47)),'Assumptions'!$B$47+SQRT(B541*('Assumptions'!$D$47-'Assumptions'!$B$47)*('Assumptions'!$C$47-'Assumptions'!$B$47)),'Assumptions'!$D$47-SQRT((1-B541)*('Assumptions'!$D$47-'Assumptions'!$B$47)*('Assumptions'!$D$47-'Assumptions'!$C$47)))</x:f>
        <x:v>-0.09737252016026163</x:v>
      </x:c>
      <x:c r="H541" s="132" t="n">
        <x:f>IF(C541&lt;(('Assumptions'!$C$48-'Assumptions'!$B$48)/('Assumptions'!$D$48-'Assumptions'!$B$48)),'Assumptions'!$B$48+SQRT(C541*('Assumptions'!$D$48-'Assumptions'!$B$48)*('Assumptions'!$C$48-'Assumptions'!$B$48)),'Assumptions'!$D$48-SQRT((1-C541)*('Assumptions'!$D$48-'Assumptions'!$B$48)*('Assumptions'!$D$48-'Assumptions'!$C$48)))</x:f>
        <x:v>0.0794811576743861</x:v>
      </x:c>
      <x:c r="I541" s="132" t="n">
        <x:f>IF(D541&lt;(('Assumptions'!$C$49-'Assumptions'!$B$49)/('Assumptions'!$D$49-'Assumptions'!$B$49)),'Assumptions'!$B$49+SQRT(D541*('Assumptions'!$D$49-'Assumptions'!$B$49)*('Assumptions'!$C$49-'Assumptions'!$B$49)),'Assumptions'!$D$49-SQRT((1-D541)*('Assumptions'!$D$49-'Assumptions'!$B$49)*('Assumptions'!$D$49-'Assumptions'!$C$49)))</x:f>
        <x:v>0.14105948327744658</x:v>
      </x:c>
      <x:c r="J541" s="132" t="n">
        <x:f>IF(E541&lt;(('Assumptions'!$C$50-'Assumptions'!$B$50)/('Assumptions'!$D$50-'Assumptions'!$B$50)),'Assumptions'!$B$50+SQRT(E541*('Assumptions'!$D$50-'Assumptions'!$B$50)*('Assumptions'!$C$50-'Assumptions'!$B$50)),'Assumptions'!$D$50-SQRT((1-E541)*('Assumptions'!$D$50-'Assumptions'!$B$50)*('Assumptions'!$D$50-'Assumptions'!$C$50)))</x:f>
        <x:v>0.07395496621454642</x:v>
      </x:c>
      <x:c r="K541" s="132" t="n">
        <x:f>IF(F541&lt;(('Assumptions'!$C$51-'Assumptions'!$B$51)/('Assumptions'!$D$51-'Assumptions'!$B$51)),'Assumptions'!$B$51+SQRT(F541*('Assumptions'!$D$51-'Assumptions'!$B$51)*('Assumptions'!$C$51-'Assumptions'!$B$51)),'Assumptions'!$D$51-SQRT((1-F541)*('Assumptions'!$D$51-'Assumptions'!$B$51)*('Assumptions'!$D$51-'Assumptions'!$C$51)))</x:f>
        <x:v>0.06312424425608214</x:v>
      </x:c>
      <x:c r="L541" s="133" t="n">
        <x:f>(('Assumptions'!$B$17*(1+G541)+'Assumptions'!$B$18)*(1-H541-'Assumptions'!$B$20)-SUM('Assumptions'!$B$21:$B$25)*(1+I541))-(('Assumptions'!$B$17*(1+G541)+'Assumptions'!$B$18)*(1-H541-'Assumptions'!$B$20)*'Assumptions'!$B$26)</x:f>
        <x:v>155994.85445748823</x:v>
      </x:c>
      <x:c r="M541" s="133" t="n">
        <x:f>'Assumptions'!$B$10*'Assumptions'!$B$33</x:f>
        <x:v>1950000</x:v>
      </x:c>
      <x:c r="N541" s="133" t="n">
        <x:f>-PMT(K541/12,'Assumptions'!$B$35*12,M541)*12</x:f>
        <x:v>145029.1995354883</x:v>
      </x:c>
      <x:c r="O541" s="133" t="n">
        <x:f>(L541*(1+'Assumptions'!$B$29)^('Assumptions'!$B$14/12)/J541)*(1-'Assumptions'!$B$42)-'Debt Schedule'!$F$9</x:f>
        <x:v>2298565.6240287204</x:v>
      </x:c>
      <x:c r="P541" s="132" t="n">
        <x:f>((O541+(L541-N541-'Assumptions'!$B$27-'Assumptions'!$B$28)*('Assumptions'!$B$14/12))/ABS('Monthly Cash Flow'!$S$5))^(1/('Assumptions'!$B$14/12))-1</x:f>
        <x:v>0.1071444432976345</x:v>
      </x:c>
      <x:c r="Q541" s="133" t="n">
        <x:f>-ABS('Monthly Cash Flow'!$S$5)+((L541-N541-'Assumptions'!$B$27-'Assumptions'!$B$28)*(1-(1+'Assumptions'!$B$43)^-('Assumptions'!$B$14/12))/'Assumptions'!$B$43)+(O541/(1+'Assumptions'!$B$43)^('Assumptions'!$B$14/12))</x:f>
        <x:v>22665.397230083123</x:v>
      </x:c>
    </x:row>
    <x:row r="542">
      <x:c r="A542" s="131" t="n">
        <x:f>535</x:f>
        <x:v>535</x:v>
      </x:c>
      <x:c r="B542" s="131" t="n">
        <x:f>MOD(ABS(SIN((A542+1)*12.9898+78.233)*43758.5453),1)</x:f>
        <x:v>0.5838033776781231</x:v>
      </x:c>
      <x:c r="C542" s="131" t="n">
        <x:f>MOD(ABS(SIN((A542+2)*12.9898+78.233)*43758.5453),1)</x:f>
        <x:v>0.9962994055895251</x:v>
      </x:c>
      <x:c r="D542" s="131" t="n">
        <x:f>MOD(ABS(SIN((A542+3)*12.9898+78.233)*43758.5453),1)</x:f>
        <x:v>0.8700713476719102</x:v>
      </x:c>
      <x:c r="E542" s="131" t="n">
        <x:f>MOD(ABS(SIN((A542+4)*12.9898+78.233)*43758.5453),1)</x:f>
        <x:v>0.11502590346208308</x:v>
      </x:c>
      <x:c r="F542" s="131" t="n">
        <x:f>MOD(ABS(SIN((A542+5)*12.9898+78.233)*43758.5453),1)</x:f>
        <x:v>0.3490874013004941</x:v>
      </x:c>
      <x:c r="G542" s="132" t="n">
        <x:f>IF(B542&lt;(('Assumptions'!$C$47-'Assumptions'!$B$47)/('Assumptions'!$D$47-'Assumptions'!$B$47)),'Assumptions'!$B$47+SQRT(B542*('Assumptions'!$D$47-'Assumptions'!$B$47)*('Assumptions'!$C$47-'Assumptions'!$B$47)),'Assumptions'!$D$47-SQRT((1-B542)*('Assumptions'!$D$47-'Assumptions'!$B$47)*('Assumptions'!$D$47-'Assumptions'!$C$47)))</x:f>
        <x:v>0.018369257259961524</x:v>
      </x:c>
      <x:c r="H542" s="132" t="n">
        <x:f>IF(C542&lt;(('Assumptions'!$C$48-'Assumptions'!$B$48)/('Assumptions'!$D$48-'Assumptions'!$B$48)),'Assumptions'!$B$48+SQRT(C542*('Assumptions'!$D$48-'Assumptions'!$B$48)*('Assumptions'!$C$48-'Assumptions'!$B$48)),'Assumptions'!$D$48-SQRT((1-C542)*('Assumptions'!$D$48-'Assumptions'!$B$48)*('Assumptions'!$D$48-'Assumptions'!$C$48)))</x:f>
        <x:v>0.13429340462165235</x:v>
      </x:c>
      <x:c r="I542" s="132" t="n">
        <x:f>IF(D542&lt;(('Assumptions'!$C$49-'Assumptions'!$B$49)/('Assumptions'!$D$49-'Assumptions'!$B$49)),'Assumptions'!$B$49+SQRT(D542*('Assumptions'!$D$49-'Assumptions'!$B$49)*('Assumptions'!$C$49-'Assumptions'!$B$49)),'Assumptions'!$D$49-SQRT((1-D542)*('Assumptions'!$D$49-'Assumptions'!$B$49)*('Assumptions'!$D$49-'Assumptions'!$C$49)))</x:f>
        <x:v>0.09702397815721966</x:v>
      </x:c>
      <x:c r="J542" s="132" t="n">
        <x:f>IF(E542&lt;(('Assumptions'!$C$50-'Assumptions'!$B$50)/('Assumptions'!$D$50-'Assumptions'!$B$50)),'Assumptions'!$B$50+SQRT(E542*('Assumptions'!$D$50-'Assumptions'!$B$50)*('Assumptions'!$C$50-'Assumptions'!$B$50)),'Assumptions'!$D$50-SQRT((1-E542)*('Assumptions'!$D$50-'Assumptions'!$B$50)*('Assumptions'!$D$50-'Assumptions'!$C$50)))</x:f>
        <x:v>0.06258732034365526</x:v>
      </x:c>
      <x:c r="K542" s="132" t="n">
        <x:f>IF(F542&lt;(('Assumptions'!$C$51-'Assumptions'!$B$51)/('Assumptions'!$D$51-'Assumptions'!$B$51)),'Assumptions'!$B$51+SQRT(F542*('Assumptions'!$D$51-'Assumptions'!$B$51)*('Assumptions'!$C$51-'Assumptions'!$B$51)),'Assumptions'!$D$51-SQRT((1-F542)*('Assumptions'!$D$51-'Assumptions'!$B$51)*('Assumptions'!$D$51-'Assumptions'!$C$51)))</x:f>
        <x:v>0.06729790974430955</x:v>
      </x:c>
      <x:c r="L542" s="133" t="n">
        <x:f>(('Assumptions'!$B$17*(1+G542)+'Assumptions'!$B$18)*(1-H542-'Assumptions'!$B$20)-SUM('Assumptions'!$B$21:$B$25)*(1+I542))-(('Assumptions'!$B$17*(1+G542)+'Assumptions'!$B$18)*(1-H542-'Assumptions'!$B$20)*'Assumptions'!$B$26)</x:f>
        <x:v>177726.16893323386</x:v>
      </x:c>
      <x:c r="M542" s="133" t="n">
        <x:f>'Assumptions'!$B$10*'Assumptions'!$B$33</x:f>
        <x:v>1950000</x:v>
      </x:c>
      <x:c r="N542" s="133" t="n">
        <x:f>-PMT(K542/12,'Assumptions'!$B$35*12,M542)*12</x:f>
        <x:v>151457.7466388555</x:v>
      </x:c>
      <x:c r="O542" s="133" t="n">
        <x:f>(L542*(1+'Assumptions'!$B$29)^('Assumptions'!$B$14/12)/J542)*(1-'Assumptions'!$B$42)-'Debt Schedule'!$F$9</x:f>
        <x:v>3094418.142643101</x:v>
      </x:c>
      <x:c r="P542" s="132" t="n">
        <x:f>((O542+(L542-N542-'Assumptions'!$B$27-'Assumptions'!$B$28)*('Assumptions'!$B$14/12))/ABS('Monthly Cash Flow'!$S$5))^(1/('Assumptions'!$B$14/12))-1</x:f>
        <x:v>0.18507678822111084</x:v>
      </x:c>
      <x:c r="Q542" s="133" t="n">
        <x:f>-ABS('Monthly Cash Flow'!$S$5)+((L542-N542-'Assumptions'!$B$27-'Assumptions'!$B$28)*(1-(1+'Assumptions'!$B$43)^-('Assumptions'!$B$14/12))/'Assumptions'!$B$43)+(O542/(1+'Assumptions'!$B$43)^('Assumptions'!$B$14/12))</x:f>
        <x:v>574836.7241386326</x:v>
      </x:c>
    </x:row>
    <x:row r="543">
      <x:c r="A543" s="131" t="n">
        <x:f>536</x:f>
        <x:v>536</x:v>
      </x:c>
      <x:c r="B543" s="131" t="n">
        <x:f>MOD(ABS(SIN((A543+1)*12.9898+78.233)*43758.5453),1)</x:f>
        <x:v>0.9962994055895251</x:v>
      </x:c>
      <x:c r="C543" s="131" t="n">
        <x:f>MOD(ABS(SIN((A543+2)*12.9898+78.233)*43758.5453),1)</x:f>
        <x:v>0.8700713476719102</x:v>
      </x:c>
      <x:c r="D543" s="131" t="n">
        <x:f>MOD(ABS(SIN((A543+3)*12.9898+78.233)*43758.5453),1)</x:f>
        <x:v>0.11502590346208308</x:v>
      </x:c>
      <x:c r="E543" s="131" t="n">
        <x:f>MOD(ABS(SIN((A543+4)*12.9898+78.233)*43758.5453),1)</x:f>
        <x:v>0.3490874013004941</x:v>
      </x:c>
      <x:c r="F543" s="131" t="n">
        <x:f>MOD(ABS(SIN((A543+5)*12.9898+78.233)*43758.5453),1)</x:f>
        <x:v>0.7590094570077781</x:v>
      </x:c>
      <x:c r="G543" s="132" t="n">
        <x:f>IF(B543&lt;(('Assumptions'!$C$47-'Assumptions'!$B$47)/('Assumptions'!$D$47-'Assumptions'!$B$47)),'Assumptions'!$B$47+SQRT(B543*('Assumptions'!$D$47-'Assumptions'!$B$47)*('Assumptions'!$C$47-'Assumptions'!$B$47)),'Assumptions'!$D$47-SQRT((1-B543)*('Assumptions'!$D$47-'Assumptions'!$B$47)*('Assumptions'!$D$47-'Assumptions'!$C$47)))</x:f>
        <x:v>0.09230522836156926</x:v>
      </x:c>
      <x:c r="H543" s="132" t="n">
        <x:f>IF(C543&lt;(('Assumptions'!$C$48-'Assumptions'!$B$48)/('Assumptions'!$D$48-'Assumptions'!$B$48)),'Assumptions'!$B$48+SQRT(C543*('Assumptions'!$D$48-'Assumptions'!$B$48)*('Assumptions'!$C$48-'Assumptions'!$B$48)),'Assumptions'!$D$48-SQRT((1-C543)*('Assumptions'!$D$48-'Assumptions'!$B$48)*('Assumptions'!$D$48-'Assumptions'!$C$48)))</x:f>
        <x:v>0.10618621375108682</x:v>
      </x:c>
      <x:c r="I543" s="132" t="n">
        <x:f>IF(D543&lt;(('Assumptions'!$C$49-'Assumptions'!$B$49)/('Assumptions'!$D$49-'Assumptions'!$B$49)),'Assumptions'!$B$49+SQRT(D543*('Assumptions'!$D$49-'Assumptions'!$B$49)*('Assumptions'!$C$49-'Assumptions'!$B$49)),'Assumptions'!$D$49-SQRT((1-D543)*('Assumptions'!$D$49-'Assumptions'!$B$49)*('Assumptions'!$D$49-'Assumptions'!$C$49)))</x:f>
        <x:v>0.0052459892383587</x:v>
      </x:c>
      <x:c r="J543" s="132" t="n">
        <x:f>IF(E543&lt;(('Assumptions'!$C$50-'Assumptions'!$B$50)/('Assumptions'!$D$50-'Assumptions'!$B$50)),'Assumptions'!$B$50+SQRT(E543*('Assumptions'!$D$50-'Assumptions'!$B$50)*('Assumptions'!$C$50-'Assumptions'!$B$50)),'Assumptions'!$D$50-SQRT((1-E543)*('Assumptions'!$D$50-'Assumptions'!$B$50)*('Assumptions'!$D$50-'Assumptions'!$C$50)))</x:f>
        <x:v>0.06636254282317502</x:v>
      </x:c>
      <x:c r="K543" s="132" t="n">
        <x:f>IF(F543&lt;(('Assumptions'!$C$51-'Assumptions'!$B$51)/('Assumptions'!$D$51-'Assumptions'!$B$51)),'Assumptions'!$B$51+SQRT(F543*('Assumptions'!$D$51-'Assumptions'!$B$51)*('Assumptions'!$C$51-'Assumptions'!$B$51)),'Assumptions'!$D$51-SQRT((1-F543)*('Assumptions'!$D$51-'Assumptions'!$B$51)*('Assumptions'!$D$51-'Assumptions'!$C$51)))</x:f>
        <x:v>0.07423075217041568</x:v>
      </x:c>
      <x:c r="L543" s="133" t="n">
        <x:f>(('Assumptions'!$B$17*(1+G543)+'Assumptions'!$B$18)*(1-H543-'Assumptions'!$B$20)-SUM('Assumptions'!$B$21:$B$25)*(1+I543))-(('Assumptions'!$B$17*(1+G543)+'Assumptions'!$B$18)*(1-H543-'Assumptions'!$B$20)*'Assumptions'!$B$26)</x:f>
        <x:v>222251.61900223288</x:v>
      </x:c>
      <x:c r="M543" s="133" t="n">
        <x:f>'Assumptions'!$B$10*'Assumptions'!$B$33</x:f>
        <x:v>1950000</x:v>
      </x:c>
      <x:c r="N543" s="133" t="n">
        <x:f>-PMT(K543/12,'Assumptions'!$B$35*12,M543)*12</x:f>
        <x:v>162385.38629561826</x:v>
      </x:c>
      <x:c r="O543" s="133" t="n">
        <x:f>(L543*(1+'Assumptions'!$B$29)^('Assumptions'!$B$14/12)/J543)*(1-'Assumptions'!$B$42)-'Debt Schedule'!$F$9</x:f>
        <x:v>3649521.2085677143</x:v>
      </x:c>
      <x:c r="P543" s="132" t="n">
        <x:f>((O543+(L543-N543-'Assumptions'!$B$27-'Assumptions'!$B$28)*('Assumptions'!$B$14/12))/ABS('Monthly Cash Flow'!$S$5))^(1/('Assumptions'!$B$14/12))-1</x:f>
        <x:v>0.2369702558951552</x:v>
      </x:c>
      <x:c r="Q543" s="133" t="n">
        <x:f>-ABS('Monthly Cash Flow'!$S$5)+((L543-N543-'Assumptions'!$B$27-'Assumptions'!$B$28)*(1-(1+'Assumptions'!$B$43)^-('Assumptions'!$B$14/12))/'Assumptions'!$B$43)+(O543/(1+'Assumptions'!$B$43)^('Assumptions'!$B$14/12))</x:f>
        <x:v>1046874.1894585355</x:v>
      </x:c>
    </x:row>
    <x:row r="544">
      <x:c r="A544" s="131" t="n">
        <x:f>537</x:f>
        <x:v>537</x:v>
      </x:c>
      <x:c r="B544" s="131" t="n">
        <x:f>MOD(ABS(SIN((A544+1)*12.9898+78.233)*43758.5453),1)</x:f>
        <x:v>0.8700713476719102</x:v>
      </x:c>
      <x:c r="C544" s="131" t="n">
        <x:f>MOD(ABS(SIN((A544+2)*12.9898+78.233)*43758.5453),1)</x:f>
        <x:v>0.11502590346208308</x:v>
      </x:c>
      <x:c r="D544" s="131" t="n">
        <x:f>MOD(ABS(SIN((A544+3)*12.9898+78.233)*43758.5453),1)</x:f>
        <x:v>0.3490874013004941</x:v>
      </x:c>
      <x:c r="E544" s="131" t="n">
        <x:f>MOD(ABS(SIN((A544+4)*12.9898+78.233)*43758.5453),1)</x:f>
        <x:v>0.7590094570077781</x:v>
      </x:c>
      <x:c r="F544" s="131" t="n">
        <x:f>MOD(ABS(SIN((A544+5)*12.9898+78.233)*43758.5453),1)</x:f>
        <x:v>0.7640299187050914</x:v>
      </x:c>
      <x:c r="G544" s="132" t="n">
        <x:f>IF(B544&lt;(('Assumptions'!$C$47-'Assumptions'!$B$47)/('Assumptions'!$D$47-'Assumptions'!$B$47)),'Assumptions'!$B$47+SQRT(B544*('Assumptions'!$D$47-'Assumptions'!$B$47)*('Assumptions'!$C$47-'Assumptions'!$B$47)),'Assumptions'!$D$47-SQRT((1-B544)*('Assumptions'!$D$47-'Assumptions'!$B$47)*('Assumptions'!$D$47-'Assumptions'!$C$47)))</x:f>
        <x:v>0.054405499923242534</x:v>
      </x:c>
      <x:c r="H544" s="132" t="n">
        <x:f>IF(C544&lt;(('Assumptions'!$C$48-'Assumptions'!$B$48)/('Assumptions'!$D$48-'Assumptions'!$B$48)),'Assumptions'!$B$48+SQRT(C544*('Assumptions'!$D$48-'Assumptions'!$B$48)*('Assumptions'!$C$48-'Assumptions'!$B$48)),'Assumptions'!$D$48-SQRT((1-C544)*('Assumptions'!$D$48-'Assumptions'!$B$48)*('Assumptions'!$D$48-'Assumptions'!$C$48)))</x:f>
        <x:v>0.04948295361142335</x:v>
      </x:c>
      <x:c r="I544" s="132" t="n">
        <x:f>IF(D544&lt;(('Assumptions'!$C$49-'Assumptions'!$B$49)/('Assumptions'!$D$49-'Assumptions'!$B$49)),'Assumptions'!$B$49+SQRT(D544*('Assumptions'!$D$49-'Assumptions'!$B$49)*('Assumptions'!$C$49-'Assumptions'!$B$49)),'Assumptions'!$D$49-SQRT((1-D544)*('Assumptions'!$D$49-'Assumptions'!$B$49)*('Assumptions'!$D$49-'Assumptions'!$C$49)))</x:f>
        <x:v>0.03142634301030718</x:v>
      </x:c>
      <x:c r="J544" s="132" t="n">
        <x:f>IF(E544&lt;(('Assumptions'!$C$50-'Assumptions'!$B$50)/('Assumptions'!$D$50-'Assumptions'!$B$50)),'Assumptions'!$B$50+SQRT(E544*('Assumptions'!$D$50-'Assumptions'!$B$50)*('Assumptions'!$C$50-'Assumptions'!$B$50)),'Assumptions'!$D$50-SQRT((1-E544)*('Assumptions'!$D$50-'Assumptions'!$B$50)*('Assumptions'!$D$50-'Assumptions'!$C$50)))</x:f>
        <x:v>0.0717672246346349</x:v>
      </x:c>
      <x:c r="K544" s="132" t="n">
        <x:f>IF(F544&lt;(('Assumptions'!$C$51-'Assumptions'!$B$51)/('Assumptions'!$D$51-'Assumptions'!$B$51)),'Assumptions'!$B$51+SQRT(F544*('Assumptions'!$D$51-'Assumptions'!$B$51)*('Assumptions'!$C$51-'Assumptions'!$B$51)),'Assumptions'!$D$51-SQRT((1-F544)*('Assumptions'!$D$51-'Assumptions'!$B$51)*('Assumptions'!$D$51-'Assumptions'!$C$51)))</x:f>
        <x:v>0.07434351832811717</x:v>
      </x:c>
      <x:c r="L544" s="133" t="n">
        <x:f>(('Assumptions'!$B$17*(1+G544)+'Assumptions'!$B$18)*(1-H544-'Assumptions'!$B$20)-SUM('Assumptions'!$B$21:$B$25)*(1+I544))-(('Assumptions'!$B$17*(1+G544)+'Assumptions'!$B$18)*(1-H544-'Assumptions'!$B$20)*'Assumptions'!$B$26)</x:f>
        <x:v>229019.21668705525</x:v>
      </x:c>
      <x:c r="M544" s="133" t="n">
        <x:f>'Assumptions'!$B$10*'Assumptions'!$B$33</x:f>
        <x:v>1950000</x:v>
      </x:c>
      <x:c r="N544" s="133" t="n">
        <x:f>-PMT(K544/12,'Assumptions'!$B$35*12,M544)*12</x:f>
        <x:v>162565.59158609054</x:v>
      </x:c>
      <x:c r="O544" s="133" t="n">
        <x:f>(L544*(1+'Assumptions'!$B$29)^('Assumptions'!$B$14/12)/J544)*(1-'Assumptions'!$B$42)-'Debt Schedule'!$F$9</x:f>
        <x:v>3477440.8410945907</x:v>
      </x:c>
      <x:c r="P544" s="132" t="n">
        <x:f>((O544+(L544-N544-'Assumptions'!$B$27-'Assumptions'!$B$28)*('Assumptions'!$B$14/12))/ABS('Monthly Cash Flow'!$S$5))^(1/('Assumptions'!$B$14/12))-1</x:f>
        <x:v>0.22764846940320616</x:v>
      </x:c>
      <x:c r="Q544" s="133" t="n">
        <x:f>-ABS('Monthly Cash Flow'!$S$5)+((L544-N544-'Assumptions'!$B$27-'Assumptions'!$B$28)*(1-(1+'Assumptions'!$B$43)^-('Assumptions'!$B$14/12))/'Assumptions'!$B$43)+(O544/(1+'Assumptions'!$B$43)^('Assumptions'!$B$14/12))</x:f>
        <x:v>964997.2199480222</x:v>
      </x:c>
    </x:row>
    <x:row r="545">
      <x:c r="A545" s="131" t="n">
        <x:f>538</x:f>
        <x:v>538</x:v>
      </x:c>
      <x:c r="B545" s="131" t="n">
        <x:f>MOD(ABS(SIN((A545+1)*12.9898+78.233)*43758.5453),1)</x:f>
        <x:v>0.11502590346208308</x:v>
      </x:c>
      <x:c r="C545" s="131" t="n">
        <x:f>MOD(ABS(SIN((A545+2)*12.9898+78.233)*43758.5453),1)</x:f>
        <x:v>0.3490874013004941</x:v>
      </x:c>
      <x:c r="D545" s="131" t="n">
        <x:f>MOD(ABS(SIN((A545+3)*12.9898+78.233)*43758.5453),1)</x:f>
        <x:v>0.7590094570077781</x:v>
      </x:c>
      <x:c r="E545" s="131" t="n">
        <x:f>MOD(ABS(SIN((A545+4)*12.9898+78.233)*43758.5453),1)</x:f>
        <x:v>0.7640299187050914</x:v>
      </x:c>
      <x:c r="F545" s="131" t="n">
        <x:f>MOD(ABS(SIN((A545+5)*12.9898+78.233)*43758.5453),1)</x:f>
        <x:v>0.07252750235602434</x:v>
      </x:c>
      <x:c r="G545" s="132" t="n">
        <x:f>IF(B545&lt;(('Assumptions'!$C$47-'Assumptions'!$B$47)/('Assumptions'!$D$47-'Assumptions'!$B$47)),'Assumptions'!$B$47+SQRT(B545*('Assumptions'!$D$47-'Assumptions'!$B$47)*('Assumptions'!$C$47-'Assumptions'!$B$47)),'Assumptions'!$D$47-SQRT((1-B545)*('Assumptions'!$D$47-'Assumptions'!$B$47)*('Assumptions'!$D$47-'Assumptions'!$C$47)))</x:f>
        <x:v>-0.04745838141920261</x:v>
      </x:c>
      <x:c r="H545" s="132" t="n">
        <x:f>IF(C545&lt;(('Assumptions'!$C$48-'Assumptions'!$B$48)/('Assumptions'!$D$48-'Assumptions'!$B$48)),'Assumptions'!$B$48+SQRT(C545*('Assumptions'!$D$48-'Assumptions'!$B$48)*('Assumptions'!$C$48-'Assumptions'!$B$48)),'Assumptions'!$D$48-SQRT((1-C545)*('Assumptions'!$D$48-'Assumptions'!$B$48)*('Assumptions'!$D$48-'Assumptions'!$C$48)))</x:f>
        <x:v>0.0643162443548442</x:v>
      </x:c>
      <x:c r="I545" s="132" t="n">
        <x:f>IF(D545&lt;(('Assumptions'!$C$49-'Assumptions'!$B$49)/('Assumptions'!$D$49-'Assumptions'!$B$49)),'Assumptions'!$B$49+SQRT(D545*('Assumptions'!$D$49-'Assumptions'!$B$49)*('Assumptions'!$C$49-'Assumptions'!$B$49)),'Assumptions'!$D$49-SQRT((1-D545)*('Assumptions'!$D$49-'Assumptions'!$B$49)*('Assumptions'!$D$49-'Assumptions'!$C$49)))</x:f>
        <x:v>0.07785157154426721</x:v>
      </x:c>
      <x:c r="J545" s="132" t="n">
        <x:f>IF(E545&lt;(('Assumptions'!$C$50-'Assumptions'!$B$50)/('Assumptions'!$D$50-'Assumptions'!$B$50)),'Assumptions'!$B$50+SQRT(E545*('Assumptions'!$D$50-'Assumptions'!$B$50)*('Assumptions'!$C$50-'Assumptions'!$B$50)),'Assumptions'!$D$50-SQRT((1-E545)*('Assumptions'!$D$50-'Assumptions'!$B$50)*('Assumptions'!$D$50-'Assumptions'!$C$50)))</x:f>
        <x:v>0.07185343106797758</x:v>
      </x:c>
      <x:c r="K545" s="132" t="n">
        <x:f>IF(F545&lt;(('Assumptions'!$C$51-'Assumptions'!$B$51)/('Assumptions'!$D$51-'Assumptions'!$B$51)),'Assumptions'!$B$51+SQRT(F545*('Assumptions'!$D$51-'Assumptions'!$B$51)*('Assumptions'!$C$51-'Assumptions'!$B$51)),'Assumptions'!$D$51-SQRT((1-F545)*('Assumptions'!$D$51-'Assumptions'!$B$51)*('Assumptions'!$D$51-'Assumptions'!$C$51)))</x:f>
        <x:v>0.0619659896045453</x:v>
      </x:c>
      <x:c r="L545" s="133" t="n">
        <x:f>(('Assumptions'!$B$17*(1+G545)+'Assumptions'!$B$18)*(1-H545-'Assumptions'!$B$20)-SUM('Assumptions'!$B$21:$B$25)*(1+I545))-(('Assumptions'!$B$17*(1+G545)+'Assumptions'!$B$18)*(1-H545-'Assumptions'!$B$20)*'Assumptions'!$B$26)</x:f>
        <x:v>184920.1131638932</x:v>
      </x:c>
      <x:c r="M545" s="133" t="n">
        <x:f>'Assumptions'!$B$10*'Assumptions'!$B$33</x:f>
        <x:v>1950000</x:v>
      </x:c>
      <x:c r="N545" s="133" t="n">
        <x:f>-PMT(K545/12,'Assumptions'!$B$35*12,M545)*12</x:f>
        <x:v>143266.1020288717</x:v>
      </x:c>
      <x:c r="O545" s="133" t="n">
        <x:f>(L545*(1+'Assumptions'!$B$29)^('Assumptions'!$B$14/12)/J545)*(1-'Assumptions'!$B$42)-'Debt Schedule'!$F$9</x:f>
        <x:v>2804468.825384707</x:v>
      </x:c>
      <x:c r="P545" s="132" t="n">
        <x:f>((O545+(L545-N545-'Assumptions'!$B$27-'Assumptions'!$B$28)*('Assumptions'!$B$14/12))/ABS('Monthly Cash Flow'!$S$5))^(1/('Assumptions'!$B$14/12))-1</x:f>
        <x:v>0.16789949959940498</x:v>
      </x:c>
      <x:c r="Q545" s="133" t="n">
        <x:f>-ABS('Monthly Cash Flow'!$S$5)+((L545-N545-'Assumptions'!$B$27-'Assumptions'!$B$28)*(1-(1+'Assumptions'!$B$43)^-('Assumptions'!$B$14/12))/'Assumptions'!$B$43)+(O545/(1+'Assumptions'!$B$43)^('Assumptions'!$B$14/12))</x:f>
        <x:v>453124.49706312036</x:v>
      </x:c>
    </x:row>
    <x:row r="546">
      <x:c r="A546" s="131" t="n">
        <x:f>539</x:f>
        <x:v>539</x:v>
      </x:c>
      <x:c r="B546" s="131" t="n">
        <x:f>MOD(ABS(SIN((A546+1)*12.9898+78.233)*43758.5453),1)</x:f>
        <x:v>0.3490874013004941</x:v>
      </x:c>
      <x:c r="C546" s="131" t="n">
        <x:f>MOD(ABS(SIN((A546+2)*12.9898+78.233)*43758.5453),1)</x:f>
        <x:v>0.7590094570077781</x:v>
      </x:c>
      <x:c r="D546" s="131" t="n">
        <x:f>MOD(ABS(SIN((A546+3)*12.9898+78.233)*43758.5453),1)</x:f>
        <x:v>0.7640299187050914</x:v>
      </x:c>
      <x:c r="E546" s="131" t="n">
        <x:f>MOD(ABS(SIN((A546+4)*12.9898+78.233)*43758.5453),1)</x:f>
        <x:v>0.07252750235602434</x:v>
      </x:c>
      <x:c r="F546" s="131" t="n">
        <x:f>MOD(ABS(SIN((A546+5)*12.9898+78.233)*43758.5453),1)</x:f>
        <x:v>0.8032192540122196</x:v>
      </x:c>
      <x:c r="G546" s="132" t="n">
        <x:f>IF(B546&lt;(('Assumptions'!$C$47-'Assumptions'!$B$47)/('Assumptions'!$D$47-'Assumptions'!$B$47)),'Assumptions'!$B$47+SQRT(B546*('Assumptions'!$D$47-'Assumptions'!$B$47)*('Assumptions'!$C$47-'Assumptions'!$B$47)),'Assumptions'!$D$47-SQRT((1-B546)*('Assumptions'!$D$47-'Assumptions'!$B$47)*('Assumptions'!$D$47-'Assumptions'!$C$47)))</x:f>
        <x:v>-0.00846805130878149</x:v>
      </x:c>
      <x:c r="H546" s="132" t="n">
        <x:f>IF(C546&lt;(('Assumptions'!$C$48-'Assumptions'!$B$48)/('Assumptions'!$D$48-'Assumptions'!$B$48)),'Assumptions'!$B$48+SQRT(C546*('Assumptions'!$D$48-'Assumptions'!$B$48)*('Assumptions'!$C$48-'Assumptions'!$B$48)),'Assumptions'!$D$48-SQRT((1-C546)*('Assumptions'!$D$48-'Assumptions'!$B$48)*('Assumptions'!$D$48-'Assumptions'!$C$48)))</x:f>
        <x:v>0.0939487592096418</x:v>
      </x:c>
      <x:c r="I546" s="132" t="n">
        <x:f>IF(D546&lt;(('Assumptions'!$C$49-'Assumptions'!$B$49)/('Assumptions'!$D$49-'Assumptions'!$B$49)),'Assumptions'!$B$49+SQRT(D546*('Assumptions'!$D$49-'Assumptions'!$B$49)*('Assumptions'!$C$49-'Assumptions'!$B$49)),'Assumptions'!$D$49-SQRT((1-D546)*('Assumptions'!$D$49-'Assumptions'!$B$49)*('Assumptions'!$D$49-'Assumptions'!$C$49)))</x:f>
        <x:v>0.07860704687456874</x:v>
      </x:c>
      <x:c r="J546" s="132" t="n">
        <x:f>IF(E546&lt;(('Assumptions'!$C$50-'Assumptions'!$B$50)/('Assumptions'!$D$50-'Assumptions'!$B$50)),'Assumptions'!$B$50+SQRT(E546*('Assumptions'!$D$50-'Assumptions'!$B$50)*('Assumptions'!$C$50-'Assumptions'!$B$50)),'Assumptions'!$D$50-SQRT((1-E546)*('Assumptions'!$D$50-'Assumptions'!$B$50)*('Assumptions'!$D$50-'Assumptions'!$C$50)))</x:f>
        <x:v>0.06153963959161031</x:v>
      </x:c>
      <x:c r="K546" s="132" t="n">
        <x:f>IF(F546&lt;(('Assumptions'!$C$51-'Assumptions'!$B$51)/('Assumptions'!$D$51-'Assumptions'!$B$51)),'Assumptions'!$B$51+SQRT(F546*('Assumptions'!$D$51-'Assumptions'!$B$51)*('Assumptions'!$C$51-'Assumptions'!$B$51)),'Assumptions'!$D$51-SQRT((1-F546)*('Assumptions'!$D$51-'Assumptions'!$B$51)*('Assumptions'!$D$51-'Assumptions'!$C$51)))</x:f>
        <x:v>0.07526856978617125</x:v>
      </x:c>
      <x:c r="L546" s="133" t="n">
        <x:f>(('Assumptions'!$B$17*(1+G546)+'Assumptions'!$B$18)*(1-H546-'Assumptions'!$B$20)-SUM('Assumptions'!$B$21:$B$25)*(1+I546))-(('Assumptions'!$B$17*(1+G546)+'Assumptions'!$B$18)*(1-H546-'Assumptions'!$B$20)*'Assumptions'!$B$26)</x:f>
        <x:v>186632.23994768315</x:v>
      </x:c>
      <x:c r="M546" s="133" t="n">
        <x:f>'Assumptions'!$B$10*'Assumptions'!$B$33</x:f>
        <x:v>1950000</x:v>
      </x:c>
      <x:c r="N546" s="133" t="n">
        <x:f>-PMT(K546/12,'Assumptions'!$B$35*12,M546)*12</x:f>
        <x:v>164046.74489760576</x:v>
      </x:c>
      <x:c r="O546" s="133" t="n">
        <x:f>(L546*(1+'Assumptions'!$B$29)^('Assumptions'!$B$14/12)/J546)*(1-'Assumptions'!$B$42)-'Debt Schedule'!$F$9</x:f>
        <x:v>3304803.920164963</x:v>
      </x:c>
      <x:c r="P546" s="132" t="n">
        <x:f>((O546+(L546-N546-'Assumptions'!$B$27-'Assumptions'!$B$28)*('Assumptions'!$B$14/12))/ABS('Monthly Cash Flow'!$S$5))^(1/('Assumptions'!$B$14/12))-1</x:f>
        <x:v>0.1997466519052138</x:v>
      </x:c>
      <x:c r="Q546" s="133" t="n">
        <x:f>-ABS('Monthly Cash Flow'!$S$5)+((L546-N546-'Assumptions'!$B$27-'Assumptions'!$B$28)*(1-(1+'Assumptions'!$B$43)^-('Assumptions'!$B$14/12))/'Assumptions'!$B$43)+(O546/(1+'Assumptions'!$B$43)^('Assumptions'!$B$14/12))</x:f>
        <x:v>691508.5475999464</x:v>
      </x:c>
    </x:row>
    <x:row r="547">
      <x:c r="A547" s="131" t="n">
        <x:f>540</x:f>
        <x:v>540</x:v>
      </x:c>
      <x:c r="B547" s="131" t="n">
        <x:f>MOD(ABS(SIN((A547+1)*12.9898+78.233)*43758.5453),1)</x:f>
        <x:v>0.7590094570077781</x:v>
      </x:c>
      <x:c r="C547" s="131" t="n">
        <x:f>MOD(ABS(SIN((A547+2)*12.9898+78.233)*43758.5453),1)</x:f>
        <x:v>0.7640299187050914</x:v>
      </x:c>
      <x:c r="D547" s="131" t="n">
        <x:f>MOD(ABS(SIN((A547+3)*12.9898+78.233)*43758.5453),1)</x:f>
        <x:v>0.07252750235602434</x:v>
      </x:c>
      <x:c r="E547" s="131" t="n">
        <x:f>MOD(ABS(SIN((A547+4)*12.9898+78.233)*43758.5453),1)</x:f>
        <x:v>0.8032192540122196</x:v>
      </x:c>
      <x:c r="F547" s="131" t="n">
        <x:f>MOD(ABS(SIN((A547+5)*12.9898+78.233)*43758.5453),1)</x:f>
        <x:v>0.5436937854610733</x:v>
      </x:c>
      <x:c r="G547" s="132" t="n">
        <x:f>IF(B547&lt;(('Assumptions'!$C$47-'Assumptions'!$B$47)/('Assumptions'!$D$47-'Assumptions'!$B$47)),'Assumptions'!$B$47+SQRT(B547*('Assumptions'!$D$47-'Assumptions'!$B$47)*('Assumptions'!$C$47-'Assumptions'!$B$47)),'Assumptions'!$D$47-SQRT((1-B547)*('Assumptions'!$D$47-'Assumptions'!$B$47)*('Assumptions'!$D$47-'Assumptions'!$C$47)))</x:f>
        <x:v>0.03790451958575769</x:v>
      </x:c>
      <x:c r="H547" s="132" t="n">
        <x:f>IF(C547&lt;(('Assumptions'!$C$48-'Assumptions'!$B$48)/('Assumptions'!$D$48-'Assumptions'!$B$48)),'Assumptions'!$B$48+SQRT(C547*('Assumptions'!$D$48-'Assumptions'!$B$48)*('Assumptions'!$C$48-'Assumptions'!$B$48)),'Assumptions'!$D$48-SQRT((1-C547)*('Assumptions'!$D$48-'Assumptions'!$B$48)*('Assumptions'!$D$48-'Assumptions'!$C$48)))</x:f>
        <x:v>0.0944309675832897</x:v>
      </x:c>
      <x:c r="I547" s="132" t="n">
        <x:f>IF(D547&lt;(('Assumptions'!$C$49-'Assumptions'!$B$49)/('Assumptions'!$D$49-'Assumptions'!$B$49)),'Assumptions'!$B$49+SQRT(D547*('Assumptions'!$D$49-'Assumptions'!$B$49)*('Assumptions'!$C$49-'Assumptions'!$B$49)),'Assumptions'!$D$49-SQRT((1-D547)*('Assumptions'!$D$49-'Assumptions'!$B$49)*('Assumptions'!$D$49-'Assumptions'!$C$49)))</x:f>
        <x:v>-0.002012555932256639</x:v>
      </x:c>
      <x:c r="J547" s="132" t="n">
        <x:f>IF(E547&lt;(('Assumptions'!$C$50-'Assumptions'!$B$50)/('Assumptions'!$D$50-'Assumptions'!$B$50)),'Assumptions'!$B$50+SQRT(E547*('Assumptions'!$D$50-'Assumptions'!$B$50)*('Assumptions'!$C$50-'Assumptions'!$B$50)),'Assumptions'!$D$50-SQRT((1-E547)*('Assumptions'!$D$50-'Assumptions'!$B$50)*('Assumptions'!$D$50-'Assumptions'!$C$50)))</x:f>
        <x:v>0.07256060588427637</x:v>
      </x:c>
      <x:c r="K547" s="132" t="n">
        <x:f>IF(F547&lt;(('Assumptions'!$C$51-'Assumptions'!$B$51)/('Assumptions'!$D$51-'Assumptions'!$B$51)),'Assumptions'!$B$51+SQRT(F547*('Assumptions'!$D$51-'Assumptions'!$B$51)*('Assumptions'!$C$51-'Assumptions'!$B$51)),'Assumptions'!$D$51-SQRT((1-F547)*('Assumptions'!$D$51-'Assumptions'!$B$51)*('Assumptions'!$D$51-'Assumptions'!$C$51)))</x:f>
        <x:v>0.0701811820394858</x:v>
      </x:c>
      <x:c r="L547" s="133" t="n">
        <x:f>(('Assumptions'!$B$17*(1+G547)+'Assumptions'!$B$18)*(1-H547-'Assumptions'!$B$20)-SUM('Assumptions'!$B$21:$B$25)*(1+I547))-(('Assumptions'!$B$17*(1+G547)+'Assumptions'!$B$18)*(1-H547-'Assumptions'!$B$20)*'Assumptions'!$B$26)</x:f>
        <x:v>210969.4495049228</x:v>
      </x:c>
      <x:c r="M547" s="133" t="n">
        <x:f>'Assumptions'!$B$10*'Assumptions'!$B$33</x:f>
        <x:v>1950000</x:v>
      </x:c>
      <x:c r="N547" s="133" t="n">
        <x:f>-PMT(K547/12,'Assumptions'!$B$35*12,M547)*12</x:f>
        <x:v>155965.6220058933</x:v>
      </x:c>
      <x:c r="O547" s="133" t="n">
        <x:f>(L547*(1+'Assumptions'!$B$29)^('Assumptions'!$B$14/12)/J547)*(1-'Assumptions'!$B$42)-'Debt Schedule'!$F$9</x:f>
        <x:v>3168346.3179762927</x:v>
      </x:c>
      <x:c r="P547" s="132" t="n">
        <x:f>((O547+(L547-N547-'Assumptions'!$B$27-'Assumptions'!$B$28)*('Assumptions'!$B$14/12))/ABS('Monthly Cash Flow'!$S$5))^(1/('Assumptions'!$B$14/12))-1</x:f>
        <x:v>0.20165214604946757</x:v>
      </x:c>
      <x:c r="Q547" s="133" t="n">
        <x:f>-ABS('Monthly Cash Flow'!$S$5)+((L547-N547-'Assumptions'!$B$27-'Assumptions'!$B$28)*(1-(1+'Assumptions'!$B$43)^-('Assumptions'!$B$14/12))/'Assumptions'!$B$43)+(O547/(1+'Assumptions'!$B$43)^('Assumptions'!$B$14/12))</x:f>
        <x:v>729670.0984412495</x:v>
      </x:c>
    </x:row>
    <x:row r="548">
      <x:c r="A548" s="131" t="n">
        <x:f>541</x:f>
        <x:v>541</x:v>
      </x:c>
      <x:c r="B548" s="131" t="n">
        <x:f>MOD(ABS(SIN((A548+1)*12.9898+78.233)*43758.5453),1)</x:f>
        <x:v>0.7640299187050914</x:v>
      </x:c>
      <x:c r="C548" s="131" t="n">
        <x:f>MOD(ABS(SIN((A548+2)*12.9898+78.233)*43758.5453),1)</x:f>
        <x:v>0.07252750235602434</x:v>
      </x:c>
      <x:c r="D548" s="131" t="n">
        <x:f>MOD(ABS(SIN((A548+3)*12.9898+78.233)*43758.5453),1)</x:f>
        <x:v>0.8032192540122196</x:v>
      </x:c>
      <x:c r="E548" s="131" t="n">
        <x:f>MOD(ABS(SIN((A548+4)*12.9898+78.233)*43758.5453),1)</x:f>
        <x:v>0.5436937854610733</x:v>
      </x:c>
      <x:c r="F548" s="131" t="n">
        <x:f>MOD(ABS(SIN((A548+5)*12.9898+78.233)*43758.5453),1)</x:f>
        <x:v>0.4960347304077004</x:v>
      </x:c>
      <x:c r="G548" s="132" t="n">
        <x:f>IF(B548&lt;(('Assumptions'!$C$47-'Assumptions'!$B$47)/('Assumptions'!$D$47-'Assumptions'!$B$47)),'Assumptions'!$B$47+SQRT(B548*('Assumptions'!$D$47-'Assumptions'!$B$47)*('Assumptions'!$C$47-'Assumptions'!$B$47)),'Assumptions'!$D$47-SQRT((1-B548)*('Assumptions'!$D$47-'Assumptions'!$B$47)*('Assumptions'!$D$47-'Assumptions'!$C$47)))</x:f>
        <x:v>0.03855472922414177</x:v>
      </x:c>
      <x:c r="H548" s="132" t="n">
        <x:f>IF(C548&lt;(('Assumptions'!$C$48-'Assumptions'!$B$48)/('Assumptions'!$D$48-'Assumptions'!$B$48)),'Assumptions'!$B$48+SQRT(C548*('Assumptions'!$D$48-'Assumptions'!$B$48)*('Assumptions'!$C$48-'Assumptions'!$B$48)),'Assumptions'!$D$48-SQRT((1-C548)*('Assumptions'!$D$48-'Assumptions'!$B$48)*('Assumptions'!$D$48-'Assumptions'!$C$48)))</x:f>
        <x:v>0.0454706418022938</x:v>
      </x:c>
      <x:c r="I548" s="132" t="n">
        <x:f>IF(D548&lt;(('Assumptions'!$C$49-'Assumptions'!$B$49)/('Assumptions'!$D$49-'Assumptions'!$B$49)),'Assumptions'!$B$49+SQRT(D548*('Assumptions'!$D$49-'Assumptions'!$B$49)*('Assumptions'!$C$49-'Assumptions'!$B$49)),'Assumptions'!$D$49-SQRT((1-D548)*('Assumptions'!$D$49-'Assumptions'!$B$49)*('Assumptions'!$D$49-'Assumptions'!$C$49)))</x:f>
        <x:v>0.0848044164583516</x:v>
      </x:c>
      <x:c r="J548" s="132" t="n">
        <x:f>IF(E548&lt;(('Assumptions'!$C$50-'Assumptions'!$B$50)/('Assumptions'!$D$50-'Assumptions'!$B$50)),'Assumptions'!$B$50+SQRT(E548*('Assumptions'!$D$50-'Assumptions'!$B$50)*('Assumptions'!$C$50-'Assumptions'!$B$50)),'Assumptions'!$D$50-SQRT((1-E548)*('Assumptions'!$D$50-'Assumptions'!$B$50)*('Assumptions'!$D$50-'Assumptions'!$C$50)))</x:f>
        <x:v>0.06867144656899773</x:v>
      </x:c>
      <x:c r="K548" s="132" t="n">
        <x:f>IF(F548&lt;(('Assumptions'!$C$51-'Assumptions'!$B$51)/('Assumptions'!$D$51-'Assumptions'!$B$51)),'Assumptions'!$B$51+SQRT(F548*('Assumptions'!$D$51-'Assumptions'!$B$51)*('Assumptions'!$C$51-'Assumptions'!$B$51)),'Assumptions'!$D$51-SQRT((1-F548)*('Assumptions'!$D$51-'Assumptions'!$B$51)*('Assumptions'!$D$51-'Assumptions'!$C$51)))</x:f>
        <x:v>0.06942651978550414</x:v>
      </x:c>
      <x:c r="L548" s="133" t="n">
        <x:f>(('Assumptions'!$B$17*(1+G548)+'Assumptions'!$B$18)*(1-H548-'Assumptions'!$B$20)-SUM('Assumptions'!$B$21:$B$25)*(1+I548))-(('Assumptions'!$B$17*(1+G548)+'Assumptions'!$B$18)*(1-H548-'Assumptions'!$B$20)*'Assumptions'!$B$26)</x:f>
        <x:v>218650.85208232098</x:v>
      </x:c>
      <x:c r="M548" s="133" t="n">
        <x:f>'Assumptions'!$B$10*'Assumptions'!$B$33</x:f>
        <x:v>1950000</x:v>
      </x:c>
      <x:c r="N548" s="133" t="n">
        <x:f>-PMT(K548/12,'Assumptions'!$B$35*12,M548)*12</x:f>
        <x:v>154780.58418830164</x:v>
      </x:c>
      <x:c r="O548" s="133" t="n">
        <x:f>(L548*(1+'Assumptions'!$B$29)^('Assumptions'!$B$14/12)/J548)*(1-'Assumptions'!$B$42)-'Debt Schedule'!$F$9</x:f>
        <x:v>3469676.265734125</x:v>
      </x:c>
      <x:c r="P548" s="132" t="n">
        <x:f>((O548+(L548-N548-'Assumptions'!$B$27-'Assumptions'!$B$28)*('Assumptions'!$B$14/12))/ABS('Monthly Cash Flow'!$S$5))^(1/('Assumptions'!$B$14/12))-1</x:f>
        <x:v>0.22623850372805854</x:v>
      </x:c>
      <x:c r="Q548" s="133" t="n">
        <x:f>-ABS('Monthly Cash Flow'!$S$5)+((L548-N548-'Assumptions'!$B$27-'Assumptions'!$B$28)*(1-(1+'Assumptions'!$B$43)^-('Assumptions'!$B$14/12))/'Assumptions'!$B$43)+(O548/(1+'Assumptions'!$B$43)^('Assumptions'!$B$14/12))</x:f>
        <x:v>950383.0732214646</x:v>
      </x:c>
    </x:row>
    <x:row r="549">
      <x:c r="A549" s="131" t="n">
        <x:f>542</x:f>
        <x:v>542</x:v>
      </x:c>
      <x:c r="B549" s="131" t="n">
        <x:f>MOD(ABS(SIN((A549+1)*12.9898+78.233)*43758.5453),1)</x:f>
        <x:v>0.07252750235602434</x:v>
      </x:c>
      <x:c r="C549" s="131" t="n">
        <x:f>MOD(ABS(SIN((A549+2)*12.9898+78.233)*43758.5453),1)</x:f>
        <x:v>0.8032192540122196</x:v>
      </x:c>
      <x:c r="D549" s="131" t="n">
        <x:f>MOD(ABS(SIN((A549+3)*12.9898+78.233)*43758.5453),1)</x:f>
        <x:v>0.5436937854610733</x:v>
      </x:c>
      <x:c r="E549" s="131" t="n">
        <x:f>MOD(ABS(SIN((A549+4)*12.9898+78.233)*43758.5453),1)</x:f>
        <x:v>0.4960347304077004</x:v>
      </x:c>
      <x:c r="F549" s="131" t="n">
        <x:f>MOD(ABS(SIN((A549+5)*12.9898+78.233)*43758.5453),1)</x:f>
        <x:v>0.16954018160322448</x:v>
      </x:c>
      <x:c r="G549" s="132" t="n">
        <x:f>IF(B549&lt;(('Assumptions'!$C$47-'Assumptions'!$B$47)/('Assumptions'!$D$47-'Assumptions'!$B$47)),'Assumptions'!$B$47+SQRT(B549*('Assumptions'!$D$47-'Assumptions'!$B$47)*('Assumptions'!$C$47-'Assumptions'!$B$47)),'Assumptions'!$D$47-SQRT((1-B549)*('Assumptions'!$D$47-'Assumptions'!$B$47)*('Assumptions'!$D$47-'Assumptions'!$C$47)))</x:f>
        <x:v>-0.05827878169870175</x:v>
      </x:c>
      <x:c r="H549" s="132" t="n">
        <x:f>IF(C549&lt;(('Assumptions'!$C$48-'Assumptions'!$B$48)/('Assumptions'!$D$48-'Assumptions'!$B$48)),'Assumptions'!$B$48+SQRT(C549*('Assumptions'!$D$48-'Assumptions'!$B$48)*('Assumptions'!$C$48-'Assumptions'!$B$48)),'Assumptions'!$D$48-SQRT((1-C549)*('Assumptions'!$D$48-'Assumptions'!$B$48)*('Assumptions'!$D$48-'Assumptions'!$C$48)))</x:f>
        <x:v>0.09838665400748858</x:v>
      </x:c>
      <x:c r="I549" s="132" t="n">
        <x:f>IF(D549&lt;(('Assumptions'!$C$49-'Assumptions'!$B$49)/('Assumptions'!$D$49-'Assumptions'!$B$49)),'Assumptions'!$B$49+SQRT(D549*('Assumptions'!$D$49-'Assumptions'!$B$49)*('Assumptions'!$C$49-'Assumptions'!$B$49)),'Assumptions'!$D$49-SQRT((1-D549)*('Assumptions'!$D$49-'Assumptions'!$B$49)*('Assumptions'!$D$49-'Assumptions'!$C$49)))</x:f>
        <x:v>0.05072153187100026</x:v>
      </x:c>
      <x:c r="J549" s="132" t="n">
        <x:f>IF(E549&lt;(('Assumptions'!$C$50-'Assumptions'!$B$50)/('Assumptions'!$D$50-'Assumptions'!$B$50)),'Assumptions'!$B$50+SQRT(E549*('Assumptions'!$D$50-'Assumptions'!$B$50)*('Assumptions'!$C$50-'Assumptions'!$B$50)),'Assumptions'!$D$50-SQRT((1-E549)*('Assumptions'!$D$50-'Assumptions'!$B$50)*('Assumptions'!$D$50-'Assumptions'!$C$50)))</x:f>
        <x:v>0.06809452932165913</x:v>
      </x:c>
      <x:c r="K549" s="132" t="n">
        <x:f>IF(F549&lt;(('Assumptions'!$C$51-'Assumptions'!$B$51)/('Assumptions'!$D$51-'Assumptions'!$B$51)),'Assumptions'!$B$51+SQRT(F549*('Assumptions'!$D$51-'Assumptions'!$B$51)*('Assumptions'!$C$51-'Assumptions'!$B$51)),'Assumptions'!$D$51-SQRT((1-F549)*('Assumptions'!$D$51-'Assumptions'!$B$51)*('Assumptions'!$D$51-'Assumptions'!$C$51)))</x:f>
        <x:v>0.06432814396017592</x:v>
      </x:c>
      <x:c r="L549" s="133" t="n">
        <x:f>(('Assumptions'!$B$17*(1+G549)+'Assumptions'!$B$18)*(1-H549-'Assumptions'!$B$20)-SUM('Assumptions'!$B$21:$B$25)*(1+I549))-(('Assumptions'!$B$17*(1+G549)+'Assumptions'!$B$18)*(1-H549-'Assumptions'!$B$20)*'Assumptions'!$B$26)</x:f>
        <x:v>173199.6225492785</x:v>
      </x:c>
      <x:c r="M549" s="133" t="n">
        <x:f>'Assumptions'!$B$10*'Assumptions'!$B$33</x:f>
        <x:v>1950000</x:v>
      </x:c>
      <x:c r="N549" s="133" t="n">
        <x:f>-PMT(K549/12,'Assumptions'!$B$35*12,M549)*12</x:f>
        <x:v>146871.51490228818</x:v>
      </x:c>
      <x:c r="O549" s="133" t="n">
        <x:f>(L549*(1+'Assumptions'!$B$29)^('Assumptions'!$B$14/12)/J549)*(1-'Assumptions'!$B$42)-'Debt Schedule'!$F$9</x:f>
        <x:v>2771715.790594294</x:v>
      </x:c>
      <x:c r="P549" s="132" t="n">
        <x:f>((O549+(L549-N549-'Assumptions'!$B$27-'Assumptions'!$B$28)*('Assumptions'!$B$14/12))/ABS('Monthly Cash Flow'!$S$5))^(1/('Assumptions'!$B$14/12))-1</x:f>
        <x:v>0.1586712948278739</x:v>
      </x:c>
      <x:c r="Q549" s="133" t="n">
        <x:f>-ABS('Monthly Cash Flow'!$S$5)+((L549-N549-'Assumptions'!$B$27-'Assumptions'!$B$28)*(1-(1+'Assumptions'!$B$43)^-('Assumptions'!$B$14/12))/'Assumptions'!$B$43)+(O549/(1+'Assumptions'!$B$43)^('Assumptions'!$B$14/12))</x:f>
        <x:v>374690.20719519514</x:v>
      </x:c>
    </x:row>
    <x:row r="550">
      <x:c r="A550" s="131" t="n">
        <x:f>543</x:f>
        <x:v>543</x:v>
      </x:c>
      <x:c r="B550" s="131" t="n">
        <x:f>MOD(ABS(SIN((A550+1)*12.9898+78.233)*43758.5453),1)</x:f>
        <x:v>0.8032192540122196</x:v>
      </x:c>
      <x:c r="C550" s="131" t="n">
        <x:f>MOD(ABS(SIN((A550+2)*12.9898+78.233)*43758.5453),1)</x:f>
        <x:v>0.5436937854610733</x:v>
      </x:c>
      <x:c r="D550" s="131" t="n">
        <x:f>MOD(ABS(SIN((A550+3)*12.9898+78.233)*43758.5453),1)</x:f>
        <x:v>0.4960347304077004</x:v>
      </x:c>
      <x:c r="E550" s="131" t="n">
        <x:f>MOD(ABS(SIN((A550+4)*12.9898+78.233)*43758.5453),1)</x:f>
        <x:v>0.16954018160322448</x:v>
      </x:c>
      <x:c r="F550" s="131" t="n">
        <x:f>MOD(ABS(SIN((A550+5)*12.9898+78.233)*43758.5453),1)</x:f>
        <x:v>0.9395862031051365</x:v>
      </x:c>
      <x:c r="G550" s="132" t="n">
        <x:f>IF(B550&lt;(('Assumptions'!$C$47-'Assumptions'!$B$47)/('Assumptions'!$D$47-'Assumptions'!$B$47)),'Assumptions'!$B$47+SQRT(B550*('Assumptions'!$D$47-'Assumptions'!$B$47)*('Assumptions'!$C$47-'Assumptions'!$B$47)),'Assumptions'!$D$47-SQRT((1-B550)*('Assumptions'!$D$47-'Assumptions'!$B$47)*('Assumptions'!$D$47-'Assumptions'!$C$47)))</x:f>
        <x:v>0.04388857571042697</x:v>
      </x:c>
      <x:c r="H550" s="132" t="n">
        <x:f>IF(C550&lt;(('Assumptions'!$C$48-'Assumptions'!$B$48)/('Assumptions'!$D$48-'Assumptions'!$B$48)),'Assumptions'!$B$48+SQRT(C550*('Assumptions'!$D$48-'Assumptions'!$B$48)*('Assumptions'!$C$48-'Assumptions'!$B$48)),'Assumptions'!$D$48-SQRT((1-C550)*('Assumptions'!$D$48-'Assumptions'!$B$48)*('Assumptions'!$D$48-'Assumptions'!$C$48)))</x:f>
        <x:v>0.07663206893118132</x:v>
      </x:c>
      <x:c r="I550" s="132" t="n">
        <x:f>IF(D550&lt;(('Assumptions'!$C$49-'Assumptions'!$B$49)/('Assumptions'!$D$49-'Assumptions'!$B$49)),'Assumptions'!$B$49+SQRT(D550*('Assumptions'!$D$49-'Assumptions'!$B$49)*('Assumptions'!$C$49-'Assumptions'!$B$49)),'Assumptions'!$D$49-SQRT((1-D550)*('Assumptions'!$D$49-'Assumptions'!$B$49)*('Assumptions'!$D$49-'Assumptions'!$C$49)))</x:f>
        <x:v>0.045665682428101956</x:v>
      </x:c>
      <x:c r="J550" s="132" t="n">
        <x:f>IF(E550&lt;(('Assumptions'!$C$50-'Assumptions'!$B$50)/('Assumptions'!$D$50-'Assumptions'!$B$50)),'Assumptions'!$B$50+SQRT(E550*('Assumptions'!$D$50-'Assumptions'!$B$50)*('Assumptions'!$C$50-'Assumptions'!$B$50)),'Assumptions'!$D$50-SQRT((1-E550)*('Assumptions'!$D$50-'Assumptions'!$B$50)*('Assumptions'!$D$50-'Assumptions'!$C$50)))</x:f>
        <x:v>0.06367628859920953</x:v>
      </x:c>
      <x:c r="K550" s="132" t="n">
        <x:f>IF(F550&lt;(('Assumptions'!$C$51-'Assumptions'!$B$51)/('Assumptions'!$D$51-'Assumptions'!$B$51)),'Assumptions'!$B$51+SQRT(F550*('Assumptions'!$D$51-'Assumptions'!$B$51)*('Assumptions'!$C$51-'Assumptions'!$B$51)),'Assumptions'!$D$51-SQRT((1-F550)*('Assumptions'!$D$51-'Assumptions'!$B$51)*('Assumptions'!$D$51-'Assumptions'!$C$51)))</x:f>
        <x:v>0.0796079558833729</x:v>
      </x:c>
      <x:c r="L550" s="133" t="n">
        <x:f>(('Assumptions'!$B$17*(1+G550)+'Assumptions'!$B$18)*(1-H550-'Assumptions'!$B$20)-SUM('Assumptions'!$B$21:$B$25)*(1+I550))-(('Assumptions'!$B$17*(1+G550)+'Assumptions'!$B$18)*(1-H550-'Assumptions'!$B$20)*'Assumptions'!$B$26)</x:f>
        <x:v>213542.9447608641</x:v>
      </x:c>
      <x:c r="M550" s="133" t="n">
        <x:f>'Assumptions'!$B$10*'Assumptions'!$B$33</x:f>
        <x:v>1950000</x:v>
      </x:c>
      <x:c r="N550" s="133" t="n">
        <x:f>-PMT(K550/12,'Assumptions'!$B$35*12,M550)*12</x:f>
        <x:v>171061.81585706116</x:v>
      </x:c>
      <x:c r="O550" s="133" t="n">
        <x:f>(L550*(1+'Assumptions'!$B$29)^('Assumptions'!$B$14/12)/J550)*(1-'Assumptions'!$B$42)-'Debt Schedule'!$F$9</x:f>
        <x:v>3654445.2692423207</x:v>
      </x:c>
      <x:c r="P550" s="132" t="n">
        <x:f>((O550+(L550-N550-'Assumptions'!$B$27-'Assumptions'!$B$28)*('Assumptions'!$B$14/12))/ABS('Monthly Cash Flow'!$S$5))^(1/('Assumptions'!$B$14/12))-1</x:f>
        <x:v>0.23151084192095106</x:v>
      </x:c>
      <x:c r="Q550" s="133" t="n">
        <x:f>-ABS('Monthly Cash Flow'!$S$5)+((L550-N550-'Assumptions'!$B$27-'Assumptions'!$B$28)*(1-(1+'Assumptions'!$B$43)^-('Assumptions'!$B$14/12))/'Assumptions'!$B$43)+(O550/(1+'Assumptions'!$B$43)^('Assumptions'!$B$14/12))</x:f>
        <x:v>984028.4222469449</x:v>
      </x:c>
    </x:row>
    <x:row r="551">
      <x:c r="A551" s="131" t="n">
        <x:f>544</x:f>
        <x:v>544</x:v>
      </x:c>
      <x:c r="B551" s="131" t="n">
        <x:f>MOD(ABS(SIN((A551+1)*12.9898+78.233)*43758.5453),1)</x:f>
        <x:v>0.5436937854610733</x:v>
      </x:c>
      <x:c r="C551" s="131" t="n">
        <x:f>MOD(ABS(SIN((A551+2)*12.9898+78.233)*43758.5453),1)</x:f>
        <x:v>0.4960347304077004</x:v>
      </x:c>
      <x:c r="D551" s="131" t="n">
        <x:f>MOD(ABS(SIN((A551+3)*12.9898+78.233)*43758.5453),1)</x:f>
        <x:v>0.16954018160322448</x:v>
      </x:c>
      <x:c r="E551" s="131" t="n">
        <x:f>MOD(ABS(SIN((A551+4)*12.9898+78.233)*43758.5453),1)</x:f>
        <x:v>0.9395862031051365</x:v>
      </x:c>
      <x:c r="F551" s="131" t="n">
        <x:f>MOD(ABS(SIN((A551+5)*12.9898+78.233)*43758.5453),1)</x:f>
        <x:v>0.5307572946276196</x:v>
      </x:c>
      <x:c r="G551" s="132" t="n">
        <x:f>IF(B551&lt;(('Assumptions'!$C$47-'Assumptions'!$B$47)/('Assumptions'!$D$47-'Assumptions'!$B$47)),'Assumptions'!$B$47+SQRT(B551*('Assumptions'!$D$47-'Assumptions'!$B$47)*('Assumptions'!$C$47-'Assumptions'!$B$47)),'Assumptions'!$D$47-SQRT((1-B551)*('Assumptions'!$D$47-'Assumptions'!$B$47)*('Assumptions'!$D$47-'Assumptions'!$C$47)))</x:f>
        <x:v>0.014230691370864773</x:v>
      </x:c>
      <x:c r="H551" s="132" t="n">
        <x:f>IF(C551&lt;(('Assumptions'!$C$48-'Assumptions'!$B$48)/('Assumptions'!$D$48-'Assumptions'!$B$48)),'Assumptions'!$B$48+SQRT(C551*('Assumptions'!$D$48-'Assumptions'!$B$48)*('Assumptions'!$C$48-'Assumptions'!$B$48)),'Assumptions'!$D$48-SQRT((1-C551)*('Assumptions'!$D$48-'Assumptions'!$B$48)*('Assumptions'!$D$48-'Assumptions'!$C$48)))</x:f>
        <x:v>0.07340499739160425</x:v>
      </x:c>
      <x:c r="I551" s="132" t="n">
        <x:f>IF(D551&lt;(('Assumptions'!$C$49-'Assumptions'!$B$49)/('Assumptions'!$D$49-'Assumptions'!$B$49)),'Assumptions'!$B$49+SQRT(D551*('Assumptions'!$D$49-'Assumptions'!$B$49)*('Assumptions'!$C$49-'Assumptions'!$B$49)),'Assumptions'!$D$49-SQRT((1-D551)*('Assumptions'!$D$49-'Assumptions'!$B$49)*('Assumptions'!$D$49-'Assumptions'!$C$49)))</x:f>
        <x:v>0.012790582624157207</x:v>
      </x:c>
      <x:c r="J551" s="132" t="n">
        <x:f>IF(E551&lt;(('Assumptions'!$C$50-'Assumptions'!$B$50)/('Assumptions'!$D$50-'Assumptions'!$B$50)),'Assumptions'!$B$50+SQRT(E551*('Assumptions'!$D$50-'Assumptions'!$B$50)*('Assumptions'!$C$50-'Assumptions'!$B$50)),'Assumptions'!$D$50-SQRT((1-E551)*('Assumptions'!$D$50-'Assumptions'!$B$50)*('Assumptions'!$D$50-'Assumptions'!$C$50)))</x:f>
        <x:v>0.07587793978977983</x:v>
      </x:c>
      <x:c r="K551" s="132" t="n">
        <x:f>IF(F551&lt;(('Assumptions'!$C$51-'Assumptions'!$B$51)/('Assumptions'!$D$51-'Assumptions'!$B$51)),'Assumptions'!$B$51+SQRT(F551*('Assumptions'!$D$51-'Assumptions'!$B$51)*('Assumptions'!$C$51-'Assumptions'!$B$51)),'Assumptions'!$D$51-SQRT((1-F551)*('Assumptions'!$D$51-'Assumptions'!$B$51)*('Assumptions'!$D$51-'Assumptions'!$C$51)))</x:f>
        <x:v>0.06997258997829439</x:v>
      </x:c>
      <x:c r="L551" s="133" t="n">
        <x:f>(('Assumptions'!$B$17*(1+G551)+'Assumptions'!$B$18)*(1-H551-'Assumptions'!$B$20)-SUM('Assumptions'!$B$21:$B$25)*(1+I551))-(('Assumptions'!$B$17*(1+G551)+'Assumptions'!$B$18)*(1-H551-'Assumptions'!$B$20)*'Assumptions'!$B$26)</x:f>
        <x:v>209510.31170924532</x:v>
      </x:c>
      <x:c r="M551" s="133" t="n">
        <x:f>'Assumptions'!$B$10*'Assumptions'!$B$33</x:f>
        <x:v>1950000</x:v>
      </x:c>
      <x:c r="N551" s="133" t="n">
        <x:f>-PMT(K551/12,'Assumptions'!$B$35*12,M551)*12</x:f>
        <x:v>155637.7104158809</x:v>
      </x:c>
      <x:c r="O551" s="133" t="n">
        <x:f>(L551*(1+'Assumptions'!$B$29)^('Assumptions'!$B$14/12)/J551)*(1-'Assumptions'!$B$42)-'Debt Schedule'!$F$9</x:f>
        <x:v>3008872.9469432514</x:v>
      </x:c>
      <x:c r="P551" s="132" t="n">
        <x:f>((O551+(L551-N551-'Assumptions'!$B$27-'Assumptions'!$B$28)*('Assumptions'!$B$14/12))/ABS('Monthly Cash Flow'!$S$5))^(1/('Assumptions'!$B$14/12))-1</x:f>
        <x:v>0.18915911828715326</x:v>
      </x:c>
      <x:c r="Q551" s="133" t="n">
        <x:f>-ABS('Monthly Cash Flow'!$S$5)+((L551-N551-'Assumptions'!$B$27-'Assumptions'!$B$28)*(1-(1+'Assumptions'!$B$43)^-('Assumptions'!$B$14/12))/'Assumptions'!$B$43)+(O551/(1+'Assumptions'!$B$43)^('Assumptions'!$B$14/12))</x:f>
        <x:v>626361.4445730667</x:v>
      </x:c>
    </x:row>
    <x:row r="552">
      <x:c r="A552" s="131" t="n">
        <x:f>545</x:f>
        <x:v>545</x:v>
      </x:c>
      <x:c r="B552" s="131" t="n">
        <x:f>MOD(ABS(SIN((A552+1)*12.9898+78.233)*43758.5453),1)</x:f>
        <x:v>0.4960347304077004</x:v>
      </x:c>
      <x:c r="C552" s="131" t="n">
        <x:f>MOD(ABS(SIN((A552+2)*12.9898+78.233)*43758.5453),1)</x:f>
        <x:v>0.16954018160322448</x:v>
      </x:c>
      <x:c r="D552" s="131" t="n">
        <x:f>MOD(ABS(SIN((A552+3)*12.9898+78.233)*43758.5453),1)</x:f>
        <x:v>0.9395862031051365</x:v>
      </x:c>
      <x:c r="E552" s="131" t="n">
        <x:f>MOD(ABS(SIN((A552+4)*12.9898+78.233)*43758.5453),1)</x:f>
        <x:v>0.5307572946276196</x:v>
      </x:c>
      <x:c r="F552" s="131" t="n">
        <x:f>MOD(ABS(SIN((A552+5)*12.9898+78.233)*43758.5453),1)</x:f>
        <x:v>0.4084666153812577</x:v>
      </x:c>
      <x:c r="G552" s="132" t="n">
        <x:f>IF(B552&lt;(('Assumptions'!$C$47-'Assumptions'!$B$47)/('Assumptions'!$D$47-'Assumptions'!$B$47)),'Assumptions'!$B$47+SQRT(B552*('Assumptions'!$D$47-'Assumptions'!$B$47)*('Assumptions'!$C$47-'Assumptions'!$B$47)),'Assumptions'!$D$47-SQRT((1-B552)*('Assumptions'!$D$47-'Assumptions'!$B$47)*('Assumptions'!$D$47-'Assumptions'!$C$47)))</x:f>
        <x:v>0.00910927334459162</x:v>
      </x:c>
      <x:c r="H552" s="132" t="n">
        <x:f>IF(C552&lt;(('Assumptions'!$C$48-'Assumptions'!$B$48)/('Assumptions'!$D$48-'Assumptions'!$B$48)),'Assumptions'!$B$48+SQRT(C552*('Assumptions'!$D$48-'Assumptions'!$B$48)*('Assumptions'!$C$48-'Assumptions'!$B$48)),'Assumptions'!$D$48-SQRT((1-C552)*('Assumptions'!$D$48-'Assumptions'!$B$48)*('Assumptions'!$D$48-'Assumptions'!$C$48)))</x:f>
        <x:v>0.05365338452083847</x:v>
      </x:c>
      <x:c r="I552" s="132" t="n">
        <x:f>IF(D552&lt;(('Assumptions'!$C$49-'Assumptions'!$B$49)/('Assumptions'!$D$49-'Assumptions'!$B$49)),'Assumptions'!$B$49+SQRT(D552*('Assumptions'!$D$49-'Assumptions'!$B$49)*('Assumptions'!$C$49-'Assumptions'!$B$49)),'Assumptions'!$D$49-SQRT((1-D552)*('Assumptions'!$D$49-'Assumptions'!$B$49)*('Assumptions'!$D$49-'Assumptions'!$C$49)))</x:f>
        <x:v>0.11387607423148681</x:v>
      </x:c>
      <x:c r="J552" s="132" t="n">
        <x:f>IF(E552&lt;(('Assumptions'!$C$50-'Assumptions'!$B$50)/('Assumptions'!$D$50-'Assumptions'!$B$50)),'Assumptions'!$B$50+SQRT(E552*('Assumptions'!$D$50-'Assumptions'!$B$50)*('Assumptions'!$C$50-'Assumptions'!$B$50)),'Assumptions'!$D$50-SQRT((1-E552)*('Assumptions'!$D$50-'Assumptions'!$B$50)*('Assumptions'!$D$50-'Assumptions'!$C$50)))</x:f>
        <x:v>0.06851198403178417</x:v>
      </x:c>
      <x:c r="K552" s="132" t="n">
        <x:f>IF(F552&lt;(('Assumptions'!$C$51-'Assumptions'!$B$51)/('Assumptions'!$D$51-'Assumptions'!$B$51)),'Assumptions'!$B$51+SQRT(F552*('Assumptions'!$D$51-'Assumptions'!$B$51)*('Assumptions'!$C$51-'Assumptions'!$B$51)),'Assumptions'!$D$51-SQRT((1-F552)*('Assumptions'!$D$51-'Assumptions'!$B$51)*('Assumptions'!$D$51-'Assumptions'!$C$51)))</x:f>
        <x:v>0.06812767231980811</x:v>
      </x:c>
      <x:c r="L552" s="133" t="n">
        <x:f>(('Assumptions'!$B$17*(1+G552)+'Assumptions'!$B$18)*(1-H552-'Assumptions'!$B$20)-SUM('Assumptions'!$B$21:$B$25)*(1+I552))-(('Assumptions'!$B$17*(1+G552)+'Assumptions'!$B$18)*(1-H552-'Assumptions'!$B$20)*'Assumptions'!$B$26)</x:f>
        <x:v>202380.84799093084</x:v>
      </x:c>
      <x:c r="M552" s="133" t="n">
        <x:f>'Assumptions'!$B$10*'Assumptions'!$B$33</x:f>
        <x:v>1950000</x:v>
      </x:c>
      <x:c r="N552" s="133" t="n">
        <x:f>-PMT(K552/12,'Assumptions'!$B$35*12,M552)*12</x:f>
        <x:v>152749.5503051759</x:v>
      </x:c>
      <x:c r="O552" s="133" t="n">
        <x:f>(L552*(1+'Assumptions'!$B$29)^('Assumptions'!$B$14/12)/J552)*(1-'Assumptions'!$B$42)-'Debt Schedule'!$F$9</x:f>
        <x:v>3218969.368859308</x:v>
      </x:c>
      <x:c r="P552" s="132" t="n">
        <x:f>((O552+(L552-N552-'Assumptions'!$B$27-'Assumptions'!$B$28)*('Assumptions'!$B$14/12))/ABS('Monthly Cash Flow'!$S$5))^(1/('Assumptions'!$B$14/12))-1</x:f>
        <x:v>0.20340763354111346</x:v>
      </x:c>
      <x:c r="Q552" s="133" t="n">
        <x:f>-ABS('Monthly Cash Flow'!$S$5)+((L552-N552-'Assumptions'!$B$27-'Assumptions'!$B$28)*(1-(1+'Assumptions'!$B$43)^-('Assumptions'!$B$14/12))/'Assumptions'!$B$43)+(O552/(1+'Assumptions'!$B$43)^('Assumptions'!$B$14/12))</x:f>
        <x:v>740736.9152384086</x:v>
      </x:c>
    </x:row>
    <x:row r="553">
      <x:c r="A553" s="131" t="n">
        <x:f>546</x:f>
        <x:v>546</x:v>
      </x:c>
      <x:c r="B553" s="131" t="n">
        <x:f>MOD(ABS(SIN((A553+1)*12.9898+78.233)*43758.5453),1)</x:f>
        <x:v>0.16954018160322448</x:v>
      </x:c>
      <x:c r="C553" s="131" t="n">
        <x:f>MOD(ABS(SIN((A553+2)*12.9898+78.233)*43758.5453),1)</x:f>
        <x:v>0.9395862031051365</x:v>
      </x:c>
      <x:c r="D553" s="131" t="n">
        <x:f>MOD(ABS(SIN((A553+3)*12.9898+78.233)*43758.5453),1)</x:f>
        <x:v>0.5307572946276196</x:v>
      </x:c>
      <x:c r="E553" s="131" t="n">
        <x:f>MOD(ABS(SIN((A553+4)*12.9898+78.233)*43758.5453),1)</x:f>
        <x:v>0.4084666153812577</x:v>
      </x:c>
      <x:c r="F553" s="131" t="n">
        <x:f>MOD(ABS(SIN((A553+5)*12.9898+78.233)*43758.5453),1)</x:f>
        <x:v>0.2765790966586792</x:v>
      </x:c>
      <x:c r="G553" s="132" t="n">
        <x:f>IF(B553&lt;(('Assumptions'!$C$47-'Assumptions'!$B$47)/('Assumptions'!$D$47-'Assumptions'!$B$47)),'Assumptions'!$B$47+SQRT(B553*('Assumptions'!$D$47-'Assumptions'!$B$47)*('Assumptions'!$C$47-'Assumptions'!$B$47)),'Assumptions'!$D$47-SQRT((1-B553)*('Assumptions'!$D$47-'Assumptions'!$B$47)*('Assumptions'!$D$47-'Assumptions'!$C$47)))</x:f>
        <x:v>-0.0362115656370421</x:v>
      </x:c>
      <x:c r="H553" s="132" t="n">
        <x:f>IF(C553&lt;(('Assumptions'!$C$48-'Assumptions'!$B$48)/('Assumptions'!$D$48-'Assumptions'!$B$48)),'Assumptions'!$B$48+SQRT(C553*('Assumptions'!$D$48-'Assumptions'!$B$48)*('Assumptions'!$C$48-'Assumptions'!$B$48)),'Assumptions'!$D$48-SQRT((1-C553)*('Assumptions'!$D$48-'Assumptions'!$B$48)*('Assumptions'!$D$48-'Assumptions'!$C$48)))</x:f>
        <x:v>0.11694264948709852</x:v>
      </x:c>
      <x:c r="I553" s="132" t="n">
        <x:f>IF(D553&lt;(('Assumptions'!$C$49-'Assumptions'!$B$49)/('Assumptions'!$D$49-'Assumptions'!$B$49)),'Assumptions'!$B$49+SQRT(D553*('Assumptions'!$D$49-'Assumptions'!$B$49)*('Assumptions'!$C$49-'Assumptions'!$B$49)),'Assumptions'!$D$49-SQRT((1-D553)*('Assumptions'!$D$49-'Assumptions'!$B$49)*('Assumptions'!$D$49-'Assumptions'!$C$49)))</x:f>
        <x:v>0.049324072211658174</x:v>
      </x:c>
      <x:c r="J553" s="132" t="n">
        <x:f>IF(E553&lt;(('Assumptions'!$C$50-'Assumptions'!$B$50)/('Assumptions'!$D$50-'Assumptions'!$B$50)),'Assumptions'!$B$50+SQRT(E553*('Assumptions'!$D$50-'Assumptions'!$B$50)*('Assumptions'!$C$50-'Assumptions'!$B$50)),'Assumptions'!$D$50-SQRT((1-E553)*('Assumptions'!$D$50-'Assumptions'!$B$50)*('Assumptions'!$D$50-'Assumptions'!$C$50)))</x:f>
        <x:v>0.06708670894837133</x:v>
      </x:c>
      <x:c r="K553" s="132" t="n">
        <x:f>IF(F553&lt;(('Assumptions'!$C$51-'Assumptions'!$B$51)/('Assumptions'!$D$51-'Assumptions'!$B$51)),'Assumptions'!$B$51+SQRT(F553*('Assumptions'!$D$51-'Assumptions'!$B$51)*('Assumptions'!$C$51-'Assumptions'!$B$51)),'Assumptions'!$D$51-SQRT((1-F553)*('Assumptions'!$D$51-'Assumptions'!$B$51)*('Assumptions'!$D$51-'Assumptions'!$C$51)))</x:f>
        <x:v>0.06622119553622878</x:v>
      </x:c>
      <x:c r="L553" s="133" t="n">
        <x:f>(('Assumptions'!$B$17*(1+G553)+'Assumptions'!$B$18)*(1-H553-'Assumptions'!$B$20)-SUM('Assumptions'!$B$21:$B$25)*(1+I553))-(('Assumptions'!$B$17*(1+G553)+'Assumptions'!$B$18)*(1-H553-'Assumptions'!$B$20)*'Assumptions'!$B$26)</x:f>
        <x:v>173674.15251553594</x:v>
      </x:c>
      <x:c r="M553" s="133" t="n">
        <x:f>'Assumptions'!$B$10*'Assumptions'!$B$33</x:f>
        <x:v>1950000</x:v>
      </x:c>
      <x:c r="N553" s="133" t="n">
        <x:f>-PMT(K553/12,'Assumptions'!$B$35*12,M553)*12</x:f>
        <x:v>149788.20039064076</x:v>
      </x:c>
      <x:c r="O553" s="133" t="n">
        <x:f>(L553*(1+'Assumptions'!$B$29)^('Assumptions'!$B$14/12)/J553)*(1-'Assumptions'!$B$42)-'Debt Schedule'!$F$9</x:f>
        <x:v>2821062.305943425</x:v>
      </x:c>
      <x:c r="P553" s="132" t="n">
        <x:f>((O553+(L553-N553-'Assumptions'!$B$27-'Assumptions'!$B$28)*('Assumptions'!$B$14/12))/ABS('Monthly Cash Flow'!$S$5))^(1/('Assumptions'!$B$14/12))-1</x:f>
        <x:v>0.1618372566244375</x:v>
      </x:c>
      <x:c r="Q553" s="133" t="n">
        <x:f>-ABS('Monthly Cash Flow'!$S$5)+((L553-N553-'Assumptions'!$B$27-'Assumptions'!$B$28)*(1-(1+'Assumptions'!$B$43)^-('Assumptions'!$B$14/12))/'Assumptions'!$B$43)+(O553/(1+'Assumptions'!$B$43)^('Assumptions'!$B$14/12))</x:f>
        <x:v>396072.8199521401</x:v>
      </x:c>
    </x:row>
    <x:row r="554">
      <x:c r="A554" s="131" t="n">
        <x:f>547</x:f>
        <x:v>547</x:v>
      </x:c>
      <x:c r="B554" s="131" t="n">
        <x:f>MOD(ABS(SIN((A554+1)*12.9898+78.233)*43758.5453),1)</x:f>
        <x:v>0.9395862031051365</x:v>
      </x:c>
      <x:c r="C554" s="131" t="n">
        <x:f>MOD(ABS(SIN((A554+2)*12.9898+78.233)*43758.5453),1)</x:f>
        <x:v>0.5307572946276196</x:v>
      </x:c>
      <x:c r="D554" s="131" t="n">
        <x:f>MOD(ABS(SIN((A554+3)*12.9898+78.233)*43758.5453),1)</x:f>
        <x:v>0.4084666153812577</x:v>
      </x:c>
      <x:c r="E554" s="131" t="n">
        <x:f>MOD(ABS(SIN((A554+4)*12.9898+78.233)*43758.5453),1)</x:f>
        <x:v>0.2765790966586792</x:v>
      </x:c>
      <x:c r="F554" s="131" t="n">
        <x:f>MOD(ABS(SIN((A554+5)*12.9898+78.233)*43758.5453),1)</x:f>
        <x:v>0.7856016057994566</x:v>
      </x:c>
      <x:c r="G554" s="132" t="n">
        <x:f>IF(B554&lt;(('Assumptions'!$C$47-'Assumptions'!$B$47)/('Assumptions'!$D$47-'Assumptions'!$B$47)),'Assumptions'!$B$47+SQRT(B554*('Assumptions'!$D$47-'Assumptions'!$B$47)*('Assumptions'!$C$47-'Assumptions'!$B$47)),'Assumptions'!$D$47-SQRT((1-B554)*('Assumptions'!$D$47-'Assumptions'!$B$47)*('Assumptions'!$D$47-'Assumptions'!$C$47)))</x:f>
        <x:v>0.0689094749108701</x:v>
      </x:c>
      <x:c r="H554" s="132" t="n">
        <x:f>IF(C554&lt;(('Assumptions'!$C$48-'Assumptions'!$B$48)/('Assumptions'!$D$48-'Assumptions'!$B$48)),'Assumptions'!$B$48+SQRT(C554*('Assumptions'!$D$48-'Assumptions'!$B$48)*('Assumptions'!$C$48-'Assumptions'!$B$48)),'Assumptions'!$D$48-SQRT((1-C554)*('Assumptions'!$D$48-'Assumptions'!$B$48)*('Assumptions'!$D$48-'Assumptions'!$C$48)))</x:f>
        <x:v>0.07574009175794796</x:v>
      </x:c>
      <x:c r="I554" s="132" t="n">
        <x:f>IF(D554&lt;(('Assumptions'!$C$49-'Assumptions'!$B$49)/('Assumptions'!$D$49-'Assumptions'!$B$49)),'Assumptions'!$B$49+SQRT(D554*('Assumptions'!$D$49-'Assumptions'!$B$49)*('Assumptions'!$C$49-'Assumptions'!$B$49)),'Assumptions'!$D$49-SQRT((1-D554)*('Assumptions'!$D$49-'Assumptions'!$B$49)*('Assumptions'!$D$49-'Assumptions'!$C$49)))</x:f>
        <x:v>0.036964071606569116</x:v>
      </x:c>
      <x:c r="J554" s="132" t="n">
        <x:f>IF(E554&lt;(('Assumptions'!$C$50-'Assumptions'!$B$50)/('Assumptions'!$D$50-'Assumptions'!$B$50)),'Assumptions'!$B$50+SQRT(E554*('Assumptions'!$D$50-'Assumptions'!$B$50)*('Assumptions'!$C$50-'Assumptions'!$B$50)),'Assumptions'!$D$50-SQRT((1-E554)*('Assumptions'!$D$50-'Assumptions'!$B$50)*('Assumptions'!$D$50-'Assumptions'!$C$50)))</x:f>
        <x:v>0.06538861817736179</x:v>
      </x:c>
      <x:c r="K554" s="132" t="n">
        <x:f>IF(F554&lt;(('Assumptions'!$C$51-'Assumptions'!$B$51)/('Assumptions'!$D$51-'Assumptions'!$B$51)),'Assumptions'!$B$51+SQRT(F554*('Assumptions'!$D$51-'Assumptions'!$B$51)*('Assumptions'!$C$51-'Assumptions'!$B$51)),'Assumptions'!$D$51-SQRT((1-F554)*('Assumptions'!$D$51-'Assumptions'!$B$51)*('Assumptions'!$D$51-'Assumptions'!$C$51)))</x:f>
        <x:v>0.07484228238190235</x:v>
      </x:c>
      <x:c r="L554" s="133" t="n">
        <x:f>(('Assumptions'!$B$17*(1+G554)+'Assumptions'!$B$18)*(1-H554-'Assumptions'!$B$20)-SUM('Assumptions'!$B$21:$B$25)*(1+I554))-(('Assumptions'!$B$17*(1+G554)+'Assumptions'!$B$18)*(1-H554-'Assumptions'!$B$20)*'Assumptions'!$B$26)</x:f>
        <x:v>222882.36690468548</x:v>
      </x:c>
      <x:c r="M554" s="133" t="n">
        <x:f>'Assumptions'!$B$10*'Assumptions'!$B$33</x:f>
        <x:v>1950000</x:v>
      </x:c>
      <x:c r="N554" s="133" t="n">
        <x:f>-PMT(K554/12,'Assumptions'!$B$35*12,M554)*12</x:f>
        <x:v>163363.5552211065</x:v>
      </x:c>
      <x:c r="O554" s="133" t="n">
        <x:f>(L554*(1+'Assumptions'!$B$29)^('Assumptions'!$B$14/12)/J554)*(1-'Assumptions'!$B$42)-'Debt Schedule'!$F$9</x:f>
        <x:v>3714390.23131148</x:v>
      </x:c>
      <x:c r="P554" s="132" t="n">
        <x:f>((O554+(L554-N554-'Assumptions'!$B$27-'Assumptions'!$B$28)*('Assumptions'!$B$14/12))/ABS('Monthly Cash Flow'!$S$5))^(1/('Assumptions'!$B$14/12))-1</x:f>
        <x:v>0.24110866999250669</x:v>
      </x:c>
      <x:c r="Q554" s="133" t="n">
        <x:f>-ABS('Monthly Cash Flow'!$S$5)+((L554-N554-'Assumptions'!$B$27-'Assumptions'!$B$28)*(1-(1+'Assumptions'!$B$43)^-('Assumptions'!$B$14/12))/'Assumptions'!$B$43)+(O554/(1+'Assumptions'!$B$43)^('Assumptions'!$B$14/12))</x:f>
        <x:v>1085835.749868611</x:v>
      </x:c>
    </x:row>
    <x:row r="555">
      <x:c r="A555" s="131" t="n">
        <x:f>548</x:f>
        <x:v>548</x:v>
      </x:c>
      <x:c r="B555" s="131" t="n">
        <x:f>MOD(ABS(SIN((A555+1)*12.9898+78.233)*43758.5453),1)</x:f>
        <x:v>0.5307572946276196</x:v>
      </x:c>
      <x:c r="C555" s="131" t="n">
        <x:f>MOD(ABS(SIN((A555+2)*12.9898+78.233)*43758.5453),1)</x:f>
        <x:v>0.4084666153812577</x:v>
      </x:c>
      <x:c r="D555" s="131" t="n">
        <x:f>MOD(ABS(SIN((A555+3)*12.9898+78.233)*43758.5453),1)</x:f>
        <x:v>0.2765790966586792</x:v>
      </x:c>
      <x:c r="E555" s="131" t="n">
        <x:f>MOD(ABS(SIN((A555+4)*12.9898+78.233)*43758.5453),1)</x:f>
        <x:v>0.7856016057994566</x:v>
      </x:c>
      <x:c r="F555" s="131" t="n">
        <x:f>MOD(ABS(SIN((A555+5)*12.9898+78.233)*43758.5453),1)</x:f>
        <x:v>0.7973763852569391</x:v>
      </x:c>
      <x:c r="G555" s="132" t="n">
        <x:f>IF(B555&lt;(('Assumptions'!$C$47-'Assumptions'!$B$47)/('Assumptions'!$D$47-'Assumptions'!$B$47)),'Assumptions'!$B$47+SQRT(B555*('Assumptions'!$D$47-'Assumptions'!$B$47)*('Assumptions'!$C$47-'Assumptions'!$B$47)),'Assumptions'!$D$47-SQRT((1-B555)*('Assumptions'!$D$47-'Assumptions'!$B$47)*('Assumptions'!$D$47-'Assumptions'!$C$47)))</x:f>
        <x:v>0.012863524094646583</x:v>
      </x:c>
      <x:c r="H555" s="132" t="n">
        <x:f>IF(C555&lt;(('Assumptions'!$C$48-'Assumptions'!$B$48)/('Assumptions'!$D$48-'Assumptions'!$B$48)),'Assumptions'!$B$48+SQRT(C555*('Assumptions'!$D$48-'Assumptions'!$B$48)*('Assumptions'!$C$48-'Assumptions'!$B$48)),'Assumptions'!$D$48-SQRT((1-C555)*('Assumptions'!$D$48-'Assumptions'!$B$48)*('Assumptions'!$D$48-'Assumptions'!$C$48)))</x:f>
        <x:v>0.06785089200381662</x:v>
      </x:c>
      <x:c r="I555" s="132" t="n">
        <x:f>IF(D555&lt;(('Assumptions'!$C$49-'Assumptions'!$B$49)/('Assumptions'!$D$49-'Assumptions'!$B$49)),'Assumptions'!$B$49+SQRT(D555*('Assumptions'!$D$49-'Assumptions'!$B$49)*('Assumptions'!$C$49-'Assumptions'!$B$49)),'Assumptions'!$D$49-SQRT((1-D555)*('Assumptions'!$D$49-'Assumptions'!$B$49)*('Assumptions'!$D$49-'Assumptions'!$C$49)))</x:f>
        <x:v>0.02465394993880804</x:v>
      </x:c>
      <x:c r="J555" s="132" t="n">
        <x:f>IF(E555&lt;(('Assumptions'!$C$50-'Assumptions'!$B$50)/('Assumptions'!$D$50-'Assumptions'!$B$50)),'Assumptions'!$B$50+SQRT(E555*('Assumptions'!$D$50-'Assumptions'!$B$50)*('Assumptions'!$C$50-'Assumptions'!$B$50)),'Assumptions'!$D$50-SQRT((1-E555)*('Assumptions'!$D$50-'Assumptions'!$B$50)*('Assumptions'!$D$50-'Assumptions'!$C$50)))</x:f>
        <x:v>0.07223472161678007</x:v>
      </x:c>
      <x:c r="K555" s="132" t="n">
        <x:f>IF(F555&lt;(('Assumptions'!$C$51-'Assumptions'!$B$51)/('Assumptions'!$D$51-'Assumptions'!$B$51)),'Assumptions'!$B$51+SQRT(F555*('Assumptions'!$D$51-'Assumptions'!$B$51)*('Assumptions'!$C$51-'Assumptions'!$B$51)),'Assumptions'!$D$51-SQRT((1-F555)*('Assumptions'!$D$51-'Assumptions'!$B$51)*('Assumptions'!$D$51-'Assumptions'!$C$51)))</x:f>
        <x:v>0.07512515242674106</x:v>
      </x:c>
      <x:c r="L555" s="133" t="n">
        <x:f>(('Assumptions'!$B$17*(1+G555)+'Assumptions'!$B$18)*(1-H555-'Assumptions'!$B$20)-SUM('Assumptions'!$B$21:$B$25)*(1+I555))-(('Assumptions'!$B$17*(1+G555)+'Assumptions'!$B$18)*(1-H555-'Assumptions'!$B$20)*'Assumptions'!$B$26)</x:f>
        <x:v>209622.60797772714</x:v>
      </x:c>
      <x:c r="M555" s="133" t="n">
        <x:f>'Assumptions'!$B$10*'Assumptions'!$B$33</x:f>
        <x:v>1950000</x:v>
      </x:c>
      <x:c r="N555" s="133" t="n">
        <x:f>-PMT(K555/12,'Assumptions'!$B$35*12,M555)*12</x:f>
        <x:v>163816.7759914468</x:v>
      </x:c>
      <x:c r="O555" s="133" t="n">
        <x:f>(L555*(1+'Assumptions'!$B$29)^('Assumptions'!$B$14/12)/J555)*(1-'Assumptions'!$B$42)-'Debt Schedule'!$F$9</x:f>
        <x:v>3162322.0303755356</x:v>
      </x:c>
      <x:c r="P555" s="132" t="n">
        <x:f>((O555+(L555-N555-'Assumptions'!$B$27-'Assumptions'!$B$28)*('Assumptions'!$B$14/12))/ABS('Monthly Cash Flow'!$S$5))^(1/('Assumptions'!$B$14/12))-1</x:f>
        <x:v>0.19777297153940676</x:v>
      </x:c>
      <x:c r="Q555" s="133" t="n">
        <x:f>-ABS('Monthly Cash Flow'!$S$5)+((L555-N555-'Assumptions'!$B$27-'Assumptions'!$B$28)*(1-(1+'Assumptions'!$B$43)^-('Assumptions'!$B$14/12))/'Assumptions'!$B$43)+(O555/(1+'Assumptions'!$B$43)^('Assumptions'!$B$14/12))</x:f>
        <x:v>691061.8501188906</x:v>
      </x:c>
    </x:row>
    <x:row r="556">
      <x:c r="A556" s="131" t="n">
        <x:f>549</x:f>
        <x:v>549</x:v>
      </x:c>
      <x:c r="B556" s="131" t="n">
        <x:f>MOD(ABS(SIN((A556+1)*12.9898+78.233)*43758.5453),1)</x:f>
        <x:v>0.4084666153812577</x:v>
      </x:c>
      <x:c r="C556" s="131" t="n">
        <x:f>MOD(ABS(SIN((A556+2)*12.9898+78.233)*43758.5453),1)</x:f>
        <x:v>0.2765790966586792</x:v>
      </x:c>
      <x:c r="D556" s="131" t="n">
        <x:f>MOD(ABS(SIN((A556+3)*12.9898+78.233)*43758.5453),1)</x:f>
        <x:v>0.7856016057994566</x:v>
      </x:c>
      <x:c r="E556" s="131" t="n">
        <x:f>MOD(ABS(SIN((A556+4)*12.9898+78.233)*43758.5453),1)</x:f>
        <x:v>0.7973763852569391</x:v>
      </x:c>
      <x:c r="F556" s="131" t="n">
        <x:f>MOD(ABS(SIN((A556+5)*12.9898+78.233)*43758.5453),1)</x:f>
        <x:v>0.3187580564626842</x:v>
      </x:c>
      <x:c r="G556" s="132" t="n">
        <x:f>IF(B556&lt;(('Assumptions'!$C$47-'Assumptions'!$B$47)/('Assumptions'!$D$47-'Assumptions'!$B$47)),'Assumptions'!$B$47+SQRT(B556*('Assumptions'!$D$47-'Assumptions'!$B$47)*('Assumptions'!$C$47-'Assumptions'!$B$47)),'Assumptions'!$D$47-SQRT((1-B556)*('Assumptions'!$D$47-'Assumptions'!$B$47)*('Assumptions'!$D$47-'Assumptions'!$C$47)))</x:f>
        <x:v>-0.0009888957280538985</x:v>
      </x:c>
      <x:c r="H556" s="132" t="n">
        <x:f>IF(C556&lt;(('Assumptions'!$C$48-'Assumptions'!$B$48)/('Assumptions'!$D$48-'Assumptions'!$B$48)),'Assumptions'!$B$48+SQRT(C556*('Assumptions'!$D$48-'Assumptions'!$B$48)*('Assumptions'!$C$48-'Assumptions'!$B$48)),'Assumptions'!$D$48-SQRT((1-C556)*('Assumptions'!$D$48-'Assumptions'!$B$48)*('Assumptions'!$D$48-'Assumptions'!$C$48)))</x:f>
        <x:v>0.06021213156498274</x:v>
      </x:c>
      <x:c r="I556" s="132" t="n">
        <x:f>IF(D556&lt;(('Assumptions'!$C$49-'Assumptions'!$B$49)/('Assumptions'!$D$49-'Assumptions'!$B$49)),'Assumptions'!$B$49+SQRT(D556*('Assumptions'!$D$49-'Assumptions'!$B$49)*('Assumptions'!$C$49-'Assumptions'!$B$49)),'Assumptions'!$D$49-SQRT((1-D556)*('Assumptions'!$D$49-'Assumptions'!$B$49)*('Assumptions'!$D$49-'Assumptions'!$C$49)))</x:f>
        <x:v>0.08194850982725112</x:v>
      </x:c>
      <x:c r="J556" s="132" t="n">
        <x:f>IF(E556&lt;(('Assumptions'!$C$50-'Assumptions'!$B$50)/('Assumptions'!$D$50-'Assumptions'!$B$50)),'Assumptions'!$B$50+SQRT(E556*('Assumptions'!$D$50-'Assumptions'!$B$50)*('Assumptions'!$C$50-'Assumptions'!$B$50)),'Assumptions'!$D$50-SQRT((1-E556)*('Assumptions'!$D$50-'Assumptions'!$B$50)*('Assumptions'!$D$50-'Assumptions'!$C$50)))</x:f>
        <x:v>0.0724509675026209</x:v>
      </x:c>
      <x:c r="K556" s="132" t="n">
        <x:f>IF(F556&lt;(('Assumptions'!$C$51-'Assumptions'!$B$51)/('Assumptions'!$D$51-'Assumptions'!$B$51)),'Assumptions'!$B$51+SQRT(F556*('Assumptions'!$D$51-'Assumptions'!$B$51)*('Assumptions'!$C$51-'Assumptions'!$B$51)),'Assumptions'!$D$51-SQRT((1-F556)*('Assumptions'!$D$51-'Assumptions'!$B$51)*('Assumptions'!$D$51-'Assumptions'!$C$51)))</x:f>
        <x:v>0.06686260997410648</x:v>
      </x:c>
      <x:c r="L556" s="133" t="n">
        <x:f>(('Assumptions'!$B$17*(1+G556)+'Assumptions'!$B$18)*(1-H556-'Assumptions'!$B$20)-SUM('Assumptions'!$B$21:$B$25)*(1+I556))-(('Assumptions'!$B$17*(1+G556)+'Assumptions'!$B$18)*(1-H556-'Assumptions'!$B$20)*'Assumptions'!$B$26)</x:f>
        <x:v>200758.1429598881</x:v>
      </x:c>
      <x:c r="M556" s="133" t="n">
        <x:f>'Assumptions'!$B$10*'Assumptions'!$B$33</x:f>
        <x:v>1950000</x:v>
      </x:c>
      <x:c r="N556" s="133" t="n">
        <x:f>-PMT(K556/12,'Assumptions'!$B$35*12,M556)*12</x:f>
        <x:v>150781.85511910834</x:v>
      </x:c>
      <x:c r="O556" s="133" t="n">
        <x:f>(L556*(1+'Assumptions'!$B$29)^('Assumptions'!$B$14/12)/J556)*(1-'Assumptions'!$B$42)-'Debt Schedule'!$F$9</x:f>
        <x:v>3019555.0902728345</x:v>
      </x:c>
      <x:c r="P556" s="132" t="n">
        <x:f>((O556+(L556-N556-'Assumptions'!$B$27-'Assumptions'!$B$28)*('Assumptions'!$B$14/12))/ABS('Monthly Cash Flow'!$S$5))^(1/('Assumptions'!$B$14/12))-1</x:f>
        <x:v>0.18847847516833993</x:v>
      </x:c>
      <x:c r="Q556" s="133" t="n">
        <x:f>-ABS('Monthly Cash Flow'!$S$5)+((L556-N556-'Assumptions'!$B$27-'Assumptions'!$B$28)*(1-(1+'Assumptions'!$B$43)^-('Assumptions'!$B$14/12))/'Assumptions'!$B$43)+(O556/(1+'Assumptions'!$B$43)^('Assumptions'!$B$14/12))</x:f>
        <x:v>618224.1216568528</x:v>
      </x:c>
    </x:row>
    <x:row r="557">
      <x:c r="A557" s="131" t="n">
        <x:f>550</x:f>
        <x:v>550</x:v>
      </x:c>
      <x:c r="B557" s="131" t="n">
        <x:f>MOD(ABS(SIN((A557+1)*12.9898+78.233)*43758.5453),1)</x:f>
        <x:v>0.2765790966586792</x:v>
      </x:c>
      <x:c r="C557" s="131" t="n">
        <x:f>MOD(ABS(SIN((A557+2)*12.9898+78.233)*43758.5453),1)</x:f>
        <x:v>0.7856016057994566</x:v>
      </x:c>
      <x:c r="D557" s="131" t="n">
        <x:f>MOD(ABS(SIN((A557+3)*12.9898+78.233)*43758.5453),1)</x:f>
        <x:v>0.7973763852569391</x:v>
      </x:c>
      <x:c r="E557" s="131" t="n">
        <x:f>MOD(ABS(SIN((A557+4)*12.9898+78.233)*43758.5453),1)</x:f>
        <x:v>0.3187580564626842</x:v>
      </x:c>
      <x:c r="F557" s="131" t="n">
        <x:f>MOD(ABS(SIN((A557+5)*12.9898+78.233)*43758.5453),1)</x:f>
        <x:v>0.5889788338245125</x:v>
      </x:c>
      <x:c r="G557" s="132" t="n">
        <x:f>IF(B557&lt;(('Assumptions'!$C$47-'Assumptions'!$B$47)/('Assumptions'!$D$47-'Assumptions'!$B$47)),'Assumptions'!$B$47+SQRT(B557*('Assumptions'!$D$47-'Assumptions'!$B$47)*('Assumptions'!$C$47-'Assumptions'!$B$47)),'Assumptions'!$D$47-SQRT((1-B557)*('Assumptions'!$D$47-'Assumptions'!$B$47)*('Assumptions'!$D$47-'Assumptions'!$C$47)))</x:f>
        <x:v>-0.018526701798636497</x:v>
      </x:c>
      <x:c r="H557" s="132" t="n">
        <x:f>IF(C557&lt;(('Assumptions'!$C$48-'Assumptions'!$B$48)/('Assumptions'!$D$48-'Assumptions'!$B$48)),'Assumptions'!$B$48+SQRT(C557*('Assumptions'!$D$48-'Assumptions'!$B$48)*('Assumptions'!$C$48-'Assumptions'!$B$48)),'Assumptions'!$D$48-SQRT((1-C557)*('Assumptions'!$D$48-'Assumptions'!$B$48)*('Assumptions'!$D$48-'Assumptions'!$C$48)))</x:f>
        <x:v>0.09656377239026412</x:v>
      </x:c>
      <x:c r="I557" s="132" t="n">
        <x:f>IF(D557&lt;(('Assumptions'!$C$49-'Assumptions'!$B$49)/('Assumptions'!$D$49-'Assumptions'!$B$49)),'Assumptions'!$B$49+SQRT(D557*('Assumptions'!$D$49-'Assumptions'!$B$49)*('Assumptions'!$C$49-'Assumptions'!$B$49)),'Assumptions'!$D$49-SQRT((1-D557)*('Assumptions'!$D$49-'Assumptions'!$B$49)*('Assumptions'!$D$49-'Assumptions'!$C$49)))</x:f>
        <x:v>0.08384359382153445</x:v>
      </x:c>
      <x:c r="J557" s="132" t="n">
        <x:f>IF(E557&lt;(('Assumptions'!$C$50-'Assumptions'!$B$50)/('Assumptions'!$D$50-'Assumptions'!$B$50)),'Assumptions'!$B$50+SQRT(E557*('Assumptions'!$D$50-'Assumptions'!$B$50)*('Assumptions'!$C$50-'Assumptions'!$B$50)),'Assumptions'!$D$50-SQRT((1-E557)*('Assumptions'!$D$50-'Assumptions'!$B$50)*('Assumptions'!$D$50-'Assumptions'!$C$50)))</x:f>
        <x:v>0.06596879936615008</x:v>
      </x:c>
      <x:c r="K557" s="132" t="n">
        <x:f>IF(F557&lt;(('Assumptions'!$C$51-'Assumptions'!$B$51)/('Assumptions'!$D$51-'Assumptions'!$B$51)),'Assumptions'!$B$51+SQRT(F557*('Assumptions'!$D$51-'Assumptions'!$B$51)*('Assumptions'!$C$51-'Assumptions'!$B$51)),'Assumptions'!$D$51-SQRT((1-F557)*('Assumptions'!$D$51-'Assumptions'!$B$51)*('Assumptions'!$D$51-'Assumptions'!$C$51)))</x:f>
        <x:v>0.07093572126904642</x:v>
      </x:c>
      <x:c r="L557" s="133" t="n">
        <x:f>(('Assumptions'!$B$17*(1+G557)+'Assumptions'!$B$18)*(1-H557-'Assumptions'!$B$20)-SUM('Assumptions'!$B$21:$B$25)*(1+I557))-(('Assumptions'!$B$17*(1+G557)+'Assumptions'!$B$18)*(1-H557-'Assumptions'!$B$20)*'Assumptions'!$B$26)</x:f>
        <x:v>181925.32683263518</x:v>
      </x:c>
      <x:c r="M557" s="133" t="n">
        <x:f>'Assumptions'!$B$10*'Assumptions'!$B$33</x:f>
        <x:v>1950000</x:v>
      </x:c>
      <x:c r="N557" s="133" t="n">
        <x:f>-PMT(K557/12,'Assumptions'!$B$35*12,M557)*12</x:f>
        <x:v>157154.0698891135</x:v>
      </x:c>
      <x:c r="O557" s="133" t="n">
        <x:f>(L557*(1+'Assumptions'!$B$29)^('Assumptions'!$B$14/12)/J557)*(1-'Assumptions'!$B$42)-'Debt Schedule'!$F$9</x:f>
        <x:v>3005166.652555679</x:v>
      </x:c>
      <x:c r="P557" s="132" t="n">
        <x:f>((O557+(L557-N557-'Assumptions'!$B$27-'Assumptions'!$B$28)*('Assumptions'!$B$14/12))/ABS('Monthly Cash Flow'!$S$5))^(1/('Assumptions'!$B$14/12))-1</x:f>
        <x:v>0.17740030391971184</x:v>
      </x:c>
      <x:c r="Q557" s="133" t="n">
        <x:f>-ABS('Monthly Cash Flow'!$S$5)+((L557-N557-'Assumptions'!$B$27-'Assumptions'!$B$28)*(1-(1+'Assumptions'!$B$43)^-('Assumptions'!$B$14/12))/'Assumptions'!$B$43)+(O557/(1+'Assumptions'!$B$43)^('Assumptions'!$B$14/12))</x:f>
        <x:v>513743.136224905</x:v>
      </x:c>
    </x:row>
    <x:row r="558">
      <x:c r="A558" s="131" t="n">
        <x:f>551</x:f>
        <x:v>551</x:v>
      </x:c>
      <x:c r="B558" s="131" t="n">
        <x:f>MOD(ABS(SIN((A558+1)*12.9898+78.233)*43758.5453),1)</x:f>
        <x:v>0.7856016057994566</x:v>
      </x:c>
      <x:c r="C558" s="131" t="n">
        <x:f>MOD(ABS(SIN((A558+2)*12.9898+78.233)*43758.5453),1)</x:f>
        <x:v>0.7973763852569391</x:v>
      </x:c>
      <x:c r="D558" s="131" t="n">
        <x:f>MOD(ABS(SIN((A558+3)*12.9898+78.233)*43758.5453),1)</x:f>
        <x:v>0.3187580564626842</x:v>
      </x:c>
      <x:c r="E558" s="131" t="n">
        <x:f>MOD(ABS(SIN((A558+4)*12.9898+78.233)*43758.5453),1)</x:f>
        <x:v>0.5889788338245125</x:v>
      </x:c>
      <x:c r="F558" s="131" t="n">
        <x:f>MOD(ABS(SIN((A558+5)*12.9898+78.233)*43758.5453),1)</x:f>
        <x:v>0.7955798089242307</x:v>
      </x:c>
      <x:c r="G558" s="132" t="n">
        <x:f>IF(B558&lt;(('Assumptions'!$C$47-'Assumptions'!$B$47)/('Assumptions'!$D$47-'Assumptions'!$B$47)),'Assumptions'!$B$47+SQRT(B558*('Assumptions'!$D$47-'Assumptions'!$B$47)*('Assumptions'!$C$47-'Assumptions'!$B$47)),'Assumptions'!$D$47-SQRT((1-B558)*('Assumptions'!$D$47-'Assumptions'!$B$47)*('Assumptions'!$D$47-'Assumptions'!$C$47)))</x:f>
        <x:v>0.04143060263918798</x:v>
      </x:c>
      <x:c r="H558" s="132" t="n">
        <x:f>IF(C558&lt;(('Assumptions'!$C$48-'Assumptions'!$B$48)/('Assumptions'!$D$48-'Assumptions'!$B$48)),'Assumptions'!$B$48+SQRT(C558*('Assumptions'!$D$48-'Assumptions'!$B$48)*('Assumptions'!$C$48-'Assumptions'!$B$48)),'Assumptions'!$D$48-SQRT((1-C558)*('Assumptions'!$D$48-'Assumptions'!$B$48)*('Assumptions'!$D$48-'Assumptions'!$C$48)))</x:f>
        <x:v>0.0977733755819988</x:v>
      </x:c>
      <x:c r="I558" s="132" t="n">
        <x:f>IF(D558&lt;(('Assumptions'!$C$49-'Assumptions'!$B$49)/('Assumptions'!$D$49-'Assumptions'!$B$49)),'Assumptions'!$B$49+SQRT(D558*('Assumptions'!$D$49-'Assumptions'!$B$49)*('Assumptions'!$C$49-'Assumptions'!$B$49)),'Assumptions'!$D$49-SQRT((1-D558)*('Assumptions'!$D$49-'Assumptions'!$B$49)*('Assumptions'!$D$49-'Assumptions'!$C$49)))</x:f>
        <x:v>0.028673563125116146</x:v>
      </x:c>
      <x:c r="J558" s="132" t="n">
        <x:f>IF(E558&lt;(('Assumptions'!$C$50-'Assumptions'!$B$50)/('Assumptions'!$D$50-'Assumptions'!$B$50)),'Assumptions'!$B$50+SQRT(E558*('Assumptions'!$D$50-'Assumptions'!$B$50)*('Assumptions'!$C$50-'Assumptions'!$B$50)),'Assumptions'!$D$50-SQRT((1-E558)*('Assumptions'!$D$50-'Assumptions'!$B$50)*('Assumptions'!$D$50-'Assumptions'!$C$50)))</x:f>
        <x:v>0.06924826976776036</x:v>
      </x:c>
      <x:c r="K558" s="132" t="n">
        <x:f>IF(F558&lt;(('Assumptions'!$C$51-'Assumptions'!$B$51)/('Assumptions'!$D$51-'Assumptions'!$B$51)),'Assumptions'!$B$51+SQRT(F558*('Assumptions'!$D$51-'Assumptions'!$B$51)*('Assumptions'!$C$51-'Assumptions'!$B$51)),'Assumptions'!$D$51-SQRT((1-F558)*('Assumptions'!$D$51-'Assumptions'!$B$51)*('Assumptions'!$D$51-'Assumptions'!$C$51)))</x:f>
        <x:v>0.07508147102866489</x:v>
      </x:c>
      <x:c r="L558" s="133" t="n">
        <x:f>(('Assumptions'!$B$17*(1+G558)+'Assumptions'!$B$18)*(1-H558-'Assumptions'!$B$20)-SUM('Assumptions'!$B$21:$B$25)*(1+I558))-(('Assumptions'!$B$17*(1+G558)+'Assumptions'!$B$18)*(1-H558-'Assumptions'!$B$20)*'Assumptions'!$B$26)</x:f>
        <x:v>206933.60073251018</x:v>
      </x:c>
      <x:c r="M558" s="133" t="n">
        <x:f>'Assumptions'!$B$10*'Assumptions'!$B$33</x:f>
        <x:v>1950000</x:v>
      </x:c>
      <x:c r="N558" s="133" t="n">
        <x:f>-PMT(K558/12,'Assumptions'!$B$35*12,M558)*12</x:f>
        <x:v>163746.7574781162</x:v>
      </x:c>
      <x:c r="O558" s="133" t="n">
        <x:f>(L558*(1+'Assumptions'!$B$29)^('Assumptions'!$B$14/12)/J558)*(1-'Assumptions'!$B$42)-'Debt Schedule'!$F$9</x:f>
        <x:v>3256387.396842751</x:v>
      </x:c>
      <x:c r="P558" s="132" t="n">
        <x:f>((O558+(L558-N558-'Assumptions'!$B$27-'Assumptions'!$B$28)*('Assumptions'!$B$14/12))/ABS('Monthly Cash Flow'!$S$5))^(1/('Assumptions'!$B$14/12))-1</x:f>
        <x:v>0.20379014947965857</x:v>
      </x:c>
      <x:c r="Q558" s="133" t="n">
        <x:f>-ABS('Monthly Cash Flow'!$S$5)+((L558-N558-'Assumptions'!$B$27-'Assumptions'!$B$28)*(1-(1+'Assumptions'!$B$43)^-('Assumptions'!$B$14/12))/'Assumptions'!$B$43)+(O558/(1+'Assumptions'!$B$43)^('Assumptions'!$B$14/12))</x:f>
        <x:v>739541.0140856938</x:v>
      </x:c>
    </x:row>
    <x:row r="559">
      <x:c r="A559" s="131" t="n">
        <x:f>552</x:f>
        <x:v>552</x:v>
      </x:c>
      <x:c r="B559" s="131" t="n">
        <x:f>MOD(ABS(SIN((A559+1)*12.9898+78.233)*43758.5453),1)</x:f>
        <x:v>0.7973763852569391</x:v>
      </x:c>
      <x:c r="C559" s="131" t="n">
        <x:f>MOD(ABS(SIN((A559+2)*12.9898+78.233)*43758.5453),1)</x:f>
        <x:v>0.3187580564626842</x:v>
      </x:c>
      <x:c r="D559" s="131" t="n">
        <x:f>MOD(ABS(SIN((A559+3)*12.9898+78.233)*43758.5453),1)</x:f>
        <x:v>0.5889788338245125</x:v>
      </x:c>
      <x:c r="E559" s="131" t="n">
        <x:f>MOD(ABS(SIN((A559+4)*12.9898+78.233)*43758.5453),1)</x:f>
        <x:v>0.7955798089242307</x:v>
      </x:c>
      <x:c r="F559" s="131" t="n">
        <x:f>MOD(ABS(SIN((A559+5)*12.9898+78.233)*43758.5453),1)</x:f>
        <x:v>0.7054908419231651</x:v>
      </x:c>
      <x:c r="G559" s="132" t="n">
        <x:f>IF(B559&lt;(('Assumptions'!$C$47-'Assumptions'!$B$47)/('Assumptions'!$D$47-'Assumptions'!$B$47)),'Assumptions'!$B$47+SQRT(B559*('Assumptions'!$D$47-'Assumptions'!$B$47)*('Assumptions'!$C$47-'Assumptions'!$B$47)),'Assumptions'!$D$47-SQRT((1-B559)*('Assumptions'!$D$47-'Assumptions'!$B$47)*('Assumptions'!$D$47-'Assumptions'!$C$47)))</x:f>
        <x:v>0.043061631250193216</x:v>
      </x:c>
      <x:c r="H559" s="132" t="n">
        <x:f>IF(C559&lt;(('Assumptions'!$C$48-'Assumptions'!$B$48)/('Assumptions'!$D$48-'Assumptions'!$B$48)),'Assumptions'!$B$48+SQRT(C559*('Assumptions'!$D$48-'Assumptions'!$B$48)*('Assumptions'!$C$48-'Assumptions'!$B$48)),'Assumptions'!$D$48-SQRT((1-C559)*('Assumptions'!$D$48-'Assumptions'!$B$48)*('Assumptions'!$D$48-'Assumptions'!$C$48)))</x:f>
        <x:v>0.0625730724932961</x:v>
      </x:c>
      <x:c r="I559" s="132" t="n">
        <x:f>IF(D559&lt;(('Assumptions'!$C$49-'Assumptions'!$B$49)/('Assumptions'!$D$49-'Assumptions'!$B$49)),'Assumptions'!$B$49+SQRT(D559*('Assumptions'!$D$49-'Assumptions'!$B$49)*('Assumptions'!$C$49-'Assumptions'!$B$49)),'Assumptions'!$D$49-SQRT((1-D559)*('Assumptions'!$D$49-'Assumptions'!$B$49)*('Assumptions'!$D$49-'Assumptions'!$C$49)))</x:f>
        <x:v>0.05577655711347346</x:v>
      </x:c>
      <x:c r="J559" s="132" t="n">
        <x:f>IF(E559&lt;(('Assumptions'!$C$50-'Assumptions'!$B$50)/('Assumptions'!$D$50-'Assumptions'!$B$50)),'Assumptions'!$B$50+SQRT(E559*('Assumptions'!$D$50-'Assumptions'!$B$50)*('Assumptions'!$C$50-'Assumptions'!$B$50)),'Assumptions'!$D$50-SQRT((1-E559)*('Assumptions'!$D$50-'Assumptions'!$B$50)*('Assumptions'!$D$50-'Assumptions'!$C$50)))</x:f>
        <x:v>0.07241757434984951</x:v>
      </x:c>
      <x:c r="K559" s="132" t="n">
        <x:f>IF(F559&lt;(('Assumptions'!$C$51-'Assumptions'!$B$51)/('Assumptions'!$D$51-'Assumptions'!$B$51)),'Assumptions'!$B$51+SQRT(F559*('Assumptions'!$D$51-'Assumptions'!$B$51)*('Assumptions'!$C$51-'Assumptions'!$B$51)),'Assumptions'!$D$51-SQRT((1-F559)*('Assumptions'!$D$51-'Assumptions'!$B$51)*('Assumptions'!$D$51-'Assumptions'!$C$51)))</x:f>
        <x:v>0.0730948526962294</x:v>
      </x:c>
      <x:c r="L559" s="133" t="n">
        <x:f>(('Assumptions'!$B$17*(1+G559)+'Assumptions'!$B$18)*(1-H559-'Assumptions'!$B$20)-SUM('Assumptions'!$B$21:$B$25)*(1+I559))-(('Assumptions'!$B$17*(1+G559)+'Assumptions'!$B$18)*(1-H559-'Assumptions'!$B$20)*'Assumptions'!$B$26)</x:f>
        <x:v>217318.89731266204</x:v>
      </x:c>
      <x:c r="M559" s="133" t="n">
        <x:f>'Assumptions'!$B$10*'Assumptions'!$B$33</x:f>
        <x:v>1950000</x:v>
      </x:c>
      <x:c r="N559" s="133" t="n">
        <x:f>-PMT(K559/12,'Assumptions'!$B$35*12,M559)*12</x:f>
        <x:v>160574.4622108569</x:v>
      </x:c>
      <x:c r="O559" s="133" t="n">
        <x:f>(L559*(1+'Assumptions'!$B$29)^('Assumptions'!$B$14/12)/J559)*(1-'Assumptions'!$B$42)-'Debt Schedule'!$F$9</x:f>
        <x:v>3270148.6597075337</x:v>
      </x:c>
      <x:c r="P559" s="132" t="n">
        <x:f>((O559+(L559-N559-'Assumptions'!$B$27-'Assumptions'!$B$28)*('Assumptions'!$B$14/12))/ABS('Monthly Cash Flow'!$S$5))^(1/('Assumptions'!$B$14/12))-1</x:f>
        <x:v>0.2097311276418612</x:v>
      </x:c>
      <x:c r="Q559" s="133" t="n">
        <x:f>-ABS('Monthly Cash Flow'!$S$5)+((L559-N559-'Assumptions'!$B$27-'Assumptions'!$B$28)*(1-(1+'Assumptions'!$B$43)^-('Assumptions'!$B$14/12))/'Assumptions'!$B$43)+(O559/(1+'Assumptions'!$B$43)^('Assumptions'!$B$14/12))</x:f>
        <x:v>799479.6154308654</x:v>
      </x:c>
    </x:row>
    <x:row r="560">
      <x:c r="A560" s="131" t="n">
        <x:f>553</x:f>
        <x:v>553</x:v>
      </x:c>
      <x:c r="B560" s="131" t="n">
        <x:f>MOD(ABS(SIN((A560+1)*12.9898+78.233)*43758.5453),1)</x:f>
        <x:v>0.3187580564626842</x:v>
      </x:c>
      <x:c r="C560" s="131" t="n">
        <x:f>MOD(ABS(SIN((A560+2)*12.9898+78.233)*43758.5453),1)</x:f>
        <x:v>0.5889788338245125</x:v>
      </x:c>
      <x:c r="D560" s="131" t="n">
        <x:f>MOD(ABS(SIN((A560+3)*12.9898+78.233)*43758.5453),1)</x:f>
        <x:v>0.7955798089242307</x:v>
      </x:c>
      <x:c r="E560" s="131" t="n">
        <x:f>MOD(ABS(SIN((A560+4)*12.9898+78.233)*43758.5453),1)</x:f>
        <x:v>0.7054908419231651</x:v>
      </x:c>
      <x:c r="F560" s="131" t="n">
        <x:f>MOD(ABS(SIN((A560+5)*12.9898+78.233)*43758.5453),1)</x:f>
        <x:v>0.979218771080923</x:v>
      </x:c>
      <x:c r="G560" s="132" t="n">
        <x:f>IF(B560&lt;(('Assumptions'!$C$47-'Assumptions'!$B$47)/('Assumptions'!$D$47-'Assumptions'!$B$47)),'Assumptions'!$B$47+SQRT(B560*('Assumptions'!$D$47-'Assumptions'!$B$47)*('Assumptions'!$C$47-'Assumptions'!$B$47)),'Assumptions'!$D$47-SQRT((1-B560)*('Assumptions'!$D$47-'Assumptions'!$B$47)*('Assumptions'!$D$47-'Assumptions'!$C$47)))</x:f>
        <x:v>-0.012534616246743527</x:v>
      </x:c>
      <x:c r="H560" s="132" t="n">
        <x:f>IF(C560&lt;(('Assumptions'!$C$48-'Assumptions'!$B$48)/('Assumptions'!$D$48-'Assumptions'!$B$48)),'Assumptions'!$B$48+SQRT(C560*('Assumptions'!$D$48-'Assumptions'!$B$48)*('Assumptions'!$C$48-'Assumptions'!$B$48)),'Assumptions'!$D$48-SQRT((1-C560)*('Assumptions'!$D$48-'Assumptions'!$B$48)*('Assumptions'!$D$48-'Assumptions'!$C$48)))</x:f>
        <x:v>0.07985861439620559</x:v>
      </x:c>
      <x:c r="I560" s="132" t="n">
        <x:f>IF(D560&lt;(('Assumptions'!$C$49-'Assumptions'!$B$49)/('Assumptions'!$D$49-'Assumptions'!$B$49)),'Assumptions'!$B$49+SQRT(D560*('Assumptions'!$D$49-'Assumptions'!$B$49)*('Assumptions'!$C$49-'Assumptions'!$B$49)),'Assumptions'!$D$49-SQRT((1-D560)*('Assumptions'!$D$49-'Assumptions'!$B$49)*('Assumptions'!$D$49-'Assumptions'!$C$49)))</x:f>
        <x:v>0.08355095089290882</x:v>
      </x:c>
      <x:c r="J560" s="132" t="n">
        <x:f>IF(E560&lt;(('Assumptions'!$C$50-'Assumptions'!$B$50)/('Assumptions'!$D$50-'Assumptions'!$B$50)),'Assumptions'!$B$50+SQRT(E560*('Assumptions'!$D$50-'Assumptions'!$B$50)*('Assumptions'!$C$50-'Assumptions'!$B$50)),'Assumptions'!$D$50-SQRT((1-E560)*('Assumptions'!$D$50-'Assumptions'!$B$50)*('Assumptions'!$D$50-'Assumptions'!$C$50)))</x:f>
        <x:v>0.07089886266947312</x:v>
      </x:c>
      <x:c r="K560" s="132" t="n">
        <x:f>IF(F560&lt;(('Assumptions'!$C$51-'Assumptions'!$B$51)/('Assumptions'!$D$51-'Assumptions'!$B$51)),'Assumptions'!$B$51+SQRT(F560*('Assumptions'!$D$51-'Assumptions'!$B$51)*('Assumptions'!$C$51-'Assumptions'!$B$51)),'Assumptions'!$D$51-SQRT((1-F560)*('Assumptions'!$D$51-'Assumptions'!$B$51)*('Assumptions'!$D$51-'Assumptions'!$C$51)))</x:f>
        <x:v>0.08183756953953043</x:v>
      </x:c>
      <x:c r="L560" s="133" t="n">
        <x:f>(('Assumptions'!$B$17*(1+G560)+'Assumptions'!$B$18)*(1-H560-'Assumptions'!$B$20)-SUM('Assumptions'!$B$21:$B$25)*(1+I560))-(('Assumptions'!$B$17*(1+G560)+'Assumptions'!$B$18)*(1-H560-'Assumptions'!$B$20)*'Assumptions'!$B$26)</x:f>
        <x:v>189801.98704700518</x:v>
      </x:c>
      <x:c r="M560" s="133" t="n">
        <x:f>'Assumptions'!$B$10*'Assumptions'!$B$33</x:f>
        <x:v>1950000</x:v>
      </x:c>
      <x:c r="N560" s="133" t="n">
        <x:f>-PMT(K560/12,'Assumptions'!$B$35*12,M560)*12</x:f>
        <x:v>174707.85122230745</x:v>
      </x:c>
      <x:c r="O560" s="133" t="n">
        <x:f>(L560*(1+'Assumptions'!$B$29)^('Assumptions'!$B$14/12)/J560)*(1-'Assumptions'!$B$42)-'Debt Schedule'!$F$9</x:f>
        <x:v>2917262.191191952</x:v>
      </x:c>
      <x:c r="P560" s="132" t="n">
        <x:f>((O560+(L560-N560-'Assumptions'!$B$27-'Assumptions'!$B$28)*('Assumptions'!$B$14/12))/ABS('Monthly Cash Flow'!$S$5))^(1/('Assumptions'!$B$14/12))-1</x:f>
        <x:v>0.16623338192295245</x:v>
      </x:c>
      <x:c r="Q560" s="133" t="n">
        <x:f>-ABS('Monthly Cash Flow'!$S$5)+((L560-N560-'Assumptions'!$B$27-'Assumptions'!$B$28)*(1-(1+'Assumptions'!$B$43)^-('Assumptions'!$B$14/12))/'Assumptions'!$B$43)+(O560/(1+'Assumptions'!$B$43)^('Assumptions'!$B$14/12))</x:f>
        <x:v>422477.47906893655</x:v>
      </x:c>
    </x:row>
    <x:row r="561">
      <x:c r="A561" s="131" t="n">
        <x:f>554</x:f>
        <x:v>554</x:v>
      </x:c>
      <x:c r="B561" s="131" t="n">
        <x:f>MOD(ABS(SIN((A561+1)*12.9898+78.233)*43758.5453),1)</x:f>
        <x:v>0.5889788338245125</x:v>
      </x:c>
      <x:c r="C561" s="131" t="n">
        <x:f>MOD(ABS(SIN((A561+2)*12.9898+78.233)*43758.5453),1)</x:f>
        <x:v>0.7955798089242307</x:v>
      </x:c>
      <x:c r="D561" s="131" t="n">
        <x:f>MOD(ABS(SIN((A561+3)*12.9898+78.233)*43758.5453),1)</x:f>
        <x:v>0.7054908419231651</x:v>
      </x:c>
      <x:c r="E561" s="131" t="n">
        <x:f>MOD(ABS(SIN((A561+4)*12.9898+78.233)*43758.5453),1)</x:f>
        <x:v>0.979218771080923</x:v>
      </x:c>
      <x:c r="F561" s="131" t="n">
        <x:f>MOD(ABS(SIN((A561+5)*12.9898+78.233)*43758.5453),1)</x:f>
        <x:v>0.7698838788492139</x:v>
      </x:c>
      <x:c r="G561" s="132" t="n">
        <x:f>IF(B561&lt;(('Assumptions'!$C$47-'Assumptions'!$B$47)/('Assumptions'!$D$47-'Assumptions'!$B$47)),'Assumptions'!$B$47+SQRT(B561*('Assumptions'!$D$47-'Assumptions'!$B$47)*('Assumptions'!$C$47-'Assumptions'!$B$47)),'Assumptions'!$D$47-SQRT((1-B561)*('Assumptions'!$D$47-'Assumptions'!$B$47)*('Assumptions'!$D$47-'Assumptions'!$C$47)))</x:f>
        <x:v>0.01889277527162153</x:v>
      </x:c>
      <x:c r="H561" s="132" t="n">
        <x:f>IF(C561&lt;(('Assumptions'!$C$48-'Assumptions'!$B$48)/('Assumptions'!$D$48-'Assumptions'!$B$48)),'Assumptions'!$B$48+SQRT(C561*('Assumptions'!$D$48-'Assumptions'!$B$48)*('Assumptions'!$C$48-'Assumptions'!$B$48)),'Assumptions'!$D$48-SQRT((1-C561)*('Assumptions'!$D$48-'Assumptions'!$B$48)*('Assumptions'!$D$48-'Assumptions'!$C$48)))</x:f>
        <x:v>0.09758658606682588</x:v>
      </x:c>
      <x:c r="I561" s="132" t="n">
        <x:f>IF(D561&lt;(('Assumptions'!$C$49-'Assumptions'!$B$49)/('Assumptions'!$D$49-'Assumptions'!$B$49)),'Assumptions'!$B$49+SQRT(D561*('Assumptions'!$D$49-'Assumptions'!$B$49)*('Assumptions'!$C$49-'Assumptions'!$B$49)),'Assumptions'!$D$49-SQRT((1-D561)*('Assumptions'!$D$49-'Assumptions'!$B$49)*('Assumptions'!$D$49-'Assumptions'!$C$49)))</x:f>
        <x:v>0.0702416285618893</x:v>
      </x:c>
      <x:c r="J561" s="132" t="n">
        <x:f>IF(E561&lt;(('Assumptions'!$C$50-'Assumptions'!$B$50)/('Assumptions'!$D$50-'Assumptions'!$B$50)),'Assumptions'!$B$50+SQRT(E561*('Assumptions'!$D$50-'Assumptions'!$B$50)*('Assumptions'!$C$50-'Assumptions'!$B$50)),'Assumptions'!$D$50-SQRT((1-E561)*('Assumptions'!$D$50-'Assumptions'!$B$50)*('Assumptions'!$D$50-'Assumptions'!$C$50)))</x:f>
        <x:v>0.07758241429655734</x:v>
      </x:c>
      <x:c r="K561" s="132" t="n">
        <x:f>IF(F561&lt;(('Assumptions'!$C$51-'Assumptions'!$B$51)/('Assumptions'!$D$51-'Assumptions'!$B$51)),'Assumptions'!$B$51+SQRT(F561*('Assumptions'!$D$51-'Assumptions'!$B$51)*('Assumptions'!$C$51-'Assumptions'!$B$51)),'Assumptions'!$D$51-SQRT((1-F561)*('Assumptions'!$D$51-'Assumptions'!$B$51)*('Assumptions'!$D$51-'Assumptions'!$C$51)))</x:f>
        <x:v>0.07447653178349382</x:v>
      </x:c>
      <x:c r="L561" s="133" t="n">
        <x:f>(('Assumptions'!$B$17*(1+G561)+'Assumptions'!$B$18)*(1-H561-'Assumptions'!$B$20)-SUM('Assumptions'!$B$21:$B$25)*(1+I561))-(('Assumptions'!$B$17*(1+G561)+'Assumptions'!$B$18)*(1-H561-'Assumptions'!$B$20)*'Assumptions'!$B$26)</x:f>
        <x:v>194815.40784611236</x:v>
      </x:c>
      <x:c r="M561" s="133" t="n">
        <x:f>'Assumptions'!$B$10*'Assumptions'!$B$33</x:f>
        <x:v>1950000</x:v>
      </x:c>
      <x:c r="N561" s="133" t="n">
        <x:f>-PMT(K561/12,'Assumptions'!$B$35*12,M561)*12</x:f>
        <x:v>162778.25135233637</x:v>
      </x:c>
      <x:c r="O561" s="133" t="n">
        <x:f>(L561*(1+'Assumptions'!$B$29)^('Assumptions'!$B$14/12)/J561)*(1-'Assumptions'!$B$42)-'Debt Schedule'!$F$9</x:f>
        <x:v>2736364.760231347</x:v>
      </x:c>
      <x:c r="P561" s="132" t="n">
        <x:f>((O561+(L561-N561-'Assumptions'!$B$27-'Assumptions'!$B$28)*('Assumptions'!$B$14/12))/ABS('Monthly Cash Flow'!$S$5))^(1/('Assumptions'!$B$14/12))-1</x:f>
        <x:v>0.15808730803130255</x:v>
      </x:c>
      <x:c r="Q561" s="133" t="n">
        <x:f>-ABS('Monthly Cash Flow'!$S$5)+((L561-N561-'Assumptions'!$B$27-'Assumptions'!$B$28)*(1-(1+'Assumptions'!$B$43)^-('Assumptions'!$B$14/12))/'Assumptions'!$B$43)+(O561/(1+'Assumptions'!$B$43)^('Assumptions'!$B$14/12))</x:f>
        <x:v>374381.7854850311</x:v>
      </x:c>
    </x:row>
    <x:row r="562">
      <x:c r="A562" s="131" t="n">
        <x:f>555</x:f>
        <x:v>555</x:v>
      </x:c>
      <x:c r="B562" s="131" t="n">
        <x:f>MOD(ABS(SIN((A562+1)*12.9898+78.233)*43758.5453),1)</x:f>
        <x:v>0.7955798089242307</x:v>
      </x:c>
      <x:c r="C562" s="131" t="n">
        <x:f>MOD(ABS(SIN((A562+2)*12.9898+78.233)*43758.5453),1)</x:f>
        <x:v>0.7054908419231651</x:v>
      </x:c>
      <x:c r="D562" s="131" t="n">
        <x:f>MOD(ABS(SIN((A562+3)*12.9898+78.233)*43758.5453),1)</x:f>
        <x:v>0.979218771080923</x:v>
      </x:c>
      <x:c r="E562" s="131" t="n">
        <x:f>MOD(ABS(SIN((A562+4)*12.9898+78.233)*43758.5453),1)</x:f>
        <x:v>0.7698838788492139</x:v>
      </x:c>
      <x:c r="F562" s="131" t="n">
        <x:f>MOD(ABS(SIN((A562+5)*12.9898+78.233)*43758.5453),1)</x:f>
        <x:v>0.8715708946037921</x:v>
      </x:c>
      <x:c r="G562" s="132" t="n">
        <x:f>IF(B562&lt;(('Assumptions'!$C$47-'Assumptions'!$B$47)/('Assumptions'!$D$47-'Assumptions'!$B$47)),'Assumptions'!$B$47+SQRT(B562*('Assumptions'!$D$47-'Assumptions'!$B$47)*('Assumptions'!$C$47-'Assumptions'!$B$47)),'Assumptions'!$D$47-SQRT((1-B562)*('Assumptions'!$D$47-'Assumptions'!$B$47)*('Assumptions'!$D$47-'Assumptions'!$C$47)))</x:f>
        <x:v>0.0428097643193149</x:v>
      </x:c>
      <x:c r="H562" s="132" t="n">
        <x:f>IF(C562&lt;(('Assumptions'!$C$48-'Assumptions'!$B$48)/('Assumptions'!$D$48-'Assumptions'!$B$48)),'Assumptions'!$B$48+SQRT(C562*('Assumptions'!$D$48-'Assumptions'!$B$48)*('Assumptions'!$C$48-'Assumptions'!$B$48)),'Assumptions'!$D$48-SQRT((1-C562)*('Assumptions'!$D$48-'Assumptions'!$B$48)*('Assumptions'!$D$48-'Assumptions'!$C$48)))</x:f>
        <x:v>0.08909144874310264</x:v>
      </x:c>
      <x:c r="I562" s="132" t="n">
        <x:f>IF(D562&lt;(('Assumptions'!$C$49-'Assumptions'!$B$49)/('Assumptions'!$D$49-'Assumptions'!$B$49)),'Assumptions'!$B$49+SQRT(D562*('Assumptions'!$D$49-'Assumptions'!$B$49)*('Assumptions'!$C$49-'Assumptions'!$B$49)),'Assumptions'!$D$49-SQRT((1-D562)*('Assumptions'!$D$49-'Assumptions'!$B$49)*('Assumptions'!$D$49-'Assumptions'!$C$49)))</x:f>
        <x:v>0.12881334040835926</x:v>
      </x:c>
      <x:c r="J562" s="132" t="n">
        <x:f>IF(E562&lt;(('Assumptions'!$C$50-'Assumptions'!$B$50)/('Assumptions'!$D$50-'Assumptions'!$B$50)),'Assumptions'!$B$50+SQRT(E562*('Assumptions'!$D$50-'Assumptions'!$B$50)*('Assumptions'!$C$50-'Assumptions'!$B$50)),'Assumptions'!$D$50-SQRT((1-E562)*('Assumptions'!$D$50-'Assumptions'!$B$50)*('Assumptions'!$D$50-'Assumptions'!$C$50)))</x:f>
        <x:v>0.07195511596891176</x:v>
      </x:c>
      <x:c r="K562" s="132" t="n">
        <x:f>IF(F562&lt;(('Assumptions'!$C$51-'Assumptions'!$B$51)/('Assumptions'!$D$51-'Assumptions'!$B$51)),'Assumptions'!$B$51+SQRT(F562*('Assumptions'!$D$51-'Assumptions'!$B$51)*('Assumptions'!$C$51-'Assumptions'!$B$51)),'Assumptions'!$D$51-SQRT((1-F562)*('Assumptions'!$D$51-'Assumptions'!$B$51)*('Assumptions'!$D$51-'Assumptions'!$C$51)))</x:f>
        <x:v>0.07713828854689228</x:v>
      </x:c>
      <x:c r="L562" s="133" t="n">
        <x:f>(('Assumptions'!$B$17*(1+G562)+'Assumptions'!$B$18)*(1-H562-'Assumptions'!$B$20)-SUM('Assumptions'!$B$21:$B$25)*(1+I562))-(('Assumptions'!$B$17*(1+G562)+'Assumptions'!$B$18)*(1-H562-'Assumptions'!$B$20)*'Assumptions'!$B$26)</x:f>
        <x:v>198020.2053479355</x:v>
      </x:c>
      <x:c r="M562" s="133" t="n">
        <x:f>'Assumptions'!$B$10*'Assumptions'!$B$33</x:f>
        <x:v>1950000</x:v>
      </x:c>
      <x:c r="N562" s="133" t="n">
        <x:f>-PMT(K562/12,'Assumptions'!$B$35*12,M562)*12</x:f>
        <x:v>167055.9501634975</x:v>
      </x:c>
      <x:c r="O562" s="133" t="n">
        <x:f>(L562*(1+'Assumptions'!$B$29)^('Assumptions'!$B$14/12)/J562)*(1-'Assumptions'!$B$42)-'Debt Schedule'!$F$9</x:f>
        <x:v>2998898.7708088593</x:v>
      </x:c>
      <x:c r="P562" s="132" t="n">
        <x:f>((O562+(L562-N562-'Assumptions'!$B$27-'Assumptions'!$B$28)*('Assumptions'!$B$14/12))/ABS('Monthly Cash Flow'!$S$5))^(1/('Assumptions'!$B$14/12))-1</x:f>
        <x:v>0.17937917565416828</x:v>
      </x:c>
      <x:c r="Q562" s="133" t="n">
        <x:f>-ABS('Monthly Cash Flow'!$S$5)+((L562-N562-'Assumptions'!$B$27-'Assumptions'!$B$28)*(1-(1+'Assumptions'!$B$43)^-('Assumptions'!$B$14/12))/'Assumptions'!$B$43)+(O562/(1+'Assumptions'!$B$43)^('Assumptions'!$B$14/12))</x:f>
        <x:v>533327.6105925268</x:v>
      </x:c>
    </x:row>
    <x:row r="563">
      <x:c r="A563" s="131" t="n">
        <x:f>556</x:f>
        <x:v>556</x:v>
      </x:c>
      <x:c r="B563" s="131" t="n">
        <x:f>MOD(ABS(SIN((A563+1)*12.9898+78.233)*43758.5453),1)</x:f>
        <x:v>0.7054908419231651</x:v>
      </x:c>
      <x:c r="C563" s="131" t="n">
        <x:f>MOD(ABS(SIN((A563+2)*12.9898+78.233)*43758.5453),1)</x:f>
        <x:v>0.979218771080923</x:v>
      </x:c>
      <x:c r="D563" s="131" t="n">
        <x:f>MOD(ABS(SIN((A563+3)*12.9898+78.233)*43758.5453),1)</x:f>
        <x:v>0.7698838788492139</x:v>
      </x:c>
      <x:c r="E563" s="131" t="n">
        <x:f>MOD(ABS(SIN((A563+4)*12.9898+78.233)*43758.5453),1)</x:f>
        <x:v>0.8715708946037921</x:v>
      </x:c>
      <x:c r="F563" s="131" t="n">
        <x:f>MOD(ABS(SIN((A563+5)*12.9898+78.233)*43758.5453),1)</x:f>
        <x:v>0.5847424862004118</x:v>
      </x:c>
      <x:c r="G563" s="132" t="n">
        <x:f>IF(B563&lt;(('Assumptions'!$C$47-'Assumptions'!$B$47)/('Assumptions'!$D$47-'Assumptions'!$B$47)),'Assumptions'!$B$47+SQRT(B563*('Assumptions'!$D$47-'Assumptions'!$B$47)*('Assumptions'!$C$47-'Assumptions'!$B$47)),'Assumptions'!$D$47-SQRT((1-B563)*('Assumptions'!$D$47-'Assumptions'!$B$47)*('Assumptions'!$D$47-'Assumptions'!$C$47)))</x:f>
        <x:v>0.031354923488793776</x:v>
      </x:c>
      <x:c r="H563" s="132" t="n">
        <x:f>IF(C563&lt;(('Assumptions'!$C$48-'Assumptions'!$B$48)/('Assumptions'!$D$48-'Assumptions'!$B$48)),'Assumptions'!$B$48+SQRT(C563*('Assumptions'!$D$48-'Assumptions'!$B$48)*('Assumptions'!$C$48-'Assumptions'!$B$48)),'Assumptions'!$D$48-SQRT((1-C563)*('Assumptions'!$D$48-'Assumptions'!$B$48)*('Assumptions'!$D$48-'Assumptions'!$C$48)))</x:f>
        <x:v>0.12647687852277156</x:v>
      </x:c>
      <x:c r="I563" s="132" t="n">
        <x:f>IF(D563&lt;(('Assumptions'!$C$49-'Assumptions'!$B$49)/('Assumptions'!$D$49-'Assumptions'!$B$49)),'Assumptions'!$B$49+SQRT(D563*('Assumptions'!$D$49-'Assumptions'!$B$49)*('Assumptions'!$C$49-'Assumptions'!$B$49)),'Assumptions'!$D$49-SQRT((1-D563)*('Assumptions'!$D$49-'Assumptions'!$B$49)*('Assumptions'!$D$49-'Assumptions'!$C$49)))</x:f>
        <x:v>0.07949816869855805</x:v>
      </x:c>
      <x:c r="J563" s="132" t="n">
        <x:f>IF(E563&lt;(('Assumptions'!$C$50-'Assumptions'!$B$50)/('Assumptions'!$D$50-'Assumptions'!$B$50)),'Assumptions'!$B$50+SQRT(E563*('Assumptions'!$D$50-'Assumptions'!$B$50)*('Assumptions'!$C$50-'Assumptions'!$B$50)),'Assumptions'!$D$50-SQRT((1-E563)*('Assumptions'!$D$50-'Assumptions'!$B$50)*('Assumptions'!$D$50-'Assumptions'!$C$50)))</x:f>
        <x:v>0.07398995125704597</x:v>
      </x:c>
      <x:c r="K563" s="132" t="n">
        <x:f>IF(F563&lt;(('Assumptions'!$C$51-'Assumptions'!$B$51)/('Assumptions'!$D$51-'Assumptions'!$B$51)),'Assumptions'!$B$51+SQRT(F563*('Assumptions'!$D$51-'Assumptions'!$B$51)*('Assumptions'!$C$51-'Assumptions'!$B$51)),'Assumptions'!$D$51-SQRT((1-F563)*('Assumptions'!$D$51-'Assumptions'!$B$51)*('Assumptions'!$D$51-'Assumptions'!$C$51)))</x:f>
        <x:v>0.07086342762491375</x:v>
      </x:c>
      <x:c r="L563" s="133" t="n">
        <x:f>(('Assumptions'!$B$17*(1+G563)+'Assumptions'!$B$18)*(1-H563-'Assumptions'!$B$20)-SUM('Assumptions'!$B$21:$B$25)*(1+I563))-(('Assumptions'!$B$17*(1+G563)+'Assumptions'!$B$18)*(1-H563-'Assumptions'!$B$20)*'Assumptions'!$B$26)</x:f>
        <x:v>186695.86347111053</x:v>
      </x:c>
      <x:c r="M563" s="133" t="n">
        <x:f>'Assumptions'!$B$10*'Assumptions'!$B$33</x:f>
        <x:v>1950000</x:v>
      </x:c>
      <x:c r="N563" s="133" t="n">
        <x:f>-PMT(K563/12,'Assumptions'!$B$35*12,M563)*12</x:f>
        <x:v>157040.04755282734</x:v>
      </x:c>
      <x:c r="O563" s="133" t="n">
        <x:f>(L563*(1+'Assumptions'!$B$29)^('Assumptions'!$B$14/12)/J563)*(1-'Assumptions'!$B$42)-'Debt Schedule'!$F$9</x:f>
        <x:v>2749640.598305845</x:v>
      </x:c>
      <x:c r="P563" s="132" t="n">
        <x:f>((O563+(L563-N563-'Assumptions'!$B$27-'Assumptions'!$B$28)*('Assumptions'!$B$14/12))/ABS('Monthly Cash Flow'!$S$5))^(1/('Assumptions'!$B$14/12))-1</x:f>
        <x:v>0.1582048846274564</x:v>
      </x:c>
      <x:c r="Q563" s="133" t="n">
        <x:f>-ABS('Monthly Cash Flow'!$S$5)+((L563-N563-'Assumptions'!$B$27-'Assumptions'!$B$28)*(1-(1+'Assumptions'!$B$43)^-('Assumptions'!$B$14/12))/'Assumptions'!$B$43)+(O563/(1+'Assumptions'!$B$43)^('Assumptions'!$B$14/12))</x:f>
        <x:v>373597.88207993424</x:v>
      </x:c>
    </x:row>
    <x:row r="564">
      <x:c r="A564" s="131" t="n">
        <x:f>557</x:f>
        <x:v>557</x:v>
      </x:c>
      <x:c r="B564" s="131" t="n">
        <x:f>MOD(ABS(SIN((A564+1)*12.9898+78.233)*43758.5453),1)</x:f>
        <x:v>0.979218771080923</x:v>
      </x:c>
      <x:c r="C564" s="131" t="n">
        <x:f>MOD(ABS(SIN((A564+2)*12.9898+78.233)*43758.5453),1)</x:f>
        <x:v>0.7698838788492139</x:v>
      </x:c>
      <x:c r="D564" s="131" t="n">
        <x:f>MOD(ABS(SIN((A564+3)*12.9898+78.233)*43758.5453),1)</x:f>
        <x:v>0.8715708946037921</x:v>
      </x:c>
      <x:c r="E564" s="131" t="n">
        <x:f>MOD(ABS(SIN((A564+4)*12.9898+78.233)*43758.5453),1)</x:f>
        <x:v>0.5847424862004118</x:v>
      </x:c>
      <x:c r="F564" s="131" t="n">
        <x:f>MOD(ABS(SIN((A564+5)*12.9898+78.233)*43758.5453),1)</x:f>
        <x:v>0.7153345191618428</x:v>
      </x:c>
      <x:c r="G564" s="132" t="n">
        <x:f>IF(B564&lt;(('Assumptions'!$C$47-'Assumptions'!$B$47)/('Assumptions'!$D$47-'Assumptions'!$B$47)),'Assumptions'!$B$47+SQRT(B564*('Assumptions'!$D$47-'Assumptions'!$B$47)*('Assumptions'!$C$47-'Assumptions'!$B$47)),'Assumptions'!$D$47-SQRT((1-B564)*('Assumptions'!$D$47-'Assumptions'!$B$47)*('Assumptions'!$D$47-'Assumptions'!$C$47)))</x:f>
        <x:v>0.08176542671995773</x:v>
      </x:c>
      <x:c r="H564" s="132" t="n">
        <x:f>IF(C564&lt;(('Assumptions'!$C$48-'Assumptions'!$B$48)/('Assumptions'!$D$48-'Assumptions'!$B$48)),'Assumptions'!$B$48+SQRT(C564*('Assumptions'!$D$48-'Assumptions'!$B$48)*('Assumptions'!$C$48-'Assumptions'!$B$48)),'Assumptions'!$D$48-SQRT((1-C564)*('Assumptions'!$D$48-'Assumptions'!$B$48)*('Assumptions'!$D$48-'Assumptions'!$C$48)))</x:f>
        <x:v>0.09499975704369013</x:v>
      </x:c>
      <x:c r="I564" s="132" t="n">
        <x:f>IF(D564&lt;(('Assumptions'!$C$49-'Assumptions'!$B$49)/('Assumptions'!$D$49-'Assumptions'!$B$49)),'Assumptions'!$B$49+SQRT(D564*('Assumptions'!$D$49-'Assumptions'!$B$49)*('Assumptions'!$C$49-'Assumptions'!$B$49)),'Assumptions'!$D$49-SQRT((1-D564)*('Assumptions'!$D$49-'Assumptions'!$B$49)*('Assumptions'!$D$49-'Assumptions'!$C$49)))</x:f>
        <x:v>0.09733057170845605</x:v>
      </x:c>
      <x:c r="J564" s="132" t="n">
        <x:f>IF(E564&lt;(('Assumptions'!$C$50-'Assumptions'!$B$50)/('Assumptions'!$D$50-'Assumptions'!$B$50)),'Assumptions'!$B$50+SQRT(E564*('Assumptions'!$D$50-'Assumptions'!$B$50)*('Assumptions'!$C$50-'Assumptions'!$B$50)),'Assumptions'!$D$50-SQRT((1-E564)*('Assumptions'!$D$50-'Assumptions'!$B$50)*('Assumptions'!$D$50-'Assumptions'!$C$50)))</x:f>
        <x:v>0.06919300338872385</x:v>
      </x:c>
      <x:c r="K564" s="132" t="n">
        <x:f>IF(F564&lt;(('Assumptions'!$C$51-'Assumptions'!$B$51)/('Assumptions'!$D$51-'Assumptions'!$B$51)),'Assumptions'!$B$51+SQRT(F564*('Assumptions'!$D$51-'Assumptions'!$B$51)*('Assumptions'!$C$51-'Assumptions'!$B$51)),'Assumptions'!$D$51-SQRT((1-F564)*('Assumptions'!$D$51-'Assumptions'!$B$51)*('Assumptions'!$D$51-'Assumptions'!$C$51)))</x:f>
        <x:v>0.07329550246044868</x:v>
      </x:c>
      <x:c r="L564" s="133" t="n">
        <x:f>(('Assumptions'!$B$17*(1+G564)+'Assumptions'!$B$18)*(1-H564-'Assumptions'!$B$20)-SUM('Assumptions'!$B$21:$B$25)*(1+I564))-(('Assumptions'!$B$17*(1+G564)+'Assumptions'!$B$18)*(1-H564-'Assumptions'!$B$20)*'Assumptions'!$B$26)</x:f>
        <x:v>211805.07066381516</x:v>
      </x:c>
      <x:c r="M564" s="133" t="n">
        <x:f>'Assumptions'!$B$10*'Assumptions'!$B$33</x:f>
        <x:v>1950000</x:v>
      </x:c>
      <x:c r="N564" s="133" t="n">
        <x:f>-PMT(K564/12,'Assumptions'!$B$35*12,M564)*12</x:f>
        <x:v>160893.78052620398</x:v>
      </x:c>
      <x:c r="O564" s="133" t="n">
        <x:f>(L564*(1+'Assumptions'!$B$29)^('Assumptions'!$B$14/12)/J564)*(1-'Assumptions'!$B$42)-'Debt Schedule'!$F$9</x:f>
        <x:v>3335708.9342634887</x:v>
      </x:c>
      <x:c r="P564" s="132" t="n">
        <x:f>((O564+(L564-N564-'Assumptions'!$B$27-'Assumptions'!$B$28)*('Assumptions'!$B$14/12))/ABS('Monthly Cash Flow'!$S$5))^(1/('Assumptions'!$B$14/12))-1</x:f>
        <x:v>0.2123452860488364</x:v>
      </x:c>
      <x:c r="Q564" s="133" t="n">
        <x:f>-ABS('Monthly Cash Flow'!$S$5)+((L564-N564-'Assumptions'!$B$27-'Assumptions'!$B$28)*(1-(1+'Assumptions'!$B$43)^-('Assumptions'!$B$14/12))/'Assumptions'!$B$43)+(O564/(1+'Assumptions'!$B$43)^('Assumptions'!$B$14/12))</x:f>
        <x:v>818075.1790939628</x:v>
      </x:c>
    </x:row>
    <x:row r="565">
      <x:c r="A565" s="131" t="n">
        <x:f>558</x:f>
        <x:v>558</x:v>
      </x:c>
      <x:c r="B565" s="131" t="n">
        <x:f>MOD(ABS(SIN((A565+1)*12.9898+78.233)*43758.5453),1)</x:f>
        <x:v>0.7698838788492139</x:v>
      </x:c>
      <x:c r="C565" s="131" t="n">
        <x:f>MOD(ABS(SIN((A565+2)*12.9898+78.233)*43758.5453),1)</x:f>
        <x:v>0.8715708946037921</x:v>
      </x:c>
      <x:c r="D565" s="131" t="n">
        <x:f>MOD(ABS(SIN((A565+3)*12.9898+78.233)*43758.5453),1)</x:f>
        <x:v>0.5847424862004118</x:v>
      </x:c>
      <x:c r="E565" s="131" t="n">
        <x:f>MOD(ABS(SIN((A565+4)*12.9898+78.233)*43758.5453),1)</x:f>
        <x:v>0.7153345191618428</x:v>
      </x:c>
      <x:c r="F565" s="131" t="n">
        <x:f>MOD(ABS(SIN((A565+5)*12.9898+78.233)*43758.5453),1)</x:f>
        <x:v>0.7526038997420983</x:v>
      </x:c>
      <x:c r="G565" s="132" t="n">
        <x:f>IF(B565&lt;(('Assumptions'!$C$47-'Assumptions'!$B$47)/('Assumptions'!$D$47-'Assumptions'!$B$47)),'Assumptions'!$B$47+SQRT(B565*('Assumptions'!$D$47-'Assumptions'!$B$47)*('Assumptions'!$C$47-'Assumptions'!$B$47)),'Assumptions'!$D$47-SQRT((1-B565)*('Assumptions'!$D$47-'Assumptions'!$B$47)*('Assumptions'!$D$47-'Assumptions'!$C$47)))</x:f>
        <x:v>0.0393216847760868</x:v>
      </x:c>
      <x:c r="H565" s="132" t="n">
        <x:f>IF(C565&lt;(('Assumptions'!$C$48-'Assumptions'!$B$48)/('Assumptions'!$D$48-'Assumptions'!$B$48)),'Assumptions'!$B$48+SQRT(C565*('Assumptions'!$D$48-'Assumptions'!$B$48)*('Assumptions'!$C$48-'Assumptions'!$B$48)),'Assumptions'!$D$48-SQRT((1-C565)*('Assumptions'!$D$48-'Assumptions'!$B$48)*('Assumptions'!$D$48-'Assumptions'!$C$48)))</x:f>
        <x:v>0.10638190773576482</x:v>
      </x:c>
      <x:c r="I565" s="132" t="n">
        <x:f>IF(D565&lt;(('Assumptions'!$C$49-'Assumptions'!$B$49)/('Assumptions'!$D$49-'Assumptions'!$B$49)),'Assumptions'!$B$49+SQRT(D565*('Assumptions'!$D$49-'Assumptions'!$B$49)*('Assumptions'!$C$49-'Assumptions'!$B$49)),'Assumptions'!$D$49-SQRT((1-D565)*('Assumptions'!$D$49-'Assumptions'!$B$49)*('Assumptions'!$D$49-'Assumptions'!$C$49)))</x:f>
        <x:v>0.055292226833954614</x:v>
      </x:c>
      <x:c r="J565" s="132" t="n">
        <x:f>IF(E565&lt;(('Assumptions'!$C$50-'Assumptions'!$B$50)/('Assumptions'!$D$50-'Assumptions'!$B$50)),'Assumptions'!$B$50+SQRT(E565*('Assumptions'!$D$50-'Assumptions'!$B$50)*('Assumptions'!$C$50-'Assumptions'!$B$50)),'Assumptions'!$D$50-SQRT((1-E565)*('Assumptions'!$D$50-'Assumptions'!$B$50)*('Assumptions'!$D$50-'Assumptions'!$C$50)))</x:f>
        <x:v>0.0710522535526686</x:v>
      </x:c>
      <x:c r="K565" s="132" t="n">
        <x:f>IF(F565&lt;(('Assumptions'!$C$51-'Assumptions'!$B$51)/('Assumptions'!$D$51-'Assumptions'!$B$51)),'Assumptions'!$B$51+SQRT(F565*('Assumptions'!$D$51-'Assumptions'!$B$51)*('Assumptions'!$C$51-'Assumptions'!$B$51)),'Assumptions'!$D$51-SQRT((1-F565)*('Assumptions'!$D$51-'Assumptions'!$B$51)*('Assumptions'!$D$51-'Assumptions'!$C$51)))</x:f>
        <x:v>0.07408856685631465</x:v>
      </x:c>
      <x:c r="L565" s="133" t="n">
        <x:f>(('Assumptions'!$B$17*(1+G565)+'Assumptions'!$B$18)*(1-H565-'Assumptions'!$B$20)-SUM('Assumptions'!$B$21:$B$25)*(1+I565))-(('Assumptions'!$B$17*(1+G565)+'Assumptions'!$B$18)*(1-H565-'Assumptions'!$B$20)*'Assumptions'!$B$26)</x:f>
        <x:v>199688.50642084848</x:v>
      </x:c>
      <x:c r="M565" s="133" t="n">
        <x:f>'Assumptions'!$B$10*'Assumptions'!$B$33</x:f>
        <x:v>1950000</x:v>
      </x:c>
      <x:c r="N565" s="133" t="n">
        <x:f>-PMT(K565/12,'Assumptions'!$B$35*12,M565)*12</x:f>
        <x:v>162158.27718183174</x:v>
      </x:c>
      <x:c r="O565" s="133" t="n">
        <x:f>(L565*(1+'Assumptions'!$B$29)^('Assumptions'!$B$14/12)/J565)*(1-'Assumptions'!$B$42)-'Debt Schedule'!$F$9</x:f>
        <x:v>3062592.3182339817</x:v>
      </x:c>
      <x:c r="P565" s="132" t="n">
        <x:f>((O565+(L565-N565-'Assumptions'!$B$27-'Assumptions'!$B$28)*('Assumptions'!$B$14/12))/ABS('Monthly Cash Flow'!$S$5))^(1/('Assumptions'!$B$14/12))-1</x:f>
        <x:v>0.1869884418786525</x:v>
      </x:c>
      <x:c r="Q565" s="133" t="n">
        <x:f>-ABS('Monthly Cash Flow'!$S$5)+((L565-N565-'Assumptions'!$B$27-'Assumptions'!$B$28)*(1-(1+'Assumptions'!$B$43)^-('Assumptions'!$B$14/12))/'Assumptions'!$B$43)+(O565/(1+'Assumptions'!$B$43)^('Assumptions'!$B$14/12))</x:f>
        <x:v>597766.4999044412</x:v>
      </x:c>
    </x:row>
    <x:row r="566">
      <x:c r="A566" s="131" t="n">
        <x:f>559</x:f>
        <x:v>559</x:v>
      </x:c>
      <x:c r="B566" s="131" t="n">
        <x:f>MOD(ABS(SIN((A566+1)*12.9898+78.233)*43758.5453),1)</x:f>
        <x:v>0.8715708946037921</x:v>
      </x:c>
      <x:c r="C566" s="131" t="n">
        <x:f>MOD(ABS(SIN((A566+2)*12.9898+78.233)*43758.5453),1)</x:f>
        <x:v>0.5847424862004118</x:v>
      </x:c>
      <x:c r="D566" s="131" t="n">
        <x:f>MOD(ABS(SIN((A566+3)*12.9898+78.233)*43758.5453),1)</x:f>
        <x:v>0.7153345191618428</x:v>
      </x:c>
      <x:c r="E566" s="131" t="n">
        <x:f>MOD(ABS(SIN((A566+4)*12.9898+78.233)*43758.5453),1)</x:f>
        <x:v>0.7526038997420983</x:v>
      </x:c>
      <x:c r="F566" s="131" t="n">
        <x:f>MOD(ABS(SIN((A566+5)*12.9898+78.233)*43758.5453),1)</x:f>
        <x:v>0.18015324865882576</x:v>
      </x:c>
      <x:c r="G566" s="132" t="n">
        <x:f>IF(B566&lt;(('Assumptions'!$C$47-'Assumptions'!$B$47)/('Assumptions'!$D$47-'Assumptions'!$B$47)),'Assumptions'!$B$47+SQRT(B566*('Assumptions'!$D$47-'Assumptions'!$B$47)*('Assumptions'!$C$47-'Assumptions'!$B$47)),'Assumptions'!$D$47-SQRT((1-B566)*('Assumptions'!$D$47-'Assumptions'!$B$47)*('Assumptions'!$D$47-'Assumptions'!$C$47)))</x:f>
        <x:v>0.054669373638352114</x:v>
      </x:c>
      <x:c r="H566" s="132" t="n">
        <x:f>IF(C566&lt;(('Assumptions'!$C$48-'Assumptions'!$B$48)/('Assumptions'!$D$48-'Assumptions'!$B$48)),'Assumptions'!$B$48+SQRT(C566*('Assumptions'!$D$48-'Assumptions'!$B$48)*('Assumptions'!$C$48-'Assumptions'!$B$48)),'Assumptions'!$D$48-SQRT((1-C566)*('Assumptions'!$D$48-'Assumptions'!$B$48)*('Assumptions'!$D$48-'Assumptions'!$C$48)))</x:f>
        <x:v>0.07954947377039323</x:v>
      </x:c>
      <x:c r="I566" s="132" t="n">
        <x:f>IF(D566&lt;(('Assumptions'!$C$49-'Assumptions'!$B$49)/('Assumptions'!$D$49-'Assumptions'!$B$49)),'Assumptions'!$B$49+SQRT(D566*('Assumptions'!$D$49-'Assumptions'!$B$49)*('Assumptions'!$C$49-'Assumptions'!$B$49)),'Assumptions'!$D$49-SQRT((1-D566)*('Assumptions'!$D$49-'Assumptions'!$B$49)*('Assumptions'!$D$49-'Assumptions'!$C$49)))</x:f>
        <x:v>0.07158587891135809</x:v>
      </x:c>
      <x:c r="J566" s="132" t="n">
        <x:f>IF(E566&lt;(('Assumptions'!$C$50-'Assumptions'!$B$50)/('Assumptions'!$D$50-'Assumptions'!$B$50)),'Assumptions'!$B$50+SQRT(E566*('Assumptions'!$D$50-'Assumptions'!$B$50)*('Assumptions'!$C$50-'Assumptions'!$B$50)),'Assumptions'!$D$50-SQRT((1-E566)*('Assumptions'!$D$50-'Assumptions'!$B$50)*('Assumptions'!$D$50-'Assumptions'!$C$50)))</x:f>
        <x:v>0.07165852811564201</x:v>
      </x:c>
      <x:c r="K566" s="132" t="n">
        <x:f>IF(F566&lt;(('Assumptions'!$C$51-'Assumptions'!$B$51)/('Assumptions'!$D$51-'Assumptions'!$B$51)),'Assumptions'!$B$51+SQRT(F566*('Assumptions'!$D$51-'Assumptions'!$B$51)*('Assumptions'!$C$51-'Assumptions'!$B$51)),'Assumptions'!$D$51-SQRT((1-F566)*('Assumptions'!$D$51-'Assumptions'!$B$51)*('Assumptions'!$D$51-'Assumptions'!$C$51)))</x:f>
        <x:v>0.06453861800222012</x:v>
      </x:c>
      <x:c r="L566" s="133" t="n">
        <x:f>(('Assumptions'!$B$17*(1+G566)+'Assumptions'!$B$18)*(1-H566-'Assumptions'!$B$20)-SUM('Assumptions'!$B$21:$B$25)*(1+I566))-(('Assumptions'!$B$17*(1+G566)+'Assumptions'!$B$18)*(1-H566-'Assumptions'!$B$20)*'Assumptions'!$B$26)</x:f>
        <x:v>212566.27767056704</x:v>
      </x:c>
      <x:c r="M566" s="133" t="n">
        <x:f>'Assumptions'!$B$10*'Assumptions'!$B$33</x:f>
        <x:v>1950000</x:v>
      </x:c>
      <x:c r="N566" s="133" t="n">
        <x:f>-PMT(K566/12,'Assumptions'!$B$35*12,M566)*12</x:f>
        <x:v>147194.6110681531</x:v>
      </x:c>
      <x:c r="O566" s="133" t="n">
        <x:f>(L566*(1+'Assumptions'!$B$29)^('Assumptions'!$B$14/12)/J566)*(1-'Assumptions'!$B$42)-'Debt Schedule'!$F$9</x:f>
        <x:v>3232514.347959985</x:v>
      </x:c>
      <x:c r="P566" s="132" t="n">
        <x:f>((O566+(L566-N566-'Assumptions'!$B$27-'Assumptions'!$B$28)*('Assumptions'!$B$14/12))/ABS('Monthly Cash Flow'!$S$5))^(1/('Assumptions'!$B$14/12))-1</x:f>
        <x:v>0.21012776730552019</x:v>
      </x:c>
      <x:c r="Q566" s="133" t="n">
        <x:f>-ABS('Monthly Cash Flow'!$S$5)+((L566-N566-'Assumptions'!$B$27-'Assumptions'!$B$28)*(1-(1+'Assumptions'!$B$43)^-('Assumptions'!$B$14/12))/'Assumptions'!$B$43)+(O566/(1+'Assumptions'!$B$43)^('Assumptions'!$B$14/12))</x:f>
        <x:v>808815.6638172884</x:v>
      </x:c>
    </x:row>
    <x:row r="567">
      <x:c r="A567" s="131" t="n">
        <x:f>560</x:f>
        <x:v>560</x:v>
      </x:c>
      <x:c r="B567" s="131" t="n">
        <x:f>MOD(ABS(SIN((A567+1)*12.9898+78.233)*43758.5453),1)</x:f>
        <x:v>0.5847424862004118</x:v>
      </x:c>
      <x:c r="C567" s="131" t="n">
        <x:f>MOD(ABS(SIN((A567+2)*12.9898+78.233)*43758.5453),1)</x:f>
        <x:v>0.7153345191618428</x:v>
      </x:c>
      <x:c r="D567" s="131" t="n">
        <x:f>MOD(ABS(SIN((A567+3)*12.9898+78.233)*43758.5453),1)</x:f>
        <x:v>0.7526038997420983</x:v>
      </x:c>
      <x:c r="E567" s="131" t="n">
        <x:f>MOD(ABS(SIN((A567+4)*12.9898+78.233)*43758.5453),1)</x:f>
        <x:v>0.18015324865882576</x:v>
      </x:c>
      <x:c r="F567" s="131" t="n">
        <x:f>MOD(ABS(SIN((A567+5)*12.9898+78.233)*43758.5453),1)</x:f>
        <x:v>0.1702544979252707</x:v>
      </x:c>
      <x:c r="G567" s="132" t="n">
        <x:f>IF(B567&lt;(('Assumptions'!$C$47-'Assumptions'!$B$47)/('Assumptions'!$D$47-'Assumptions'!$B$47)),'Assumptions'!$B$47+SQRT(B567*('Assumptions'!$D$47-'Assumptions'!$B$47)*('Assumptions'!$C$47-'Assumptions'!$B$47)),'Assumptions'!$D$47-SQRT((1-B567)*('Assumptions'!$D$47-'Assumptions'!$B$47)*('Assumptions'!$D$47-'Assumptions'!$C$47)))</x:f>
        <x:v>0.018464423641909825</x:v>
      </x:c>
      <x:c r="H567" s="132" t="n">
        <x:f>IF(C567&lt;(('Assumptions'!$C$48-'Assumptions'!$B$48)/('Assumptions'!$D$48-'Assumptions'!$B$48)),'Assumptions'!$B$48+SQRT(C567*('Assumptions'!$D$48-'Assumptions'!$B$48)*('Assumptions'!$C$48-'Assumptions'!$B$48)),'Assumptions'!$D$48-SQRT((1-C567)*('Assumptions'!$D$48-'Assumptions'!$B$48)*('Assumptions'!$D$48-'Assumptions'!$C$48)))</x:f>
        <x:v>0.08994946322589753</x:v>
      </x:c>
      <x:c r="I567" s="132" t="n">
        <x:f>IF(D567&lt;(('Assumptions'!$C$49-'Assumptions'!$B$49)/('Assumptions'!$D$49-'Assumptions'!$B$49)),'Assumptions'!$B$49+SQRT(D567*('Assumptions'!$D$49-'Assumptions'!$B$49)*('Assumptions'!$C$49-'Assumptions'!$B$49)),'Assumptions'!$D$49-SQRT((1-D567)*('Assumptions'!$D$49-'Assumptions'!$B$49)*('Assumptions'!$D$49-'Assumptions'!$C$49)))</x:f>
        <x:v>0.07689900297827205</x:v>
      </x:c>
      <x:c r="J567" s="132" t="n">
        <x:f>IF(E567&lt;(('Assumptions'!$C$50-'Assumptions'!$B$50)/('Assumptions'!$D$50-'Assumptions'!$B$50)),'Assumptions'!$B$50+SQRT(E567*('Assumptions'!$D$50-'Assumptions'!$B$50)*('Assumptions'!$C$50-'Assumptions'!$B$50)),'Assumptions'!$D$50-SQRT((1-E567)*('Assumptions'!$D$50-'Assumptions'!$B$50)*('Assumptions'!$D$50-'Assumptions'!$C$50)))</x:f>
        <x:v>0.06386666953345592</x:v>
      </x:c>
      <x:c r="K567" s="132" t="n">
        <x:f>IF(F567&lt;(('Assumptions'!$C$51-'Assumptions'!$B$51)/('Assumptions'!$D$51-'Assumptions'!$B$51)),'Assumptions'!$B$51+SQRT(F567*('Assumptions'!$D$51-'Assumptions'!$B$51)*('Assumptions'!$C$51-'Assumptions'!$B$51)),'Assumptions'!$D$51-SQRT((1-F567)*('Assumptions'!$D$51-'Assumptions'!$B$51)*('Assumptions'!$D$51-'Assumptions'!$C$51)))</x:f>
        <x:v>0.0643425132027238</x:v>
      </x:c>
      <x:c r="L567" s="133" t="n">
        <x:f>(('Assumptions'!$B$17*(1+G567)+'Assumptions'!$B$18)*(1-H567-'Assumptions'!$B$20)-SUM('Assumptions'!$B$21:$B$25)*(1+I567))-(('Assumptions'!$B$17*(1+G567)+'Assumptions'!$B$18)*(1-H567-'Assumptions'!$B$20)*'Assumptions'!$B$26)</x:f>
        <x:v>196664.56122946335</x:v>
      </x:c>
      <x:c r="M567" s="133" t="n">
        <x:f>'Assumptions'!$B$10*'Assumptions'!$B$33</x:f>
        <x:v>1950000</x:v>
      </x:c>
      <x:c r="N567" s="133" t="n">
        <x:f>-PMT(K567/12,'Assumptions'!$B$35*12,M567)*12</x:f>
        <x:v>146893.56343585733</x:v>
      </x:c>
      <x:c r="O567" s="133" t="n">
        <x:f>(L567*(1+'Assumptions'!$B$29)^('Assumptions'!$B$14/12)/J567)*(1-'Assumptions'!$B$42)-'Debt Schedule'!$F$9</x:f>
        <x:v>3355566.230436114</x:v>
      </x:c>
      <x:c r="P567" s="132" t="n">
        <x:f>((O567+(L567-N567-'Assumptions'!$B$27-'Assumptions'!$B$28)*('Assumptions'!$B$14/12))/ABS('Monthly Cash Flow'!$S$5))^(1/('Assumptions'!$B$14/12))-1</x:f>
        <x:v>0.21335601327489617</x:v>
      </x:c>
      <x:c r="Q567" s="133" t="n">
        <x:f>-ABS('Monthly Cash Flow'!$S$5)+((L567-N567-'Assumptions'!$B$27-'Assumptions'!$B$28)*(1-(1+'Assumptions'!$B$43)^-('Assumptions'!$B$14/12))/'Assumptions'!$B$43)+(O567/(1+'Assumptions'!$B$43)^('Assumptions'!$B$14/12))</x:f>
        <x:v>826082.392574934</x:v>
      </x:c>
    </x:row>
    <x:row r="568">
      <x:c r="A568" s="131" t="n">
        <x:f>561</x:f>
        <x:v>561</x:v>
      </x:c>
      <x:c r="B568" s="131" t="n">
        <x:f>MOD(ABS(SIN((A568+1)*12.9898+78.233)*43758.5453),1)</x:f>
        <x:v>0.7153345191618428</x:v>
      </x:c>
      <x:c r="C568" s="131" t="n">
        <x:f>MOD(ABS(SIN((A568+2)*12.9898+78.233)*43758.5453),1)</x:f>
        <x:v>0.7526038997420983</x:v>
      </x:c>
      <x:c r="D568" s="131" t="n">
        <x:f>MOD(ABS(SIN((A568+3)*12.9898+78.233)*43758.5453),1)</x:f>
        <x:v>0.18015324865882576</x:v>
      </x:c>
      <x:c r="E568" s="131" t="n">
        <x:f>MOD(ABS(SIN((A568+4)*12.9898+78.233)*43758.5453),1)</x:f>
        <x:v>0.1702544979252707</x:v>
      </x:c>
      <x:c r="F568" s="131" t="n">
        <x:f>MOD(ABS(SIN((A568+5)*12.9898+78.233)*43758.5453),1)</x:f>
        <x:v>0.8446749135910068</x:v>
      </x:c>
      <x:c r="G568" s="132" t="n">
        <x:f>IF(B568&lt;(('Assumptions'!$C$47-'Assumptions'!$B$47)/('Assumptions'!$D$47-'Assumptions'!$B$47)),'Assumptions'!$B$47+SQRT(B568*('Assumptions'!$D$47-'Assumptions'!$B$47)*('Assumptions'!$C$47-'Assumptions'!$B$47)),'Assumptions'!$D$47-SQRT((1-B568)*('Assumptions'!$D$47-'Assumptions'!$B$47)*('Assumptions'!$D$47-'Assumptions'!$C$47)))</x:f>
        <x:v>0.03251186998137735</x:v>
      </x:c>
      <x:c r="H568" s="132" t="n">
        <x:f>IF(C568&lt;(('Assumptions'!$C$48-'Assumptions'!$B$48)/('Assumptions'!$D$48-'Assumptions'!$B$48)),'Assumptions'!$B$48+SQRT(C568*('Assumptions'!$D$48-'Assumptions'!$B$48)*('Assumptions'!$C$48-'Assumptions'!$B$48)),'Assumptions'!$D$48-SQRT((1-C568)*('Assumptions'!$D$48-'Assumptions'!$B$48)*('Assumptions'!$D$48-'Assumptions'!$C$48)))</x:f>
        <x:v>0.09334074923158822</x:v>
      </x:c>
      <x:c r="I568" s="132" t="n">
        <x:f>IF(D568&lt;(('Assumptions'!$C$49-'Assumptions'!$B$49)/('Assumptions'!$D$49-'Assumptions'!$B$49)),'Assumptions'!$B$49+SQRT(D568*('Assumptions'!$D$49-'Assumptions'!$B$49)*('Assumptions'!$C$49-'Assumptions'!$B$49)),'Assumptions'!$D$49-SQRT((1-D568)*('Assumptions'!$D$49-'Assumptions'!$B$49)*('Assumptions'!$D$49-'Assumptions'!$C$49)))</x:f>
        <x:v>0.014109580427785963</x:v>
      </x:c>
      <x:c r="J568" s="132" t="n">
        <x:f>IF(E568&lt;(('Assumptions'!$C$50-'Assumptions'!$B$50)/('Assumptions'!$D$50-'Assumptions'!$B$50)),'Assumptions'!$B$50+SQRT(E568*('Assumptions'!$D$50-'Assumptions'!$B$50)*('Assumptions'!$C$50-'Assumptions'!$B$50)),'Assumptions'!$D$50-SQRT((1-E568)*('Assumptions'!$D$50-'Assumptions'!$B$50)*('Assumptions'!$D$50-'Assumptions'!$C$50)))</x:f>
        <x:v>0.06368928606813305</x:v>
      </x:c>
      <x:c r="K568" s="132" t="n">
        <x:f>IF(F568&lt;(('Assumptions'!$C$51-'Assumptions'!$B$51)/('Assumptions'!$D$51-'Assumptions'!$B$51)),'Assumptions'!$B$51+SQRT(F568*('Assumptions'!$D$51-'Assumptions'!$B$51)*('Assumptions'!$C$51-'Assumptions'!$B$51)),'Assumptions'!$D$51-SQRT((1-F568)*('Assumptions'!$D$51-'Assumptions'!$B$51)*('Assumptions'!$D$51-'Assumptions'!$C$51)))</x:f>
        <x:v>0.07635418032605769</x:v>
      </x:c>
      <x:c r="L568" s="133" t="n">
        <x:f>(('Assumptions'!$B$17*(1+G568)+'Assumptions'!$B$18)*(1-H568-'Assumptions'!$B$20)-SUM('Assumptions'!$B$21:$B$25)*(1+I568))-(('Assumptions'!$B$17*(1+G568)+'Assumptions'!$B$18)*(1-H568-'Assumptions'!$B$20)*'Assumptions'!$B$26)</x:f>
        <x:v>207676.85682393814</x:v>
      </x:c>
      <x:c r="M568" s="133" t="n">
        <x:f>'Assumptions'!$B$10*'Assumptions'!$B$33</x:f>
        <x:v>1950000</x:v>
      </x:c>
      <x:c r="N568" s="133" t="n">
        <x:f>-PMT(K568/12,'Assumptions'!$B$35*12,M568)*12</x:f>
        <x:v>165791.47046302908</x:v>
      </x:c>
      <x:c r="O568" s="133" t="n">
        <x:f>(L568*(1+'Assumptions'!$B$29)^('Assumptions'!$B$14/12)/J568)*(1-'Assumptions'!$B$42)-'Debt Schedule'!$F$9</x:f>
        <x:v>3553331.27692967</x:v>
      </x:c>
      <x:c r="P568" s="132" t="n">
        <x:f>((O568+(L568-N568-'Assumptions'!$B$27-'Assumptions'!$B$28)*('Assumptions'!$B$14/12))/ABS('Monthly Cash Flow'!$S$5))^(1/('Assumptions'!$B$14/12))-1</x:f>
        <x:v>0.2244381680711378</x:v>
      </x:c>
      <x:c r="Q568" s="133" t="n">
        <x:f>-ABS('Monthly Cash Flow'!$S$5)+((L568-N568-'Assumptions'!$B$27-'Assumptions'!$B$28)*(1-(1+'Assumptions'!$B$43)^-('Assumptions'!$B$14/12))/'Assumptions'!$B$43)+(O568/(1+'Assumptions'!$B$43)^('Assumptions'!$B$14/12))</x:f>
        <x:v>918986.2554108046</x:v>
      </x:c>
    </x:row>
    <x:row r="569">
      <x:c r="A569" s="131" t="n">
        <x:f>562</x:f>
        <x:v>562</x:v>
      </x:c>
      <x:c r="B569" s="131" t="n">
        <x:f>MOD(ABS(SIN((A569+1)*12.9898+78.233)*43758.5453),1)</x:f>
        <x:v>0.7526038997420983</x:v>
      </x:c>
      <x:c r="C569" s="131" t="n">
        <x:f>MOD(ABS(SIN((A569+2)*12.9898+78.233)*43758.5453),1)</x:f>
        <x:v>0.18015324865882576</x:v>
      </x:c>
      <x:c r="D569" s="131" t="n">
        <x:f>MOD(ABS(SIN((A569+3)*12.9898+78.233)*43758.5453),1)</x:f>
        <x:v>0.1702544979252707</x:v>
      </x:c>
      <x:c r="E569" s="131" t="n">
        <x:f>MOD(ABS(SIN((A569+4)*12.9898+78.233)*43758.5453),1)</x:f>
        <x:v>0.8446749135910068</x:v>
      </x:c>
      <x:c r="F569" s="131" t="n">
        <x:f>MOD(ABS(SIN((A569+5)*12.9898+78.233)*43758.5453),1)</x:f>
        <x:v>0.01017531687830342</x:v>
      </x:c>
      <x:c r="G569" s="132" t="n">
        <x:f>IF(B569&lt;(('Assumptions'!$C$47-'Assumptions'!$B$47)/('Assumptions'!$D$47-'Assumptions'!$B$47)),'Assumptions'!$B$47+SQRT(B569*('Assumptions'!$D$47-'Assumptions'!$B$47)*('Assumptions'!$C$47-'Assumptions'!$B$47)),'Assumptions'!$D$47-SQRT((1-B569)*('Assumptions'!$D$47-'Assumptions'!$B$47)*('Assumptions'!$D$47-'Assumptions'!$C$47)))</x:f>
        <x:v>0.03708467909859772</x:v>
      </x:c>
      <x:c r="H569" s="132" t="n">
        <x:f>IF(C569&lt;(('Assumptions'!$C$48-'Assumptions'!$B$48)/('Assumptions'!$D$48-'Assumptions'!$B$48)),'Assumptions'!$B$48+SQRT(C569*('Assumptions'!$D$48-'Assumptions'!$B$48)*('Assumptions'!$C$48-'Assumptions'!$B$48)),'Assumptions'!$D$48-SQRT((1-C569)*('Assumptions'!$D$48-'Assumptions'!$B$48)*('Assumptions'!$D$48-'Assumptions'!$C$48)))</x:f>
        <x:v>0.05438248798982838</x:v>
      </x:c>
      <x:c r="I569" s="132" t="n">
        <x:f>IF(D569&lt;(('Assumptions'!$C$49-'Assumptions'!$B$49)/('Assumptions'!$D$49-'Assumptions'!$B$49)),'Assumptions'!$B$49+SQRT(D569*('Assumptions'!$D$49-'Assumptions'!$B$49)*('Assumptions'!$C$49-'Assumptions'!$B$49)),'Assumptions'!$D$49-SQRT((1-D569)*('Assumptions'!$D$49-'Assumptions'!$B$49)*('Assumptions'!$D$49-'Assumptions'!$C$49)))</x:f>
        <x:v>0.012880631730338626</x:v>
      </x:c>
      <x:c r="J569" s="132" t="n">
        <x:f>IF(E569&lt;(('Assumptions'!$C$50-'Assumptions'!$B$50)/('Assumptions'!$D$50-'Assumptions'!$B$50)),'Assumptions'!$B$50+SQRT(E569*('Assumptions'!$D$50-'Assumptions'!$B$50)*('Assumptions'!$C$50-'Assumptions'!$B$50)),'Assumptions'!$D$50-SQRT((1-E569)*('Assumptions'!$D$50-'Assumptions'!$B$50)*('Assumptions'!$D$50-'Assumptions'!$C$50)))</x:f>
        <x:v>0.0733905234282487</x:v>
      </x:c>
      <x:c r="K569" s="132" t="n">
        <x:f>IF(F569&lt;(('Assumptions'!$C$51-'Assumptions'!$B$51)/('Assumptions'!$D$51-'Assumptions'!$B$51)),'Assumptions'!$B$51+SQRT(F569*('Assumptions'!$D$51-'Assumptions'!$B$51)*('Assumptions'!$C$51-'Assumptions'!$B$51)),'Assumptions'!$D$51-SQRT((1-F569)*('Assumptions'!$D$51-'Assumptions'!$B$51)*('Assumptions'!$D$51-'Assumptions'!$C$51)))</x:f>
        <x:v>0.05917278574286531</x:v>
      </x:c>
      <x:c r="L569" s="133" t="n">
        <x:f>(('Assumptions'!$B$17*(1+G569)+'Assumptions'!$B$18)*(1-H569-'Assumptions'!$B$20)-SUM('Assumptions'!$B$21:$B$25)*(1+I569))-(('Assumptions'!$B$17*(1+G569)+'Assumptions'!$B$18)*(1-H569-'Assumptions'!$B$20)*'Assumptions'!$B$26)</x:f>
        <x:v>223885.23234655787</x:v>
      </x:c>
      <x:c r="M569" s="133" t="n">
        <x:f>'Assumptions'!$B$10*'Assumptions'!$B$33</x:f>
        <x:v>1950000</x:v>
      </x:c>
      <x:c r="N569" s="133" t="n">
        <x:f>-PMT(K569/12,'Assumptions'!$B$35*12,M569)*12</x:f>
        <x:v>139052.76435075112</x:v>
      </x:c>
      <x:c r="O569" s="133" t="n">
        <x:f>(L569*(1+'Assumptions'!$B$29)^('Assumptions'!$B$14/12)/J569)*(1-'Assumptions'!$B$42)-'Debt Schedule'!$F$9</x:f>
        <x:v>3324294.1098224884</x:v>
      </x:c>
      <x:c r="P569" s="132" t="n">
        <x:f>((O569+(L569-N569-'Assumptions'!$B$27-'Assumptions'!$B$28)*('Assumptions'!$B$14/12))/ABS('Monthly Cash Flow'!$S$5))^(1/('Assumptions'!$B$14/12))-1</x:f>
        <x:v>0.22345354858714916</x:v>
      </x:c>
      <x:c r="Q569" s="133" t="n">
        <x:f>-ABS('Monthly Cash Flow'!$S$5)+((L569-N569-'Assumptions'!$B$27-'Assumptions'!$B$28)*(1-(1+'Assumptions'!$B$43)^-('Assumptions'!$B$14/12))/'Assumptions'!$B$43)+(O569/(1+'Assumptions'!$B$43)^('Assumptions'!$B$14/12))</x:f>
        <x:v>939575.4234271673</x:v>
      </x:c>
    </x:row>
    <x:row r="570">
      <x:c r="A570" s="131" t="n">
        <x:f>563</x:f>
        <x:v>563</x:v>
      </x:c>
      <x:c r="B570" s="131" t="n">
        <x:f>MOD(ABS(SIN((A570+1)*12.9898+78.233)*43758.5453),1)</x:f>
        <x:v>0.18015324865882576</x:v>
      </x:c>
      <x:c r="C570" s="131" t="n">
        <x:f>MOD(ABS(SIN((A570+2)*12.9898+78.233)*43758.5453),1)</x:f>
        <x:v>0.1702544979252707</x:v>
      </x:c>
      <x:c r="D570" s="131" t="n">
        <x:f>MOD(ABS(SIN((A570+3)*12.9898+78.233)*43758.5453),1)</x:f>
        <x:v>0.8446749135910068</x:v>
      </x:c>
      <x:c r="E570" s="131" t="n">
        <x:f>MOD(ABS(SIN((A570+4)*12.9898+78.233)*43758.5453),1)</x:f>
        <x:v>0.01017531687830342</x:v>
      </x:c>
      <x:c r="F570" s="131" t="n">
        <x:f>MOD(ABS(SIN((A570+5)*12.9898+78.233)*43758.5453),1)</x:f>
        <x:v>0.9635340729073505</x:v>
      </x:c>
      <x:c r="G570" s="132" t="n">
        <x:f>IF(B570&lt;(('Assumptions'!$C$47-'Assumptions'!$B$47)/('Assumptions'!$D$47-'Assumptions'!$B$47)),'Assumptions'!$B$47+SQRT(B570*('Assumptions'!$D$47-'Assumptions'!$B$47)*('Assumptions'!$C$47-'Assumptions'!$B$47)),'Assumptions'!$D$47-SQRT((1-B570)*('Assumptions'!$D$47-'Assumptions'!$B$47)*('Assumptions'!$D$47-'Assumptions'!$C$47)))</x:f>
        <x:v>-0.03424531980298423</x:v>
      </x:c>
      <x:c r="H570" s="132" t="n">
        <x:f>IF(C570&lt;(('Assumptions'!$C$48-'Assumptions'!$B$48)/('Assumptions'!$D$48-'Assumptions'!$B$48)),'Assumptions'!$B$48+SQRT(C570*('Assumptions'!$D$48-'Assumptions'!$B$48)*('Assumptions'!$C$48-'Assumptions'!$B$48)),'Assumptions'!$D$48-SQRT((1-C570)*('Assumptions'!$D$48-'Assumptions'!$B$48)*('Assumptions'!$D$48-'Assumptions'!$C$48)))</x:f>
        <x:v>0.05370316103715691</x:v>
      </x:c>
      <x:c r="I570" s="132" t="n">
        <x:f>IF(D570&lt;(('Assumptions'!$C$49-'Assumptions'!$B$49)/('Assumptions'!$D$49-'Assumptions'!$B$49)),'Assumptions'!$B$49+SQRT(D570*('Assumptions'!$D$49-'Assumptions'!$B$49)*('Assumptions'!$C$49-'Assumptions'!$B$49)),'Assumptions'!$D$49-SQRT((1-D570)*('Assumptions'!$D$49-'Assumptions'!$B$49)*('Assumptions'!$D$49-'Assumptions'!$C$49)))</x:f>
        <x:v>0.09207744941359838</x:v>
      </x:c>
      <x:c r="J570" s="132" t="n">
        <x:f>IF(E570&lt;(('Assumptions'!$C$50-'Assumptions'!$B$50)/('Assumptions'!$D$50-'Assumptions'!$B$50)),'Assumptions'!$B$50+SQRT(E570*('Assumptions'!$D$50-'Assumptions'!$B$50)*('Assumptions'!$C$50-'Assumptions'!$B$50)),'Assumptions'!$D$50-SQRT((1-E570)*('Assumptions'!$D$50-'Assumptions'!$B$50)*('Assumptions'!$D$50-'Assumptions'!$C$50)))</x:f>
        <x:v>0.0590130916355655</x:v>
      </x:c>
      <x:c r="K570" s="132" t="n">
        <x:f>IF(F570&lt;(('Assumptions'!$C$51-'Assumptions'!$B$51)/('Assumptions'!$D$51-'Assumptions'!$B$51)),'Assumptions'!$B$51+SQRT(F570*('Assumptions'!$D$51-'Assumptions'!$B$51)*('Assumptions'!$C$51-'Assumptions'!$B$51)),'Assumptions'!$D$51-SQRT((1-F570)*('Assumptions'!$D$51-'Assumptions'!$B$51)*('Assumptions'!$D$51-'Assumptions'!$C$51)))</x:f>
        <x:v>0.08081082019801757</x:v>
      </x:c>
      <x:c r="L570" s="133" t="n">
        <x:f>(('Assumptions'!$B$17*(1+G570)+'Assumptions'!$B$18)*(1-H570-'Assumptions'!$B$20)-SUM('Assumptions'!$B$21:$B$25)*(1+I570))-(('Assumptions'!$B$17*(1+G570)+'Assumptions'!$B$18)*(1-H570-'Assumptions'!$B$20)*'Assumptions'!$B$26)</x:f>
        <x:v>191080.39431103662</x:v>
      </x:c>
      <x:c r="M570" s="133" t="n">
        <x:f>'Assumptions'!$B$10*'Assumptions'!$B$33</x:f>
        <x:v>1950000</x:v>
      </x:c>
      <x:c r="N570" s="133" t="n">
        <x:f>-PMT(K570/12,'Assumptions'!$B$35*12,M570)*12</x:f>
        <x:v>173025.40471255986</x:v>
      </x:c>
      <x:c r="O570" s="133" t="n">
        <x:f>(L570*(1+'Assumptions'!$B$29)^('Assumptions'!$B$14/12)/J570)*(1-'Assumptions'!$B$42)-'Debt Schedule'!$F$9</x:f>
        <x:v>3528431.8890421796</x:v>
      </x:c>
      <x:c r="P570" s="132" t="n">
        <x:f>((O570+(L570-N570-'Assumptions'!$B$27-'Assumptions'!$B$28)*('Assumptions'!$B$14/12))/ABS('Monthly Cash Flow'!$S$5))^(1/('Assumptions'!$B$14/12))-1</x:f>
        <x:v>0.21437260423150928</x:v>
      </x:c>
      <x:c r="Q570" s="133" t="n">
        <x:f>-ABS('Monthly Cash Flow'!$S$5)+((L570-N570-'Assumptions'!$B$27-'Assumptions'!$B$28)*(1-(1+'Assumptions'!$B$43)^-('Assumptions'!$B$14/12))/'Assumptions'!$B$43)+(O570/(1+'Assumptions'!$B$43)^('Assumptions'!$B$14/12))</x:f>
        <x:v>813189.7417835584</x:v>
      </x:c>
    </x:row>
    <x:row r="571">
      <x:c r="A571" s="131" t="n">
        <x:f>564</x:f>
        <x:v>564</x:v>
      </x:c>
      <x:c r="B571" s="131" t="n">
        <x:f>MOD(ABS(SIN((A571+1)*12.9898+78.233)*43758.5453),1)</x:f>
        <x:v>0.1702544979252707</x:v>
      </x:c>
      <x:c r="C571" s="131" t="n">
        <x:f>MOD(ABS(SIN((A571+2)*12.9898+78.233)*43758.5453),1)</x:f>
        <x:v>0.8446749135910068</x:v>
      </x:c>
      <x:c r="D571" s="131" t="n">
        <x:f>MOD(ABS(SIN((A571+3)*12.9898+78.233)*43758.5453),1)</x:f>
        <x:v>0.01017531687830342</x:v>
      </x:c>
      <x:c r="E571" s="131" t="n">
        <x:f>MOD(ABS(SIN((A571+4)*12.9898+78.233)*43758.5453),1)</x:f>
        <x:v>0.9635340729073505</x:v>
      </x:c>
      <x:c r="F571" s="131" t="n">
        <x:f>MOD(ABS(SIN((A571+5)*12.9898+78.233)*43758.5453),1)</x:f>
        <x:v>0.8486531985909096</x:v>
      </x:c>
      <x:c r="G571" s="132" t="n">
        <x:f>IF(B571&lt;(('Assumptions'!$C$47-'Assumptions'!$B$47)/('Assumptions'!$D$47-'Assumptions'!$B$47)),'Assumptions'!$B$47+SQRT(B571*('Assumptions'!$D$47-'Assumptions'!$B$47)*('Assumptions'!$C$47-'Assumptions'!$B$47)),'Assumptions'!$D$47-SQRT((1-B571)*('Assumptions'!$D$47-'Assumptions'!$B$47)*('Assumptions'!$D$47-'Assumptions'!$C$47)))</x:f>
        <x:v>-0.03607732835521894</x:v>
      </x:c>
      <x:c r="H571" s="132" t="n">
        <x:f>IF(C571&lt;(('Assumptions'!$C$48-'Assumptions'!$B$48)/('Assumptions'!$D$48-'Assumptions'!$B$48)),'Assumptions'!$B$48+SQRT(C571*('Assumptions'!$D$48-'Assumptions'!$B$48)*('Assumptions'!$C$48-'Assumptions'!$B$48)),'Assumptions'!$D$48-SQRT((1-C571)*('Assumptions'!$D$48-'Assumptions'!$B$48)*('Assumptions'!$D$48-'Assumptions'!$C$48)))</x:f>
        <x:v>0.10302891994546089</x:v>
      </x:c>
      <x:c r="I571" s="132" t="n">
        <x:f>IF(D571&lt;(('Assumptions'!$C$49-'Assumptions'!$B$49)/('Assumptions'!$D$49-'Assumptions'!$B$49)),'Assumptions'!$B$49+SQRT(D571*('Assumptions'!$D$49-'Assumptions'!$B$49)*('Assumptions'!$C$49-'Assumptions'!$B$49)),'Assumptions'!$D$49-SQRT((1-D571)*('Assumptions'!$D$49-'Assumptions'!$B$49)*('Assumptions'!$D$49-'Assumptions'!$C$49)))</x:f>
        <x:v>-0.019516993642772273</x:v>
      </x:c>
      <x:c r="J571" s="132" t="n">
        <x:f>IF(E571&lt;(('Assumptions'!$C$50-'Assumptions'!$B$50)/('Assumptions'!$D$50-'Assumptions'!$B$50)),'Assumptions'!$B$50+SQRT(E571*('Assumptions'!$D$50-'Assumptions'!$B$50)*('Assumptions'!$C$50-'Assumptions'!$B$50)),'Assumptions'!$D$50-SQRT((1-E571)*('Assumptions'!$D$50-'Assumptions'!$B$50)*('Assumptions'!$D$50-'Assumptions'!$C$50)))</x:f>
        <x:v>0.07679749441923864</x:v>
      </x:c>
      <x:c r="K571" s="132" t="n">
        <x:f>IF(F571&lt;(('Assumptions'!$C$51-'Assumptions'!$B$51)/('Assumptions'!$D$51-'Assumptions'!$B$51)),'Assumptions'!$B$51+SQRT(F571*('Assumptions'!$D$51-'Assumptions'!$B$51)*('Assumptions'!$C$51-'Assumptions'!$B$51)),'Assumptions'!$D$51-SQRT((1-F571)*('Assumptions'!$D$51-'Assumptions'!$B$51)*('Assumptions'!$D$51-'Assumptions'!$C$51)))</x:f>
        <x:v>0.07646561963713096</x:v>
      </x:c>
      <x:c r="L571" s="133" t="n">
        <x:f>(('Assumptions'!$B$17*(1+G571)+'Assumptions'!$B$18)*(1-H571-'Assumptions'!$B$20)-SUM('Assumptions'!$B$21:$B$25)*(1+I571))-(('Assumptions'!$B$17*(1+G571)+'Assumptions'!$B$18)*(1-H571-'Assumptions'!$B$20)*'Assumptions'!$B$26)</x:f>
        <x:v>187264.1633216772</x:v>
      </x:c>
      <x:c r="M571" s="133" t="n">
        <x:f>'Assumptions'!$B$10*'Assumptions'!$B$33</x:f>
        <x:v>1950000</x:v>
      </x:c>
      <x:c r="N571" s="133" t="n">
        <x:f>-PMT(K571/12,'Assumptions'!$B$35*12,M571)*12</x:f>
        <x:v>165970.96203490795</x:v>
      </x:c>
      <x:c r="O571" s="133" t="n">
        <x:f>(L571*(1+'Assumptions'!$B$29)^('Assumptions'!$B$14/12)/J571)*(1-'Assumptions'!$B$42)-'Debt Schedule'!$F$9</x:f>
        <x:v>2657183.828097947</x:v>
      </x:c>
      <x:c r="P571" s="132" t="n">
        <x:f>((O571+(L571-N571-'Assumptions'!$B$27-'Assumptions'!$B$28)*('Assumptions'!$B$14/12))/ABS('Monthly Cash Flow'!$S$5))^(1/('Assumptions'!$B$14/12))-1</x:f>
        <x:v>0.14643999902206106</x:v>
      </x:c>
      <x:c r="Q571" s="133" t="n">
        <x:f>-ABS('Monthly Cash Flow'!$S$5)+((L571-N571-'Assumptions'!$B$27-'Assumptions'!$B$28)*(1-(1+'Assumptions'!$B$43)^-('Assumptions'!$B$14/12))/'Assumptions'!$B$43)+(O571/(1+'Assumptions'!$B$43)^('Assumptions'!$B$14/12))</x:f>
        <x:v>284488.6130938651</x:v>
      </x:c>
    </x:row>
    <x:row r="572">
      <x:c r="A572" s="131" t="n">
        <x:f>565</x:f>
        <x:v>565</x:v>
      </x:c>
      <x:c r="B572" s="131" t="n">
        <x:f>MOD(ABS(SIN((A572+1)*12.9898+78.233)*43758.5453),1)</x:f>
        <x:v>0.8446749135910068</x:v>
      </x:c>
      <x:c r="C572" s="131" t="n">
        <x:f>MOD(ABS(SIN((A572+2)*12.9898+78.233)*43758.5453),1)</x:f>
        <x:v>0.01017531687830342</x:v>
      </x:c>
      <x:c r="D572" s="131" t="n">
        <x:f>MOD(ABS(SIN((A572+3)*12.9898+78.233)*43758.5453),1)</x:f>
        <x:v>0.9635340729073505</x:v>
      </x:c>
      <x:c r="E572" s="131" t="n">
        <x:f>MOD(ABS(SIN((A572+4)*12.9898+78.233)*43758.5453),1)</x:f>
        <x:v>0.8486531985909096</x:v>
      </x:c>
      <x:c r="F572" s="131" t="n">
        <x:f>MOD(ABS(SIN((A572+5)*12.9898+78.233)*43758.5453),1)</x:f>
        <x:v>0.3340215698553948</x:v>
      </x:c>
      <x:c r="G572" s="132" t="n">
        <x:f>IF(B572&lt;(('Assumptions'!$C$47-'Assumptions'!$B$47)/('Assumptions'!$D$47-'Assumptions'!$B$47)),'Assumptions'!$B$47+SQRT(B572*('Assumptions'!$D$47-'Assumptions'!$B$47)*('Assumptions'!$C$47-'Assumptions'!$B$47)),'Assumptions'!$D$47-SQRT((1-B572)*('Assumptions'!$D$47-'Assumptions'!$B$47)*('Assumptions'!$D$47-'Assumptions'!$C$47)))</x:f>
        <x:v>0.050148205824224426</x:v>
      </x:c>
      <x:c r="H572" s="132" t="n">
        <x:f>IF(C572&lt;(('Assumptions'!$C$48-'Assumptions'!$B$48)/('Assumptions'!$D$48-'Assumptions'!$B$48)),'Assumptions'!$B$48+SQRT(C572*('Assumptions'!$D$48-'Assumptions'!$B$48)*('Assumptions'!$C$48-'Assumptions'!$B$48)),'Assumptions'!$D$48-SQRT((1-C572)*('Assumptions'!$D$48-'Assumptions'!$B$48)*('Assumptions'!$D$48-'Assumptions'!$C$48)))</x:f>
        <x:v>0.03579469979363912</x:v>
      </x:c>
      <x:c r="I572" s="132" t="n">
        <x:f>IF(D572&lt;(('Assumptions'!$C$49-'Assumptions'!$B$49)/('Assumptions'!$D$49-'Assumptions'!$B$49)),'Assumptions'!$B$49+SQRT(D572*('Assumptions'!$D$49-'Assumptions'!$B$49)*('Assumptions'!$C$49-'Assumptions'!$B$49)),'Assumptions'!$D$49-SQRT((1-D572)*('Assumptions'!$D$49-'Assumptions'!$B$49)*('Assumptions'!$D$49-'Assumptions'!$C$49)))</x:f>
        <x:v>0.1219346472460931</x:v>
      </x:c>
      <x:c r="J572" s="132" t="n">
        <x:f>IF(E572&lt;(('Assumptions'!$C$50-'Assumptions'!$B$50)/('Assumptions'!$D$50-'Assumptions'!$B$50)),'Assumptions'!$B$50+SQRT(E572*('Assumptions'!$D$50-'Assumptions'!$B$50)*('Assumptions'!$C$50-'Assumptions'!$B$50)),'Assumptions'!$D$50-SQRT((1-E572)*('Assumptions'!$D$50-'Assumptions'!$B$50)*('Assumptions'!$D$50-'Assumptions'!$C$50)))</x:f>
        <x:v>0.07347571552610506</x:v>
      </x:c>
      <x:c r="K572" s="132" t="n">
        <x:f>IF(F572&lt;(('Assumptions'!$C$51-'Assumptions'!$B$51)/('Assumptions'!$D$51-'Assumptions'!$B$51)),'Assumptions'!$B$51+SQRT(F572*('Assumptions'!$D$51-'Assumptions'!$B$51)*('Assumptions'!$C$51-'Assumptions'!$B$51)),'Assumptions'!$D$51-SQRT((1-F572)*('Assumptions'!$D$51-'Assumptions'!$B$51)*('Assumptions'!$D$51-'Assumptions'!$C$51)))</x:f>
        <x:v>0.06708415002544481</x:v>
      </x:c>
      <x:c r="L572" s="133" t="n">
        <x:f>(('Assumptions'!$B$17*(1+G572)+'Assumptions'!$B$18)*(1-H572-'Assumptions'!$B$20)-SUM('Assumptions'!$B$21:$B$25)*(1+I572))-(('Assumptions'!$B$17*(1+G572)+'Assumptions'!$B$18)*(1-H572-'Assumptions'!$B$20)*'Assumptions'!$B$26)</x:f>
        <x:v>221435.79570484595</x:v>
      </x:c>
      <x:c r="M572" s="133" t="n">
        <x:f>'Assumptions'!$B$10*'Assumptions'!$B$33</x:f>
        <x:v>1950000</x:v>
      </x:c>
      <x:c r="N572" s="133" t="n">
        <x:f>-PMT(K572/12,'Assumptions'!$B$35*12,M572)*12</x:f>
        <x:v>151125.68587952957</x:v>
      </x:c>
      <x:c r="O572" s="133" t="n">
        <x:f>(L572*(1+'Assumptions'!$B$29)^('Assumptions'!$B$14/12)/J572)*(1-'Assumptions'!$B$42)-'Debt Schedule'!$F$9</x:f>
        <x:v>3284112.1550144022</x:v>
      </x:c>
      <x:c r="P572" s="132" t="n">
        <x:f>((O572+(L572-N572-'Assumptions'!$B$27-'Assumptions'!$B$28)*('Assumptions'!$B$14/12))/ABS('Monthly Cash Flow'!$S$5))^(1/('Assumptions'!$B$14/12))-1</x:f>
        <x:v>0.215574813885689</x:v>
      </x:c>
      <x:c r="Q572" s="133" t="n">
        <x:f>-ABS('Monthly Cash Flow'!$S$5)+((L572-N572-'Assumptions'!$B$27-'Assumptions'!$B$28)*(1-(1+'Assumptions'!$B$43)^-('Assumptions'!$B$14/12))/'Assumptions'!$B$43)+(O572/(1+'Assumptions'!$B$43)^('Assumptions'!$B$14/12))</x:f>
        <x:v>859574.4276713217</x:v>
      </x:c>
    </x:row>
    <x:row r="573">
      <x:c r="A573" s="131" t="n">
        <x:f>566</x:f>
        <x:v>566</x:v>
      </x:c>
      <x:c r="B573" s="131" t="n">
        <x:f>MOD(ABS(SIN((A573+1)*12.9898+78.233)*43758.5453),1)</x:f>
        <x:v>0.01017531687830342</x:v>
      </x:c>
      <x:c r="C573" s="131" t="n">
        <x:f>MOD(ABS(SIN((A573+2)*12.9898+78.233)*43758.5453),1)</x:f>
        <x:v>0.9635340729073505</x:v>
      </x:c>
      <x:c r="D573" s="131" t="n">
        <x:f>MOD(ABS(SIN((A573+3)*12.9898+78.233)*43758.5453),1)</x:f>
        <x:v>0.8486531985909096</x:v>
      </x:c>
      <x:c r="E573" s="131" t="n">
        <x:f>MOD(ABS(SIN((A573+4)*12.9898+78.233)*43758.5453),1)</x:f>
        <x:v>0.3340215698553948</x:v>
      </x:c>
      <x:c r="F573" s="131" t="n">
        <x:f>MOD(ABS(SIN((A573+5)*12.9898+78.233)*43758.5453),1)</x:f>
        <x:v>0.2176880234037526</x:v>
      </x:c>
      <x:c r="G573" s="132" t="n">
        <x:f>IF(B573&lt;(('Assumptions'!$C$47-'Assumptions'!$B$47)/('Assumptions'!$D$47-'Assumptions'!$B$47)),'Assumptions'!$B$47+SQRT(B573*('Assumptions'!$D$47-'Assumptions'!$B$47)*('Assumptions'!$C$47-'Assumptions'!$B$47)),'Assumptions'!$D$47-SQRT((1-B573)*('Assumptions'!$D$47-'Assumptions'!$B$47)*('Assumptions'!$D$47-'Assumptions'!$C$47)))</x:f>
        <x:v>-0.08437285678445092</x:v>
      </x:c>
      <x:c r="H573" s="132" t="n">
        <x:f>IF(C573&lt;(('Assumptions'!$C$48-'Assumptions'!$B$48)/('Assumptions'!$D$48-'Assumptions'!$B$48)),'Assumptions'!$B$48+SQRT(C573*('Assumptions'!$D$48-'Assumptions'!$B$48)*('Assumptions'!$C$48-'Assumptions'!$B$48)),'Assumptions'!$D$48-SQRT((1-C573)*('Assumptions'!$D$48-'Assumptions'!$B$48)*('Assumptions'!$D$48-'Assumptions'!$C$48)))</x:f>
        <x:v>0.1220863136564437</x:v>
      </x:c>
      <x:c r="I573" s="132" t="n">
        <x:f>IF(D573&lt;(('Assumptions'!$C$49-'Assumptions'!$B$49)/('Assumptions'!$D$49-'Assumptions'!$B$49)),'Assumptions'!$B$49+SQRT(D573*('Assumptions'!$D$49-'Assumptions'!$B$49)*('Assumptions'!$C$49-'Assumptions'!$B$49)),'Assumptions'!$D$49-SQRT((1-D573)*('Assumptions'!$D$49-'Assumptions'!$B$49)*('Assumptions'!$D$49-'Assumptions'!$C$49)))</x:f>
        <x:v>0.09282403555307218</x:v>
      </x:c>
      <x:c r="J573" s="132" t="n">
        <x:f>IF(E573&lt;(('Assumptions'!$C$50-'Assumptions'!$B$50)/('Assumptions'!$D$50-'Assumptions'!$B$50)),'Assumptions'!$B$50+SQRT(E573*('Assumptions'!$D$50-'Assumptions'!$B$50)*('Assumptions'!$C$50-'Assumptions'!$B$50)),'Assumptions'!$D$50-SQRT((1-E573)*('Assumptions'!$D$50-'Assumptions'!$B$50)*('Assumptions'!$D$50-'Assumptions'!$C$50)))</x:f>
        <x:v>0.06616918988242061</x:v>
      </x:c>
      <x:c r="K573" s="132" t="n">
        <x:f>IF(F573&lt;(('Assumptions'!$C$51-'Assumptions'!$B$51)/('Assumptions'!$D$51-'Assumptions'!$B$51)),'Assumptions'!$B$51+SQRT(F573*('Assumptions'!$D$51-'Assumptions'!$B$51)*('Assumptions'!$C$51-'Assumptions'!$B$51)),'Assumptions'!$D$51-SQRT((1-F573)*('Assumptions'!$D$51-'Assumptions'!$B$51)*('Assumptions'!$D$51-'Assumptions'!$C$51)))</x:f>
        <x:v>0.06523719629039047</x:v>
      </x:c>
      <x:c r="L573" s="133" t="n">
        <x:f>(('Assumptions'!$B$17*(1+G573)+'Assumptions'!$B$18)*(1-H573-'Assumptions'!$B$20)-SUM('Assumptions'!$B$21:$B$25)*(1+I573))-(('Assumptions'!$B$17*(1+G573)+'Assumptions'!$B$18)*(1-H573-'Assumptions'!$B$20)*'Assumptions'!$B$26)</x:f>
        <x:v>151944.96978646735</x:v>
      </x:c>
      <x:c r="M573" s="133" t="n">
        <x:f>'Assumptions'!$B$10*'Assumptions'!$B$33</x:f>
        <x:v>1950000</x:v>
      </x:c>
      <x:c r="N573" s="133" t="n">
        <x:f>-PMT(K573/12,'Assumptions'!$B$35*12,M573)*12</x:f>
        <x:v>148269.12811259844</x:v>
      </x:c>
      <x:c r="O573" s="133" t="n">
        <x:f>(L573*(1+'Assumptions'!$B$29)^('Assumptions'!$B$14/12)/J573)*(1-'Assumptions'!$B$42)-'Debt Schedule'!$F$9</x:f>
        <x:v>2502329.4472298343</x:v>
      </x:c>
      <x:c r="P573" s="132" t="n">
        <x:f>((O573+(L573-N573-'Assumptions'!$B$27-'Assumptions'!$B$28)*('Assumptions'!$B$14/12))/ABS('Monthly Cash Flow'!$S$5))^(1/('Assumptions'!$B$14/12))-1</x:f>
        <x:v>0.12383800201744677</x:v>
      </x:c>
      <x:c r="Q573" s="133" t="n">
        <x:f>-ABS('Monthly Cash Flow'!$S$5)+((L573-N573-'Assumptions'!$B$27-'Assumptions'!$B$28)*(1-(1+'Assumptions'!$B$43)^-('Assumptions'!$B$14/12))/'Assumptions'!$B$43)+(O573/(1+'Assumptions'!$B$43)^('Assumptions'!$B$14/12))</x:f>
        <x:v>121552.57231123699</x:v>
      </x:c>
    </x:row>
    <x:row r="574">
      <x:c r="A574" s="131" t="n">
        <x:f>567</x:f>
        <x:v>567</x:v>
      </x:c>
      <x:c r="B574" s="131" t="n">
        <x:f>MOD(ABS(SIN((A574+1)*12.9898+78.233)*43758.5453),1)</x:f>
        <x:v>0.9635340729073505</x:v>
      </x:c>
      <x:c r="C574" s="131" t="n">
        <x:f>MOD(ABS(SIN((A574+2)*12.9898+78.233)*43758.5453),1)</x:f>
        <x:v>0.8486531985909096</x:v>
      </x:c>
      <x:c r="D574" s="131" t="n">
        <x:f>MOD(ABS(SIN((A574+3)*12.9898+78.233)*43758.5453),1)</x:f>
        <x:v>0.3340215698553948</x:v>
      </x:c>
      <x:c r="E574" s="131" t="n">
        <x:f>MOD(ABS(SIN((A574+4)*12.9898+78.233)*43758.5453),1)</x:f>
        <x:v>0.2176880234037526</x:v>
      </x:c>
      <x:c r="F574" s="131" t="n">
        <x:f>MOD(ABS(SIN((A574+5)*12.9898+78.233)*43758.5453),1)</x:f>
        <x:v>0.15447840258480028</x:v>
      </x:c>
      <x:c r="G574" s="132" t="n">
        <x:f>IF(B574&lt;(('Assumptions'!$C$47-'Assumptions'!$B$47)/('Assumptions'!$D$47-'Assumptions'!$B$47)),'Assumptions'!$B$47+SQRT(B574*('Assumptions'!$D$47-'Assumptions'!$B$47)*('Assumptions'!$C$47-'Assumptions'!$B$47)),'Assumptions'!$D$47-SQRT((1-B574)*('Assumptions'!$D$47-'Assumptions'!$B$47)*('Assumptions'!$D$47-'Assumptions'!$C$47)))</x:f>
        <x:v>0.07584519026192937</x:v>
      </x:c>
      <x:c r="H574" s="132" t="n">
        <x:f>IF(C574&lt;(('Assumptions'!$C$48-'Assumptions'!$B$48)/('Assumptions'!$D$48-'Assumptions'!$B$48)),'Assumptions'!$B$48+SQRT(C574*('Assumptions'!$D$48-'Assumptions'!$B$48)*('Assumptions'!$C$48-'Assumptions'!$B$48)),'Assumptions'!$D$48-SQRT((1-C574)*('Assumptions'!$D$48-'Assumptions'!$B$48)*('Assumptions'!$D$48-'Assumptions'!$C$48)))</x:f>
        <x:v>0.1035054544842658</x:v>
      </x:c>
      <x:c r="I574" s="132" t="n">
        <x:f>IF(D574&lt;(('Assumptions'!$C$49-'Assumptions'!$B$49)/('Assumptions'!$D$49-'Assumptions'!$B$49)),'Assumptions'!$B$49+SQRT(D574*('Assumptions'!$D$49-'Assumptions'!$B$49)*('Assumptions'!$C$49-'Assumptions'!$B$49)),'Assumptions'!$D$49-SQRT((1-D574)*('Assumptions'!$D$49-'Assumptions'!$B$49)*('Assumptions'!$D$49-'Assumptions'!$C$49)))</x:f>
        <x:v>0.030061957281588614</x:v>
      </x:c>
      <x:c r="J574" s="132" t="n">
        <x:f>IF(E574&lt;(('Assumptions'!$C$50-'Assumptions'!$B$50)/('Assumptions'!$D$50-'Assumptions'!$B$50)),'Assumptions'!$B$50+SQRT(E574*('Assumptions'!$D$50-'Assumptions'!$B$50)*('Assumptions'!$C$50-'Assumptions'!$B$50)),'Assumptions'!$D$50-SQRT((1-E574)*('Assumptions'!$D$50-'Assumptions'!$B$50)*('Assumptions'!$D$50-'Assumptions'!$C$50)))</x:f>
        <x:v>0.06449855737033314</x:v>
      </x:c>
      <x:c r="K574" s="132" t="n">
        <x:f>IF(F574&lt;(('Assumptions'!$C$51-'Assumptions'!$B$51)/('Assumptions'!$D$51-'Assumptions'!$B$51)),'Assumptions'!$B$51+SQRT(F574*('Assumptions'!$D$51-'Assumptions'!$B$51)*('Assumptions'!$C$51-'Assumptions'!$B$51)),'Assumptions'!$D$51-SQRT((1-F574)*('Assumptions'!$D$51-'Assumptions'!$B$51)*('Assumptions'!$D$51-'Assumptions'!$C$51)))</x:f>
        <x:v>0.06401778802285102</x:v>
      </x:c>
      <x:c r="L574" s="133" t="n">
        <x:f>(('Assumptions'!$B$17*(1+G574)+'Assumptions'!$B$18)*(1-H574-'Assumptions'!$B$20)-SUM('Assumptions'!$B$21:$B$25)*(1+I574))-(('Assumptions'!$B$17*(1+G574)+'Assumptions'!$B$18)*(1-H574-'Assumptions'!$B$20)*'Assumptions'!$B$26)</x:f>
        <x:v>215140.21574517916</x:v>
      </x:c>
      <x:c r="M574" s="133" t="n">
        <x:f>'Assumptions'!$B$10*'Assumptions'!$B$33</x:f>
        <x:v>1950000</x:v>
      </x:c>
      <x:c r="N574" s="133" t="n">
        <x:f>-PMT(K574/12,'Assumptions'!$B$35*12,M574)*12</x:f>
        <x:v>146395.63784173943</x:v>
      </x:c>
      <x:c r="O574" s="133" t="n">
        <x:f>(L574*(1+'Assumptions'!$B$29)^('Assumptions'!$B$14/12)/J574)*(1-'Assumptions'!$B$42)-'Debt Schedule'!$F$9</x:f>
        <x:v>3634842.3211922497</x:v>
      </x:c>
      <x:c r="P574" s="132" t="n">
        <x:f>((O574+(L574-N574-'Assumptions'!$B$27-'Assumptions'!$B$28)*('Assumptions'!$B$14/12))/ABS('Monthly Cash Flow'!$S$5))^(1/('Assumptions'!$B$14/12))-1</x:f>
        <x:v>0.23892487681204932</x:v>
      </x:c>
      <x:c r="Q574" s="133" t="n">
        <x:f>-ABS('Monthly Cash Flow'!$S$5)+((L574-N574-'Assumptions'!$B$27-'Assumptions'!$B$28)*(1-(1+'Assumptions'!$B$43)^-('Assumptions'!$B$14/12))/'Assumptions'!$B$43)+(O574/(1+'Assumptions'!$B$43)^('Assumptions'!$B$14/12))</x:f>
        <x:v>1071415.6687946916</x:v>
      </x:c>
    </x:row>
    <x:row r="575">
      <x:c r="A575" s="131" t="n">
        <x:f>568</x:f>
        <x:v>568</x:v>
      </x:c>
      <x:c r="B575" s="131" t="n">
        <x:f>MOD(ABS(SIN((A575+1)*12.9898+78.233)*43758.5453),1)</x:f>
        <x:v>0.8486531985909096</x:v>
      </x:c>
      <x:c r="C575" s="131" t="n">
        <x:f>MOD(ABS(SIN((A575+2)*12.9898+78.233)*43758.5453),1)</x:f>
        <x:v>0.3340215698553948</x:v>
      </x:c>
      <x:c r="D575" s="131" t="n">
        <x:f>MOD(ABS(SIN((A575+3)*12.9898+78.233)*43758.5453),1)</x:f>
        <x:v>0.2176880234037526</x:v>
      </x:c>
      <x:c r="E575" s="131" t="n">
        <x:f>MOD(ABS(SIN((A575+4)*12.9898+78.233)*43758.5453),1)</x:f>
        <x:v>0.15447840258480028</x:v>
      </x:c>
      <x:c r="F575" s="131" t="n">
        <x:f>MOD(ABS(SIN((A575+5)*12.9898+78.233)*43758.5453),1)</x:f>
        <x:v>0.5199654002281022</x:v>
      </x:c>
      <x:c r="G575" s="132" t="n">
        <x:f>IF(B575&lt;(('Assumptions'!$C$47-'Assumptions'!$B$47)/('Assumptions'!$D$47-'Assumptions'!$B$47)),'Assumptions'!$B$47+SQRT(B575*('Assumptions'!$D$47-'Assumptions'!$B$47)*('Assumptions'!$C$47-'Assumptions'!$B$47)),'Assumptions'!$D$47-SQRT((1-B575)*('Assumptions'!$D$47-'Assumptions'!$B$47)*('Assumptions'!$D$47-'Assumptions'!$C$47)))</x:f>
        <x:v>0.050790764865266944</x:v>
      </x:c>
      <x:c r="H575" s="132" t="n">
        <x:f>IF(C575&lt;(('Assumptions'!$C$48-'Assumptions'!$B$48)/('Assumptions'!$D$48-'Assumptions'!$B$48)),'Assumptions'!$B$48+SQRT(C575*('Assumptions'!$D$48-'Assumptions'!$B$48)*('Assumptions'!$C$48-'Assumptions'!$B$48)),'Assumptions'!$D$48-SQRT((1-C575)*('Assumptions'!$D$48-'Assumptions'!$B$48)*('Assumptions'!$D$48-'Assumptions'!$C$48)))</x:f>
        <x:v>0.06344537776677017</x:v>
      </x:c>
      <x:c r="I575" s="132" t="n">
        <x:f>IF(D575&lt;(('Assumptions'!$C$49-'Assumptions'!$B$49)/('Assumptions'!$D$49-'Assumptions'!$B$49)),'Assumptions'!$B$49+SQRT(D575*('Assumptions'!$D$49-'Assumptions'!$B$49)*('Assumptions'!$C$49-'Assumptions'!$B$49)),'Assumptions'!$D$49-SQRT((1-D575)*('Assumptions'!$D$49-'Assumptions'!$B$49)*('Assumptions'!$D$49-'Assumptions'!$C$49)))</x:f>
        <x:v>0.018487427780410536</x:v>
      </x:c>
      <x:c r="J575" s="132" t="n">
        <x:f>IF(E575&lt;(('Assumptions'!$C$50-'Assumptions'!$B$50)/('Assumptions'!$D$50-'Assumptions'!$B$50)),'Assumptions'!$B$50+SQRT(E575*('Assumptions'!$D$50-'Assumptions'!$B$50)*('Assumptions'!$C$50-'Assumptions'!$B$50)),'Assumptions'!$D$50-SQRT((1-E575)*('Assumptions'!$D$50-'Assumptions'!$B$50)*('Assumptions'!$D$50-'Assumptions'!$C$50)))</x:f>
        <x:v>0.06339556109132796</x:v>
      </x:c>
      <x:c r="K575" s="132" t="n">
        <x:f>IF(F575&lt;(('Assumptions'!$C$51-'Assumptions'!$B$51)/('Assumptions'!$D$51-'Assumptions'!$B$51)),'Assumptions'!$B$51+SQRT(F575*('Assumptions'!$D$51-'Assumptions'!$B$51)*('Assumptions'!$C$51-'Assumptions'!$B$51)),'Assumptions'!$D$51-SQRT((1-F575)*('Assumptions'!$D$51-'Assumptions'!$B$51)*('Assumptions'!$D$51-'Assumptions'!$C$51)))</x:f>
        <x:v>0.06980076807400368</x:v>
      </x:c>
      <x:c r="L575" s="133" t="n">
        <x:f>(('Assumptions'!$B$17*(1+G575)+'Assumptions'!$B$18)*(1-H575-'Assumptions'!$B$20)-SUM('Assumptions'!$B$21:$B$25)*(1+I575))-(('Assumptions'!$B$17*(1+G575)+'Assumptions'!$B$18)*(1-H575-'Assumptions'!$B$20)*'Assumptions'!$B$26)</x:f>
        <x:v>224162.80586010695</x:v>
      </x:c>
      <x:c r="M575" s="133" t="n">
        <x:f>'Assumptions'!$B$10*'Assumptions'!$B$33</x:f>
        <x:v>1950000</x:v>
      </x:c>
      <x:c r="N575" s="133" t="n">
        <x:f>-PMT(K575/12,'Assumptions'!$B$35*12,M575)*12</x:f>
        <x:v>155367.8096696414</x:v>
      </x:c>
      <x:c r="O575" s="133" t="n">
        <x:f>(L575*(1+'Assumptions'!$B$29)^('Assumptions'!$B$14/12)/J575)*(1-'Assumptions'!$B$42)-'Debt Schedule'!$F$9</x:f>
        <x:v>3853174.5329725146</x:v>
      </x:c>
      <x:c r="P575" s="132" t="n">
        <x:f>((O575+(L575-N575-'Assumptions'!$B$27-'Assumptions'!$B$28)*('Assumptions'!$B$14/12))/ABS('Monthly Cash Flow'!$S$5))^(1/('Assumptions'!$B$14/12))-1</x:f>
        <x:v>0.25293825011973436</x:v>
      </x:c>
      <x:c r="Q575" s="133" t="n">
        <x:f>-ABS('Monthly Cash Flow'!$S$5)+((L575-N575-'Assumptions'!$B$27-'Assumptions'!$B$28)*(1-(1+'Assumptions'!$B$43)^-('Assumptions'!$B$14/12))/'Assumptions'!$B$43)+(O575/(1+'Assumptions'!$B$43)^('Assumptions'!$B$14/12))</x:f>
        <x:v>1207173.919575119</x:v>
      </x:c>
    </x:row>
    <x:row r="576">
      <x:c r="A576" s="131" t="n">
        <x:f>569</x:f>
        <x:v>569</x:v>
      </x:c>
      <x:c r="B576" s="131" t="n">
        <x:f>MOD(ABS(SIN((A576+1)*12.9898+78.233)*43758.5453),1)</x:f>
        <x:v>0.3340215698553948</x:v>
      </x:c>
      <x:c r="C576" s="131" t="n">
        <x:f>MOD(ABS(SIN((A576+2)*12.9898+78.233)*43758.5453),1)</x:f>
        <x:v>0.2176880234037526</x:v>
      </x:c>
      <x:c r="D576" s="131" t="n">
        <x:f>MOD(ABS(SIN((A576+3)*12.9898+78.233)*43758.5453),1)</x:f>
        <x:v>0.15447840258480028</x:v>
      </x:c>
      <x:c r="E576" s="131" t="n">
        <x:f>MOD(ABS(SIN((A576+4)*12.9898+78.233)*43758.5453),1)</x:f>
        <x:v>0.5199654002281022</x:v>
      </x:c>
      <x:c r="F576" s="131" t="n">
        <x:f>MOD(ABS(SIN((A576+5)*12.9898+78.233)*43758.5453),1)</x:f>
        <x:v>0.7642641897436988</x:v>
      </x:c>
      <x:c r="G576" s="132" t="n">
        <x:f>IF(B576&lt;(('Assumptions'!$C$47-'Assumptions'!$B$47)/('Assumptions'!$D$47-'Assumptions'!$B$47)),'Assumptions'!$B$47+SQRT(B576*('Assumptions'!$D$47-'Assumptions'!$B$47)*('Assumptions'!$C$47-'Assumptions'!$B$47)),'Assumptions'!$D$47-SQRT((1-B576)*('Assumptions'!$D$47-'Assumptions'!$B$47)*('Assumptions'!$D$47-'Assumptions'!$C$47)))</x:f>
        <x:v>-0.010464991894067077</x:v>
      </x:c>
      <x:c r="H576" s="132" t="n">
        <x:f>IF(C576&lt;(('Assumptions'!$C$48-'Assumptions'!$B$48)/('Assumptions'!$D$48-'Assumptions'!$B$48)),'Assumptions'!$B$48+SQRT(C576*('Assumptions'!$D$48-'Assumptions'!$B$48)*('Assumptions'!$C$48-'Assumptions'!$B$48)),'Assumptions'!$D$48-SQRT((1-C576)*('Assumptions'!$D$48-'Assumptions'!$B$48)*('Assumptions'!$D$48-'Assumptions'!$C$48)))</x:f>
        <x:v>0.05680243416617945</x:v>
      </x:c>
      <x:c r="I576" s="132" t="n">
        <x:f>IF(D576&lt;(('Assumptions'!$C$49-'Assumptions'!$B$49)/('Assumptions'!$D$49-'Assumptions'!$B$49)),'Assumptions'!$B$49+SQRT(D576*('Assumptions'!$D$49-'Assumptions'!$B$49)*('Assumptions'!$C$49-'Assumptions'!$B$49)),'Assumptions'!$D$49-SQRT((1-D576)*('Assumptions'!$D$49-'Assumptions'!$B$49)*('Assumptions'!$D$49-'Assumptions'!$C$49)))</x:f>
        <x:v>0.010845645397224941</x:v>
      </x:c>
      <x:c r="J576" s="132" t="n">
        <x:f>IF(E576&lt;(('Assumptions'!$C$50-'Assumptions'!$B$50)/('Assumptions'!$D$50-'Assumptions'!$B$50)),'Assumptions'!$B$50+SQRT(E576*('Assumptions'!$D$50-'Assumptions'!$B$50)*('Assumptions'!$C$50-'Assumptions'!$B$50)),'Assumptions'!$D$50-SQRT((1-E576)*('Assumptions'!$D$50-'Assumptions'!$B$50)*('Assumptions'!$D$50-'Assumptions'!$C$50)))</x:f>
        <x:v>0.06838063120536032</x:v>
      </x:c>
      <x:c r="K576" s="132" t="n">
        <x:f>IF(F576&lt;(('Assumptions'!$C$51-'Assumptions'!$B$51)/('Assumptions'!$D$51-'Assumptions'!$B$51)),'Assumptions'!$B$51+SQRT(F576*('Assumptions'!$D$51-'Assumptions'!$B$51)*('Assumptions'!$C$51-'Assumptions'!$B$51)),'Assumptions'!$D$51-SQRT((1-F576)*('Assumptions'!$D$51-'Assumptions'!$B$51)*('Assumptions'!$D$51-'Assumptions'!$C$51)))</x:f>
        <x:v>0.07434880951790623</x:v>
      </x:c>
      <x:c r="L576" s="133" t="n">
        <x:f>(('Assumptions'!$B$17*(1+G576)+'Assumptions'!$B$18)*(1-H576-'Assumptions'!$B$20)-SUM('Assumptions'!$B$21:$B$25)*(1+I576))-(('Assumptions'!$B$17*(1+G576)+'Assumptions'!$B$18)*(1-H576-'Assumptions'!$B$20)*'Assumptions'!$B$26)</x:f>
        <x:v>207897.08461485434</x:v>
      </x:c>
      <x:c r="M576" s="133" t="n">
        <x:f>'Assumptions'!$B$10*'Assumptions'!$B$33</x:f>
        <x:v>1950000</x:v>
      </x:c>
      <x:c r="N576" s="133" t="n">
        <x:f>-PMT(K576/12,'Assumptions'!$B$35*12,M576)*12</x:f>
        <x:v>162574.04902179277</x:v>
      </x:c>
      <x:c r="O576" s="133" t="n">
        <x:f>(L576*(1+'Assumptions'!$B$29)^('Assumptions'!$B$14/12)/J576)*(1-'Assumptions'!$B$42)-'Debt Schedule'!$F$9</x:f>
        <x:v>3313059.7700566663</x:v>
      </x:c>
      <x:c r="P576" s="132" t="n">
        <x:f>((O576+(L576-N576-'Assumptions'!$B$27-'Assumptions'!$B$28)*('Assumptions'!$B$14/12))/ABS('Monthly Cash Flow'!$S$5))^(1/('Assumptions'!$B$14/12))-1</x:f>
        <x:v>0.2087053066096327</x:v>
      </x:c>
      <x:c r="Q576" s="133" t="n">
        <x:f>-ABS('Monthly Cash Flow'!$S$5)+((L576-N576-'Assumptions'!$B$27-'Assumptions'!$B$28)*(1-(1+'Assumptions'!$B$43)^-('Assumptions'!$B$14/12))/'Assumptions'!$B$43)+(O576/(1+'Assumptions'!$B$43)^('Assumptions'!$B$14/12))</x:f>
        <x:v>782827.948696913</x:v>
      </x:c>
    </x:row>
    <x:row r="577">
      <x:c r="A577" s="131" t="n">
        <x:f>570</x:f>
        <x:v>570</x:v>
      </x:c>
      <x:c r="B577" s="131" t="n">
        <x:f>MOD(ABS(SIN((A577+1)*12.9898+78.233)*43758.5453),1)</x:f>
        <x:v>0.2176880234037526</x:v>
      </x:c>
      <x:c r="C577" s="131" t="n">
        <x:f>MOD(ABS(SIN((A577+2)*12.9898+78.233)*43758.5453),1)</x:f>
        <x:v>0.15447840258480028</x:v>
      </x:c>
      <x:c r="D577" s="131" t="n">
        <x:f>MOD(ABS(SIN((A577+3)*12.9898+78.233)*43758.5453),1)</x:f>
        <x:v>0.5199654002281022</x:v>
      </x:c>
      <x:c r="E577" s="131" t="n">
        <x:f>MOD(ABS(SIN((A577+4)*12.9898+78.233)*43758.5453),1)</x:f>
        <x:v>0.7642641897436988</x:v>
      </x:c>
      <x:c r="F577" s="131" t="n">
        <x:f>MOD(ABS(SIN((A577+5)*12.9898+78.233)*43758.5453),1)</x:f>
        <x:v>0.6973300314348307</x:v>
      </x:c>
      <x:c r="G577" s="132" t="n">
        <x:f>IF(B577&lt;(('Assumptions'!$C$47-'Assumptions'!$B$47)/('Assumptions'!$D$47-'Assumptions'!$B$47)),'Assumptions'!$B$47+SQRT(B577*('Assumptions'!$D$47-'Assumptions'!$B$47)*('Assumptions'!$C$47-'Assumptions'!$B$47)),'Assumptions'!$D$47-SQRT((1-B577)*('Assumptions'!$D$47-'Assumptions'!$B$47)*('Assumptions'!$D$47-'Assumptions'!$C$47)))</x:f>
        <x:v>-0.02771921028592686</x:v>
      </x:c>
      <x:c r="H577" s="132" t="n">
        <x:f>IF(C577&lt;(('Assumptions'!$C$48-'Assumptions'!$B$48)/('Assumptions'!$D$48-'Assumptions'!$B$48)),'Assumptions'!$B$48+SQRT(C577*('Assumptions'!$D$48-'Assumptions'!$B$48)*('Assumptions'!$C$48-'Assumptions'!$B$48)),'Assumptions'!$D$48-SQRT((1-C577)*('Assumptions'!$D$48-'Assumptions'!$B$48)*('Assumptions'!$D$48-'Assumptions'!$C$48)))</x:f>
        <x:v>0.052578280017083694</x:v>
      </x:c>
      <x:c r="I577" s="132" t="n">
        <x:f>IF(D577&lt;(('Assumptions'!$C$49-'Assumptions'!$B$49)/('Assumptions'!$D$49-'Assumptions'!$B$49)),'Assumptions'!$B$49+SQRT(D577*('Assumptions'!$D$49-'Assumptions'!$B$49)*('Assumptions'!$C$49-'Assumptions'!$B$49)),'Assumptions'!$D$49-SQRT((1-D577)*('Assumptions'!$D$49-'Assumptions'!$B$49)*('Assumptions'!$D$49-'Assumptions'!$C$49)))</x:f>
        <x:v>0.04817295371526781</x:v>
      </x:c>
      <x:c r="J577" s="132" t="n">
        <x:f>IF(E577&lt;(('Assumptions'!$C$50-'Assumptions'!$B$50)/('Assumptions'!$D$50-'Assumptions'!$B$50)),'Assumptions'!$B$50+SQRT(E577*('Assumptions'!$D$50-'Assumptions'!$B$50)*('Assumptions'!$C$50-'Assumptions'!$B$50)),'Assumptions'!$D$50-SQRT((1-E577)*('Assumptions'!$D$50-'Assumptions'!$B$50)*('Assumptions'!$D$50-'Assumptions'!$C$50)))</x:f>
        <x:v>0.07185747602800062</x:v>
      </x:c>
      <x:c r="K577" s="132" t="n">
        <x:f>IF(F577&lt;(('Assumptions'!$C$51-'Assumptions'!$B$51)/('Assumptions'!$D$51-'Assumptions'!$B$51)),'Assumptions'!$B$51+SQRT(F577*('Assumptions'!$D$51-'Assumptions'!$B$51)*('Assumptions'!$C$51-'Assumptions'!$B$51)),'Assumptions'!$D$51-SQRT((1-F577)*('Assumptions'!$D$51-'Assumptions'!$B$51)*('Assumptions'!$D$51-'Assumptions'!$C$51)))</x:f>
        <x:v>0.07293103474311126</x:v>
      </x:c>
      <x:c r="L577" s="133" t="n">
        <x:f>(('Assumptions'!$B$17*(1+G577)+'Assumptions'!$B$18)*(1-H577-'Assumptions'!$B$20)-SUM('Assumptions'!$B$21:$B$25)*(1+I577))-(('Assumptions'!$B$17*(1+G577)+'Assumptions'!$B$18)*(1-H577-'Assumptions'!$B$20)*'Assumptions'!$B$26)</x:f>
        <x:v>199121.52735034065</x:v>
      </x:c>
      <x:c r="M577" s="133" t="n">
        <x:f>'Assumptions'!$B$10*'Assumptions'!$B$33</x:f>
        <x:v>1950000</x:v>
      </x:c>
      <x:c r="N577" s="133" t="n">
        <x:f>-PMT(K577/12,'Assumptions'!$B$35*12,M577)*12</x:f>
        <x:v>160313.94128283355</x:v>
      </x:c>
      <x:c r="O577" s="133" t="n">
        <x:f>(L577*(1+'Assumptions'!$B$29)^('Assumptions'!$B$14/12)/J577)*(1-'Assumptions'!$B$42)-'Debt Schedule'!$F$9</x:f>
        <x:v>3019675.2074923897</x:v>
      </x:c>
      <x:c r="P577" s="132" t="n">
        <x:f>((O577+(L577-N577-'Assumptions'!$B$27-'Assumptions'!$B$28)*('Assumptions'!$B$14/12))/ABS('Monthly Cash Flow'!$S$5))^(1/('Assumptions'!$B$14/12))-1</x:f>
        <x:v>0.18413160100169845</x:v>
      </x:c>
      <x:c r="Q577" s="133" t="n">
        <x:f>-ABS('Monthly Cash Flow'!$S$5)+((L577-N577-'Assumptions'!$B$27-'Assumptions'!$B$28)*(1-(1+'Assumptions'!$B$43)^-('Assumptions'!$B$14/12))/'Assumptions'!$B$43)+(O577/(1+'Assumptions'!$B$43)^('Assumptions'!$B$14/12))</x:f>
        <x:v>575960.5380861505</x:v>
      </x:c>
    </x:row>
    <x:row r="578">
      <x:c r="A578" s="131" t="n">
        <x:f>571</x:f>
        <x:v>571</x:v>
      </x:c>
      <x:c r="B578" s="131" t="n">
        <x:f>MOD(ABS(SIN((A578+1)*12.9898+78.233)*43758.5453),1)</x:f>
        <x:v>0.15447840258480028</x:v>
      </x:c>
      <x:c r="C578" s="131" t="n">
        <x:f>MOD(ABS(SIN((A578+2)*12.9898+78.233)*43758.5453),1)</x:f>
        <x:v>0.5199654002281022</x:v>
      </x:c>
      <x:c r="D578" s="131" t="n">
        <x:f>MOD(ABS(SIN((A578+3)*12.9898+78.233)*43758.5453),1)</x:f>
        <x:v>0.7642641897436988</x:v>
      </x:c>
      <x:c r="E578" s="131" t="n">
        <x:f>MOD(ABS(SIN((A578+4)*12.9898+78.233)*43758.5453),1)</x:f>
        <x:v>0.6973300314348307</x:v>
      </x:c>
      <x:c r="F578" s="131" t="n">
        <x:f>MOD(ABS(SIN((A578+5)*12.9898+78.233)*43758.5453),1)</x:f>
        <x:v>0.11317968248476973</x:v>
      </x:c>
      <x:c r="G578" s="132" t="n">
        <x:f>IF(B578&lt;(('Assumptions'!$C$47-'Assumptions'!$B$47)/('Assumptions'!$D$47-'Assumptions'!$B$47)),'Assumptions'!$B$47+SQRT(B578*('Assumptions'!$D$47-'Assumptions'!$B$47)*('Assumptions'!$C$47-'Assumptions'!$B$47)),'Assumptions'!$D$47-SQRT((1-B578)*('Assumptions'!$D$47-'Assumptions'!$B$47)*('Assumptions'!$D$47-'Assumptions'!$C$47)))</x:f>
        <x:v>-0.03911090687130243</x:v>
      </x:c>
      <x:c r="H578" s="132" t="n">
        <x:f>IF(C578&lt;(('Assumptions'!$C$48-'Assumptions'!$B$48)/('Assumptions'!$D$48-'Assumptions'!$B$48)),'Assumptions'!$B$48+SQRT(C578*('Assumptions'!$D$48-'Assumptions'!$B$48)*('Assumptions'!$C$48-'Assumptions'!$B$48)),'Assumptions'!$D$48-SQRT((1-C578)*('Assumptions'!$D$48-'Assumptions'!$B$48)*('Assumptions'!$D$48-'Assumptions'!$C$48)))</x:f>
        <x:v>0.07500535038949206</x:v>
      </x:c>
      <x:c r="I578" s="132" t="n">
        <x:f>IF(D578&lt;(('Assumptions'!$C$49-'Assumptions'!$B$49)/('Assumptions'!$D$49-'Assumptions'!$B$49)),'Assumptions'!$B$49+SQRT(D578*('Assumptions'!$D$49-'Assumptions'!$B$49)*('Assumptions'!$C$49-'Assumptions'!$B$49)),'Assumptions'!$D$49-SQRT((1-D578)*('Assumptions'!$D$49-'Assumptions'!$B$49)*('Assumptions'!$D$49-'Assumptions'!$C$49)))</x:f>
        <x:v>0.07864249512814993</x:v>
      </x:c>
      <x:c r="J578" s="132" t="n">
        <x:f>IF(E578&lt;(('Assumptions'!$C$50-'Assumptions'!$B$50)/('Assumptions'!$D$50-'Assumptions'!$B$50)),'Assumptions'!$B$50+SQRT(E578*('Assumptions'!$D$50-'Assumptions'!$B$50)*('Assumptions'!$C$50-'Assumptions'!$B$50)),'Assumptions'!$D$50-SQRT((1-E578)*('Assumptions'!$D$50-'Assumptions'!$B$50)*('Assumptions'!$D$50-'Assumptions'!$C$50)))</x:f>
        <x:v>0.07077362862990255</x:v>
      </x:c>
      <x:c r="K578" s="132" t="n">
        <x:f>IF(F578&lt;(('Assumptions'!$C$51-'Assumptions'!$B$51)/('Assumptions'!$D$51-'Assumptions'!$B$51)),'Assumptions'!$B$51+SQRT(F578*('Assumptions'!$D$51-'Assumptions'!$B$51)*('Assumptions'!$C$51-'Assumptions'!$B$51)),'Assumptions'!$D$51-SQRT((1-F578)*('Assumptions'!$D$51-'Assumptions'!$B$51)*('Assumptions'!$D$51-'Assumptions'!$C$51)))</x:f>
        <x:v>0.06307892576427682</x:v>
      </x:c>
      <x:c r="L578" s="133" t="n">
        <x:f>(('Assumptions'!$B$17*(1+G578)+'Assumptions'!$B$18)*(1-H578-'Assumptions'!$B$20)-SUM('Assumptions'!$B$21:$B$25)*(1+I578))-(('Assumptions'!$B$17*(1+G578)+'Assumptions'!$B$18)*(1-H578-'Assumptions'!$B$20)*'Assumptions'!$B$26)</x:f>
        <x:v>183756.56896981047</x:v>
      </x:c>
      <x:c r="M578" s="133" t="n">
        <x:f>'Assumptions'!$B$10*'Assumptions'!$B$33</x:f>
        <x:v>1950000</x:v>
      </x:c>
      <x:c r="N578" s="133" t="n">
        <x:f>-PMT(K578/12,'Assumptions'!$B$35*12,M578)*12</x:f>
        <x:v>144960.04217934422</x:v>
      </x:c>
      <x:c r="O578" s="133" t="n">
        <x:f>(L578*(1+'Assumptions'!$B$29)^('Assumptions'!$B$14/12)/J578)*(1-'Assumptions'!$B$42)-'Debt Schedule'!$F$9</x:f>
        <x:v>2829341.6161097516</x:v>
      </x:c>
      <x:c r="P578" s="132" t="n">
        <x:f>((O578+(L578-N578-'Assumptions'!$B$27-'Assumptions'!$B$28)*('Assumptions'!$B$14/12))/ABS('Monthly Cash Flow'!$S$5))^(1/('Assumptions'!$B$14/12))-1</x:f>
        <x:v>0.16877722622263192</x:v>
      </x:c>
      <x:c r="Q578" s="133" t="n">
        <x:f>-ABS('Monthly Cash Flow'!$S$5)+((L578-N578-'Assumptions'!$B$27-'Assumptions'!$B$28)*(1-(1+'Assumptions'!$B$43)^-('Assumptions'!$B$14/12))/'Assumptions'!$B$43)+(O578/(1+'Assumptions'!$B$43)^('Assumptions'!$B$14/12))</x:f>
        <x:v>457736.4293411565</x:v>
      </x:c>
    </x:row>
    <x:row r="579">
      <x:c r="A579" s="131" t="n">
        <x:f>572</x:f>
        <x:v>572</x:v>
      </x:c>
      <x:c r="B579" s="131" t="n">
        <x:f>MOD(ABS(SIN((A579+1)*12.9898+78.233)*43758.5453),1)</x:f>
        <x:v>0.5199654002281022</x:v>
      </x:c>
      <x:c r="C579" s="131" t="n">
        <x:f>MOD(ABS(SIN((A579+2)*12.9898+78.233)*43758.5453),1)</x:f>
        <x:v>0.7642641897436988</x:v>
      </x:c>
      <x:c r="D579" s="131" t="n">
        <x:f>MOD(ABS(SIN((A579+3)*12.9898+78.233)*43758.5453),1)</x:f>
        <x:v>0.6973300314348307</x:v>
      </x:c>
      <x:c r="E579" s="131" t="n">
        <x:f>MOD(ABS(SIN((A579+4)*12.9898+78.233)*43758.5453),1)</x:f>
        <x:v>0.11317968248476973</x:v>
      </x:c>
      <x:c r="F579" s="131" t="n">
        <x:f>MOD(ABS(SIN((A579+5)*12.9898+78.233)*43758.5453),1)</x:f>
        <x:v>0.5974724377228995</x:v>
      </x:c>
      <x:c r="G579" s="132" t="n">
        <x:f>IF(B579&lt;(('Assumptions'!$C$47-'Assumptions'!$B$47)/('Assumptions'!$D$47-'Assumptions'!$B$47)),'Assumptions'!$B$47+SQRT(B579*('Assumptions'!$D$47-'Assumptions'!$B$47)*('Assumptions'!$C$47-'Assumptions'!$B$47)),'Assumptions'!$D$47-SQRT((1-B579)*('Assumptions'!$D$47-'Assumptions'!$B$47)*('Assumptions'!$D$47-'Assumptions'!$C$47)))</x:f>
        <x:v>0.011710203676631323</x:v>
      </x:c>
      <x:c r="H579" s="132" t="n">
        <x:f>IF(C579&lt;(('Assumptions'!$C$48-'Assumptions'!$B$48)/('Assumptions'!$D$48-'Assumptions'!$B$48)),'Assumptions'!$B$48+SQRT(C579*('Assumptions'!$D$48-'Assumptions'!$B$48)*('Assumptions'!$C$48-'Assumptions'!$B$48)),'Assumptions'!$D$48-SQRT((1-C579)*('Assumptions'!$D$48-'Assumptions'!$B$48)*('Assumptions'!$D$48-'Assumptions'!$C$48)))</x:f>
        <x:v>0.0944535936625572</x:v>
      </x:c>
      <x:c r="I579" s="132" t="n">
        <x:f>IF(D579&lt;(('Assumptions'!$C$49-'Assumptions'!$B$49)/('Assumptions'!$D$49-'Assumptions'!$B$49)),'Assumptions'!$B$49+SQRT(D579*('Assumptions'!$D$49-'Assumptions'!$B$49)*('Assumptions'!$C$49-'Assumptions'!$B$49)),'Assumptions'!$D$49-SQRT((1-D579)*('Assumptions'!$D$49-'Assumptions'!$B$49)*('Assumptions'!$D$49-'Assumptions'!$C$49)))</x:f>
        <x:v>0.06914413242684452</x:v>
      </x:c>
      <x:c r="J579" s="132" t="n">
        <x:f>IF(E579&lt;(('Assumptions'!$C$50-'Assumptions'!$B$50)/('Assumptions'!$D$50-'Assumptions'!$B$50)),'Assumptions'!$B$50+SQRT(E579*('Assumptions'!$D$50-'Assumptions'!$B$50)*('Assumptions'!$C$50-'Assumptions'!$B$50)),'Assumptions'!$D$50-SQRT((1-E579)*('Assumptions'!$D$50-'Assumptions'!$B$50)*('Assumptions'!$D$50-'Assumptions'!$C$50)))</x:f>
        <x:v>0.0625463282254599</x:v>
      </x:c>
      <x:c r="K579" s="132" t="n">
        <x:f>IF(F579&lt;(('Assumptions'!$C$51-'Assumptions'!$B$51)/('Assumptions'!$D$51-'Assumptions'!$B$51)),'Assumptions'!$B$51+SQRT(F579*('Assumptions'!$D$51-'Assumptions'!$B$51)*('Assumptions'!$C$51-'Assumptions'!$B$51)),'Assumptions'!$D$51-SQRT((1-F579)*('Assumptions'!$D$51-'Assumptions'!$B$51)*('Assumptions'!$D$51-'Assumptions'!$C$51)))</x:f>
        <x:v>0.07108179647562753</x:v>
      </x:c>
      <x:c r="L579" s="133" t="n">
        <x:f>(('Assumptions'!$B$17*(1+G579)+'Assumptions'!$B$18)*(1-H579-'Assumptions'!$B$20)-SUM('Assumptions'!$B$21:$B$25)*(1+I579))-(('Assumptions'!$B$17*(1+G579)+'Assumptions'!$B$18)*(1-H579-'Assumptions'!$B$20)*'Assumptions'!$B$26)</x:f>
        <x:v>193888.03709737072</x:v>
      </x:c>
      <x:c r="M579" s="133" t="n">
        <x:f>'Assumptions'!$B$10*'Assumptions'!$B$33</x:f>
        <x:v>1950000</x:v>
      </x:c>
      <x:c r="N579" s="133" t="n">
        <x:f>-PMT(K579/12,'Assumptions'!$B$35*12,M579)*12</x:f>
        <x:v>157384.56133562987</x:v>
      </x:c>
      <x:c r="O579" s="133" t="n">
        <x:f>(L579*(1+'Assumptions'!$B$29)^('Assumptions'!$B$14/12)/J579)*(1-'Assumptions'!$B$42)-'Debt Schedule'!$F$9</x:f>
        <x:v>3378027.4275870337</x:v>
      </x:c>
      <x:c r="P579" s="132" t="n">
        <x:f>((O579+(L579-N579-'Assumptions'!$B$27-'Assumptions'!$B$28)*('Assumptions'!$B$14/12))/ABS('Monthly Cash Flow'!$S$5))^(1/('Assumptions'!$B$14/12))-1</x:f>
        <x:v>0.2102122011410228</x:v>
      </x:c>
      <x:c r="Q579" s="133" t="n">
        <x:f>-ABS('Monthly Cash Flow'!$S$5)+((L579-N579-'Assumptions'!$B$27-'Assumptions'!$B$28)*(1-(1+'Assumptions'!$B$43)^-('Assumptions'!$B$14/12))/'Assumptions'!$B$43)+(O579/(1+'Assumptions'!$B$43)^('Assumptions'!$B$14/12))</x:f>
        <x:v>789734.681846146</x:v>
      </x:c>
    </x:row>
    <x:row r="580">
      <x:c r="A580" s="131" t="n">
        <x:f>573</x:f>
        <x:v>573</x:v>
      </x:c>
      <x:c r="B580" s="131" t="n">
        <x:f>MOD(ABS(SIN((A580+1)*12.9898+78.233)*43758.5453),1)</x:f>
        <x:v>0.7642641897436988</x:v>
      </x:c>
      <x:c r="C580" s="131" t="n">
        <x:f>MOD(ABS(SIN((A580+2)*12.9898+78.233)*43758.5453),1)</x:f>
        <x:v>0.6973300314348307</x:v>
      </x:c>
      <x:c r="D580" s="131" t="n">
        <x:f>MOD(ABS(SIN((A580+3)*12.9898+78.233)*43758.5453),1)</x:f>
        <x:v>0.11317968248476973</x:v>
      </x:c>
      <x:c r="E580" s="131" t="n">
        <x:f>MOD(ABS(SIN((A580+4)*12.9898+78.233)*43758.5453),1)</x:f>
        <x:v>0.5974724377228995</x:v>
      </x:c>
      <x:c r="F580" s="131" t="n">
        <x:f>MOD(ABS(SIN((A580+5)*12.9898+78.233)*43758.5453),1)</x:f>
        <x:v>0.8857561640434142</x:v>
      </x:c>
      <x:c r="G580" s="132" t="n">
        <x:f>IF(B580&lt;(('Assumptions'!$C$47-'Assumptions'!$B$47)/('Assumptions'!$D$47-'Assumptions'!$B$47)),'Assumptions'!$B$47+SQRT(B580*('Assumptions'!$D$47-'Assumptions'!$B$47)*('Assumptions'!$C$47-'Assumptions'!$B$47)),'Assumptions'!$D$47-SQRT((1-B580)*('Assumptions'!$D$47-'Assumptions'!$B$47)*('Assumptions'!$D$47-'Assumptions'!$C$47)))</x:f>
        <x:v>0.03858523822320224</x:v>
      </x:c>
      <x:c r="H580" s="132" t="n">
        <x:f>IF(C580&lt;(('Assumptions'!$C$48-'Assumptions'!$B$48)/('Assumptions'!$D$48-'Assumptions'!$B$48)),'Assumptions'!$B$48+SQRT(C580*('Assumptions'!$D$48-'Assumptions'!$B$48)*('Assumptions'!$C$48-'Assumptions'!$B$48)),'Assumptions'!$D$48-SQRT((1-C580)*('Assumptions'!$D$48-'Assumptions'!$B$48)*('Assumptions'!$D$48-'Assumptions'!$C$48)))</x:f>
        <x:v>0.08839093370953618</x:v>
      </x:c>
      <x:c r="I580" s="132" t="n">
        <x:f>IF(D580&lt;(('Assumptions'!$C$49-'Assumptions'!$B$49)/('Assumptions'!$D$49-'Assumptions'!$B$49)),'Assumptions'!$B$49+SQRT(D580*('Assumptions'!$D$49-'Assumptions'!$B$49)*('Assumptions'!$C$49-'Assumptions'!$B$49)),'Assumptions'!$D$49-SQRT((1-D580)*('Assumptions'!$D$49-'Assumptions'!$B$49)*('Assumptions'!$D$49-'Assumptions'!$C$49)))</x:f>
        <x:v>0.004961987512661706</x:v>
      </x:c>
      <x:c r="J580" s="132" t="n">
        <x:f>IF(E580&lt;(('Assumptions'!$C$50-'Assumptions'!$B$50)/('Assumptions'!$D$50-'Assumptions'!$B$50)),'Assumptions'!$B$50+SQRT(E580*('Assumptions'!$D$50-'Assumptions'!$B$50)*('Assumptions'!$C$50-'Assumptions'!$B$50)),'Assumptions'!$D$50-SQRT((1-E580)*('Assumptions'!$D$50-'Assumptions'!$B$50)*('Assumptions'!$D$50-'Assumptions'!$C$50)))</x:f>
        <x:v>0.06935993999591945</x:v>
      </x:c>
      <x:c r="K580" s="132" t="n">
        <x:f>IF(F580&lt;(('Assumptions'!$C$51-'Assumptions'!$B$51)/('Assumptions'!$D$51-'Assumptions'!$B$51)),'Assumptions'!$B$51+SQRT(F580*('Assumptions'!$D$51-'Assumptions'!$B$51)*('Assumptions'!$C$51-'Assumptions'!$B$51)),'Assumptions'!$D$51-SQRT((1-F580)*('Assumptions'!$D$51-'Assumptions'!$B$51)*('Assumptions'!$D$51-'Assumptions'!$C$51)))</x:f>
        <x:v>0.07758516041615823</x:v>
      </x:c>
      <x:c r="L580" s="133" t="n">
        <x:f>(('Assumptions'!$B$17*(1+G580)+'Assumptions'!$B$18)*(1-H580-'Assumptions'!$B$20)-SUM('Assumptions'!$B$21:$B$25)*(1+I580))-(('Assumptions'!$B$17*(1+G580)+'Assumptions'!$B$18)*(1-H580-'Assumptions'!$B$20)*'Assumptions'!$B$26)</x:f>
        <x:v>212573.697038673</x:v>
      </x:c>
      <x:c r="M580" s="133" t="n">
        <x:f>'Assumptions'!$B$10*'Assumptions'!$B$33</x:f>
        <x:v>1950000</x:v>
      </x:c>
      <x:c r="N580" s="133" t="n">
        <x:f>-PMT(K580/12,'Assumptions'!$B$35*12,M580)*12</x:f>
        <x:v>167778.19250099905</x:v>
      </x:c>
      <x:c r="O580" s="133" t="n">
        <x:f>(L580*(1+'Assumptions'!$B$29)^('Assumptions'!$B$14/12)/J580)*(1-'Assumptions'!$B$42)-'Debt Schedule'!$F$9</x:f>
        <x:v>3339756.4259335026</x:v>
      </x:c>
      <x:c r="P580" s="132" t="n">
        <x:f>((O580+(L580-N580-'Assumptions'!$B$27-'Assumptions'!$B$28)*('Assumptions'!$B$14/12))/ABS('Monthly Cash Flow'!$S$5))^(1/('Assumptions'!$B$14/12))-1</x:f>
        <x:v>0.21044181120814098</x:v>
      </x:c>
      <x:c r="Q580" s="133" t="n">
        <x:f>-ABS('Monthly Cash Flow'!$S$5)+((L580-N580-'Assumptions'!$B$27-'Assumptions'!$B$28)*(1-(1+'Assumptions'!$B$43)^-('Assumptions'!$B$14/12))/'Assumptions'!$B$43)+(O580/(1+'Assumptions'!$B$43)^('Assumptions'!$B$14/12))</x:f>
        <x:v>797404.7138399978</x:v>
      </x:c>
    </x:row>
    <x:row r="581">
      <x:c r="A581" s="131" t="n">
        <x:f>574</x:f>
        <x:v>574</x:v>
      </x:c>
      <x:c r="B581" s="131" t="n">
        <x:f>MOD(ABS(SIN((A581+1)*12.9898+78.233)*43758.5453),1)</x:f>
        <x:v>0.6973300314348307</x:v>
      </x:c>
      <x:c r="C581" s="131" t="n">
        <x:f>MOD(ABS(SIN((A581+2)*12.9898+78.233)*43758.5453),1)</x:f>
        <x:v>0.11317968248476973</x:v>
      </x:c>
      <x:c r="D581" s="131" t="n">
        <x:f>MOD(ABS(SIN((A581+3)*12.9898+78.233)*43758.5453),1)</x:f>
        <x:v>0.5974724377228995</x:v>
      </x:c>
      <x:c r="E581" s="131" t="n">
        <x:f>MOD(ABS(SIN((A581+4)*12.9898+78.233)*43758.5453),1)</x:f>
        <x:v>0.8857561640434142</x:v>
      </x:c>
      <x:c r="F581" s="131" t="n">
        <x:f>MOD(ABS(SIN((A581+5)*12.9898+78.233)*43758.5453),1)</x:f>
        <x:v>0.6855168169613535</x:v>
      </x:c>
      <x:c r="G581" s="132" t="n">
        <x:f>IF(B581&lt;(('Assumptions'!$C$47-'Assumptions'!$B$47)/('Assumptions'!$D$47-'Assumptions'!$B$47)),'Assumptions'!$B$47+SQRT(B581*('Assumptions'!$D$47-'Assumptions'!$B$47)*('Assumptions'!$C$47-'Assumptions'!$B$47)),'Assumptions'!$D$47-SQRT((1-B581)*('Assumptions'!$D$47-'Assumptions'!$B$47)*('Assumptions'!$D$47-'Assumptions'!$C$47)))</x:f>
        <x:v>0.030410349210225895</x:v>
      </x:c>
      <x:c r="H581" s="132" t="n">
        <x:f>IF(C581&lt;(('Assumptions'!$C$48-'Assumptions'!$B$48)/('Assumptions'!$D$48-'Assumptions'!$B$48)),'Assumptions'!$B$48+SQRT(C581*('Assumptions'!$D$48-'Assumptions'!$B$48)*('Assumptions'!$C$48-'Assumptions'!$B$48)),'Assumptions'!$D$48-SQRT((1-C581)*('Assumptions'!$D$48-'Assumptions'!$B$48)*('Assumptions'!$D$48-'Assumptions'!$C$48)))</x:f>
        <x:v>0.04932596575076496</x:v>
      </x:c>
      <x:c r="I581" s="132" t="n">
        <x:f>IF(D581&lt;(('Assumptions'!$C$49-'Assumptions'!$B$49)/('Assumptions'!$D$49-'Assumptions'!$B$49)),'Assumptions'!$B$49+SQRT(D581*('Assumptions'!$D$49-'Assumptions'!$B$49)*('Assumptions'!$C$49-'Assumptions'!$B$49)),'Assumptions'!$D$49-SQRT((1-D581)*('Assumptions'!$D$49-'Assumptions'!$B$49)*('Assumptions'!$D$49-'Assumptions'!$C$49)))</x:f>
        <x:v>0.0567551859609052</x:v>
      </x:c>
      <x:c r="J581" s="132" t="n">
        <x:f>IF(E581&lt;(('Assumptions'!$C$50-'Assumptions'!$B$50)/('Assumptions'!$D$50-'Assumptions'!$B$50)),'Assumptions'!$B$50+SQRT(E581*('Assumptions'!$D$50-'Assumptions'!$B$50)*('Assumptions'!$C$50-'Assumptions'!$B$50)),'Assumptions'!$D$50-SQRT((1-E581)*('Assumptions'!$D$50-'Assumptions'!$B$50)*('Assumptions'!$D$50-'Assumptions'!$C$50)))</x:f>
        <x:v>0.07433157174670176</x:v>
      </x:c>
      <x:c r="K581" s="132" t="n">
        <x:f>IF(F581&lt;(('Assumptions'!$C$51-'Assumptions'!$B$51)/('Assumptions'!$D$51-'Assumptions'!$B$51)),'Assumptions'!$B$51+SQRT(F581*('Assumptions'!$D$51-'Assumptions'!$B$51)*('Assumptions'!$C$51-'Assumptions'!$B$51)),'Assumptions'!$D$51-SQRT((1-F581)*('Assumptions'!$D$51-'Assumptions'!$B$51)*('Assumptions'!$D$51-'Assumptions'!$C$51)))</x:f>
        <x:v>0.07269776313683773</x:v>
      </x:c>
      <x:c r="L581" s="133" t="n">
        <x:f>(('Assumptions'!$B$17*(1+G581)+'Assumptions'!$B$18)*(1-H581-'Assumptions'!$B$20)-SUM('Assumptions'!$B$21:$B$25)*(1+I581))-(('Assumptions'!$B$17*(1+G581)+'Assumptions'!$B$18)*(1-H581-'Assumptions'!$B$20)*'Assumptions'!$B$26)</x:f>
        <x:v>218086.95177951944</x:v>
      </x:c>
      <x:c r="M581" s="133" t="n">
        <x:f>'Assumptions'!$B$10*'Assumptions'!$B$33</x:f>
        <x:v>1950000</x:v>
      </x:c>
      <x:c r="N581" s="133" t="n">
        <x:f>-PMT(K581/12,'Assumptions'!$B$35*12,M581)*12</x:f>
        <x:v>159943.25143664383</x:v>
      </x:c>
      <x:c r="O581" s="133" t="n">
        <x:f>(L581*(1+'Assumptions'!$B$29)^('Assumptions'!$B$14/12)/J581)*(1-'Assumptions'!$B$42)-'Debt Schedule'!$F$9</x:f>
        <x:v>3197203.968758936</x:v>
      </x:c>
      <x:c r="P581" s="132" t="n">
        <x:f>((O581+(L581-N581-'Assumptions'!$B$27-'Assumptions'!$B$28)*('Assumptions'!$B$14/12))/ABS('Monthly Cash Flow'!$S$5))^(1/('Assumptions'!$B$14/12))-1</x:f>
        <x:v>0.20493578544238744</x:v>
      </x:c>
      <x:c r="Q581" s="133" t="n">
        <x:f>-ABS('Monthly Cash Flow'!$S$5)+((L581-N581-'Assumptions'!$B$27-'Assumptions'!$B$28)*(1-(1+'Assumptions'!$B$43)^-('Assumptions'!$B$14/12))/'Assumptions'!$B$43)+(O581/(1+'Assumptions'!$B$43)^('Assumptions'!$B$14/12))</x:f>
        <x:v>759491.0175796642</x:v>
      </x:c>
    </x:row>
    <x:row r="582">
      <x:c r="A582" s="131" t="n">
        <x:f>575</x:f>
        <x:v>575</x:v>
      </x:c>
      <x:c r="B582" s="131" t="n">
        <x:f>MOD(ABS(SIN((A582+1)*12.9898+78.233)*43758.5453),1)</x:f>
        <x:v>0.11317968248476973</x:v>
      </x:c>
      <x:c r="C582" s="131" t="n">
        <x:f>MOD(ABS(SIN((A582+2)*12.9898+78.233)*43758.5453),1)</x:f>
        <x:v>0.5974724377228995</x:v>
      </x:c>
      <x:c r="D582" s="131" t="n">
        <x:f>MOD(ABS(SIN((A582+3)*12.9898+78.233)*43758.5453),1)</x:f>
        <x:v>0.8857561640434142</x:v>
      </x:c>
      <x:c r="E582" s="131" t="n">
        <x:f>MOD(ABS(SIN((A582+4)*12.9898+78.233)*43758.5453),1)</x:f>
        <x:v>0.6855168169613535</x:v>
      </x:c>
      <x:c r="F582" s="131" t="n">
        <x:f>MOD(ABS(SIN((A582+5)*12.9898+78.233)*43758.5453),1)</x:f>
        <x:v>0.5066924521706824</x:v>
      </x:c>
      <x:c r="G582" s="132" t="n">
        <x:f>IF(B582&lt;(('Assumptions'!$C$47-'Assumptions'!$B$47)/('Assumptions'!$D$47-'Assumptions'!$B$47)),'Assumptions'!$B$47+SQRT(B582*('Assumptions'!$D$47-'Assumptions'!$B$47)*('Assumptions'!$C$47-'Assumptions'!$B$47)),'Assumptions'!$D$47-SQRT((1-B582)*('Assumptions'!$D$47-'Assumptions'!$B$47)*('Assumptions'!$D$47-'Assumptions'!$C$47)))</x:f>
        <x:v>-0.04788174619545976</x:v>
      </x:c>
      <x:c r="H582" s="132" t="n">
        <x:f>IF(C582&lt;(('Assumptions'!$C$48-'Assumptions'!$B$48)/('Assumptions'!$D$48-'Assumptions'!$B$48)),'Assumptions'!$B$48+SQRT(C582*('Assumptions'!$D$48-'Assumptions'!$B$48)*('Assumptions'!$C$48-'Assumptions'!$B$48)),'Assumptions'!$D$48-SQRT((1-C582)*('Assumptions'!$D$48-'Assumptions'!$B$48)*('Assumptions'!$D$48-'Assumptions'!$C$48)))</x:f>
        <x:v>0.08048325825418125</x:v>
      </x:c>
      <x:c r="I582" s="132" t="n">
        <x:f>IF(D582&lt;(('Assumptions'!$C$49-'Assumptions'!$B$49)/('Assumptions'!$D$49-'Assumptions'!$B$49)),'Assumptions'!$B$49+SQRT(D582*('Assumptions'!$D$49-'Assumptions'!$B$49)*('Assumptions'!$C$49-'Assumptions'!$B$49)),'Assumptions'!$D$49-SQRT((1-D582)*('Assumptions'!$D$49-'Assumptions'!$B$49)*('Assumptions'!$D$49-'Assumptions'!$C$49)))</x:f>
        <x:v>0.10032438368110312</x:v>
      </x:c>
      <x:c r="J582" s="132" t="n">
        <x:f>IF(E582&lt;(('Assumptions'!$C$50-'Assumptions'!$B$50)/('Assumptions'!$D$50-'Assumptions'!$B$50)),'Assumptions'!$B$50+SQRT(E582*('Assumptions'!$D$50-'Assumptions'!$B$50)*('Assumptions'!$C$50-'Assumptions'!$B$50)),'Assumptions'!$D$50-SQRT((1-E582)*('Assumptions'!$D$50-'Assumptions'!$B$50)*('Assumptions'!$D$50-'Assumptions'!$C$50)))</x:f>
        <x:v>0.07059529930143339</x:v>
      </x:c>
      <x:c r="K582" s="132" t="n">
        <x:f>IF(F582&lt;(('Assumptions'!$C$51-'Assumptions'!$B$51)/('Assumptions'!$D$51-'Assumptions'!$B$51)),'Assumptions'!$B$51+SQRT(F582*('Assumptions'!$D$51-'Assumptions'!$B$51)*('Assumptions'!$C$51-'Assumptions'!$B$51)),'Assumptions'!$D$51-SQRT((1-F582)*('Assumptions'!$D$51-'Assumptions'!$B$51)*('Assumptions'!$D$51-'Assumptions'!$C$51)))</x:f>
        <x:v>0.06959207160605752</x:v>
      </x:c>
      <x:c r="L582" s="133" t="n">
        <x:f>(('Assumptions'!$B$17*(1+G582)+'Assumptions'!$B$18)*(1-H582-'Assumptions'!$B$20)-SUM('Assumptions'!$B$21:$B$25)*(1+I582))-(('Assumptions'!$B$17*(1+G582)+'Assumptions'!$B$18)*(1-H582-'Assumptions'!$B$20)*'Assumptions'!$B$26)</x:f>
        <x:v>176353.94217389627</x:v>
      </x:c>
      <x:c r="M582" s="133" t="n">
        <x:f>'Assumptions'!$B$10*'Assumptions'!$B$33</x:f>
        <x:v>1950000</x:v>
      </x:c>
      <x:c r="N582" s="133" t="n">
        <x:f>-PMT(K582/12,'Assumptions'!$B$35*12,M582)*12</x:f>
        <x:v>155040.23816992284</x:v>
      </x:c>
      <x:c r="O582" s="133" t="n">
        <x:f>(L582*(1+'Assumptions'!$B$29)^('Assumptions'!$B$14/12)/J582)*(1-'Assumptions'!$B$42)-'Debt Schedule'!$F$9</x:f>
        <x:v>2722220.9096169854</x:v>
      </x:c>
      <x:c r="P582" s="132" t="n">
        <x:f>((O582+(L582-N582-'Assumptions'!$B$27-'Assumptions'!$B$28)*('Assumptions'!$B$14/12))/ABS('Monthly Cash Flow'!$S$5))^(1/('Assumptions'!$B$14/12))-1</x:f>
        <x:v>0.1522076357741715</x:v>
      </x:c>
      <x:c r="Q582" s="133" t="n">
        <x:f>-ABS('Monthly Cash Flow'!$S$5)+((L582-N582-'Assumptions'!$B$27-'Assumptions'!$B$28)*(1-(1+'Assumptions'!$B$43)^-('Assumptions'!$B$14/12))/'Assumptions'!$B$43)+(O582/(1+'Assumptions'!$B$43)^('Assumptions'!$B$14/12))</x:f>
        <x:v>324949.2452276873</x:v>
      </x:c>
    </x:row>
    <x:row r="583">
      <x:c r="A583" s="131" t="n">
        <x:f>576</x:f>
        <x:v>576</x:v>
      </x:c>
      <x:c r="B583" s="131" t="n">
        <x:f>MOD(ABS(SIN((A583+1)*12.9898+78.233)*43758.5453),1)</x:f>
        <x:v>0.5974724377228995</x:v>
      </x:c>
      <x:c r="C583" s="131" t="n">
        <x:f>MOD(ABS(SIN((A583+2)*12.9898+78.233)*43758.5453),1)</x:f>
        <x:v>0.8857561640434142</x:v>
      </x:c>
      <x:c r="D583" s="131" t="n">
        <x:f>MOD(ABS(SIN((A583+3)*12.9898+78.233)*43758.5453),1)</x:f>
        <x:v>0.6855168169613535</x:v>
      </x:c>
      <x:c r="E583" s="131" t="n">
        <x:f>MOD(ABS(SIN((A583+4)*12.9898+78.233)*43758.5453),1)</x:f>
        <x:v>0.5066924521706824</x:v>
      </x:c>
      <x:c r="F583" s="131" t="n">
        <x:f>MOD(ABS(SIN((A583+5)*12.9898+78.233)*43758.5453),1)</x:f>
        <x:v>0.49857375848296215</x:v>
      </x:c>
      <x:c r="G583" s="132" t="n">
        <x:f>IF(B583&lt;(('Assumptions'!$C$47-'Assumptions'!$B$47)/('Assumptions'!$D$47-'Assumptions'!$B$47)),'Assumptions'!$B$47+SQRT(B583*('Assumptions'!$D$47-'Assumptions'!$B$47)*('Assumptions'!$C$47-'Assumptions'!$B$47)),'Assumptions'!$D$47-SQRT((1-B583)*('Assumptions'!$D$47-'Assumptions'!$B$47)*('Assumptions'!$D$47-'Assumptions'!$C$47)))</x:f>
        <x:v>0.01974697701967089</x:v>
      </x:c>
      <x:c r="H583" s="132" t="n">
        <x:f>IF(C583&lt;(('Assumptions'!$C$48-'Assumptions'!$B$48)/('Assumptions'!$D$48-'Assumptions'!$B$48)),'Assumptions'!$B$48+SQRT(C583*('Assumptions'!$D$48-'Assumptions'!$B$48)*('Assumptions'!$C$48-'Assumptions'!$B$48)),'Assumptions'!$D$48-SQRT((1-C583)*('Assumptions'!$D$48-'Assumptions'!$B$48)*('Assumptions'!$D$48-'Assumptions'!$C$48)))</x:f>
        <x:v>0.10829281222785668</x:v>
      </x:c>
      <x:c r="I583" s="132" t="n">
        <x:f>IF(D583&lt;(('Assumptions'!$C$49-'Assumptions'!$B$49)/('Assumptions'!$D$49-'Assumptions'!$B$49)),'Assumptions'!$B$49+SQRT(D583*('Assumptions'!$D$49-'Assumptions'!$B$49)*('Assumptions'!$C$49-'Assumptions'!$B$49)),'Assumptions'!$D$49-SQRT((1-D583)*('Assumptions'!$D$49-'Assumptions'!$B$49)*('Assumptions'!$D$49-'Assumptions'!$C$49)))</x:f>
        <x:v>0.06758133249296755</x:v>
      </x:c>
      <x:c r="J583" s="132" t="n">
        <x:f>IF(E583&lt;(('Assumptions'!$C$50-'Assumptions'!$B$50)/('Assumptions'!$D$50-'Assumptions'!$B$50)),'Assumptions'!$B$50+SQRT(E583*('Assumptions'!$D$50-'Assumptions'!$B$50)*('Assumptions'!$C$50-'Assumptions'!$B$50)),'Assumptions'!$D$50-SQRT((1-E583)*('Assumptions'!$D$50-'Assumptions'!$B$50)*('Assumptions'!$D$50-'Assumptions'!$C$50)))</x:f>
        <x:v>0.06822108885223276</x:v>
      </x:c>
      <x:c r="K583" s="132" t="n">
        <x:f>IF(F583&lt;(('Assumptions'!$C$51-'Assumptions'!$B$51)/('Assumptions'!$D$51-'Assumptions'!$B$51)),'Assumptions'!$B$51+SQRT(F583*('Assumptions'!$D$51-'Assumptions'!$B$51)*('Assumptions'!$C$51-'Assumptions'!$B$51)),'Assumptions'!$D$51-SQRT((1-F583)*('Assumptions'!$D$51-'Assumptions'!$B$51)*('Assumptions'!$D$51-'Assumptions'!$C$51)))</x:f>
        <x:v>0.06946579970741737</x:v>
      </x:c>
      <x:c r="L583" s="133" t="n">
        <x:f>(('Assumptions'!$B$17*(1+G583)+'Assumptions'!$B$18)*(1-H583-'Assumptions'!$B$20)-SUM('Assumptions'!$B$21:$B$25)*(1+I583))-(('Assumptions'!$B$17*(1+G583)+'Assumptions'!$B$18)*(1-H583-'Assumptions'!$B$20)*'Assumptions'!$B$26)</x:f>
        <x:v>191455.91582896674</x:v>
      </x:c>
      <x:c r="M583" s="133" t="n">
        <x:f>'Assumptions'!$B$10*'Assumptions'!$B$33</x:f>
        <x:v>1950000</x:v>
      </x:c>
      <x:c r="N583" s="133" t="n">
        <x:f>-PMT(K583/12,'Assumptions'!$B$35*12,M583)*12</x:f>
        <x:v>154842.175592144</x:v>
      </x:c>
      <x:c r="O583" s="133" t="n">
        <x:f>(L583*(1+'Assumptions'!$B$29)^('Assumptions'!$B$14/12)/J583)*(1-'Assumptions'!$B$42)-'Debt Schedule'!$F$9</x:f>
        <x:v>3058187.5828495063</x:v>
      </x:c>
      <x:c r="P583" s="132" t="n">
        <x:f>((O583+(L583-N583-'Assumptions'!$B$27-'Assumptions'!$B$28)*('Assumptions'!$B$14/12))/ABS('Monthly Cash Flow'!$S$5))^(1/('Assumptions'!$B$14/12))-1</x:f>
        <x:v>0.18628815194630777</x:v>
      </x:c>
      <x:c r="Q583" s="133" t="n">
        <x:f>-ABS('Monthly Cash Flow'!$S$5)+((L583-N583-'Assumptions'!$B$27-'Assumptions'!$B$28)*(1-(1+'Assumptions'!$B$43)^-('Assumptions'!$B$14/12))/'Assumptions'!$B$43)+(O583/(1+'Assumptions'!$B$43)^('Assumptions'!$B$14/12))</x:f>
        <x:v>591557.2913979618</x:v>
      </x:c>
    </x:row>
    <x:row r="584">
      <x:c r="A584" s="131" t="n">
        <x:f>577</x:f>
        <x:v>577</x:v>
      </x:c>
      <x:c r="B584" s="131" t="n">
        <x:f>MOD(ABS(SIN((A584+1)*12.9898+78.233)*43758.5453),1)</x:f>
        <x:v>0.8857561640434142</x:v>
      </x:c>
      <x:c r="C584" s="131" t="n">
        <x:f>MOD(ABS(SIN((A584+2)*12.9898+78.233)*43758.5453),1)</x:f>
        <x:v>0.6855168169613535</x:v>
      </x:c>
      <x:c r="D584" s="131" t="n">
        <x:f>MOD(ABS(SIN((A584+3)*12.9898+78.233)*43758.5453),1)</x:f>
        <x:v>0.5066924521706824</x:v>
      </x:c>
      <x:c r="E584" s="131" t="n">
        <x:f>MOD(ABS(SIN((A584+4)*12.9898+78.233)*43758.5453),1)</x:f>
        <x:v>0.49857375848296215</x:v>
      </x:c>
      <x:c r="F584" s="131" t="n">
        <x:f>MOD(ABS(SIN((A584+5)*12.9898+78.233)*43758.5453),1)</x:f>
        <x:v>0.9523227199097164</x:v>
      </x:c>
      <x:c r="G584" s="132" t="n">
        <x:f>IF(B584&lt;(('Assumptions'!$C$47-'Assumptions'!$B$47)/('Assumptions'!$D$47-'Assumptions'!$B$47)),'Assumptions'!$B$47+SQRT(B584*('Assumptions'!$D$47-'Assumptions'!$B$47)*('Assumptions'!$C$47-'Assumptions'!$B$47)),'Assumptions'!$D$47-SQRT((1-B584)*('Assumptions'!$D$47-'Assumptions'!$B$47)*('Assumptions'!$D$47-'Assumptions'!$C$47)))</x:f>
        <x:v>0.05724603672984956</x:v>
      </x:c>
      <x:c r="H584" s="132" t="n">
        <x:f>IF(C584&lt;(('Assumptions'!$C$48-'Assumptions'!$B$48)/('Assumptions'!$D$48-'Assumptions'!$B$48)),'Assumptions'!$B$48+SQRT(C584*('Assumptions'!$D$48-'Assumptions'!$B$48)*('Assumptions'!$C$48-'Assumptions'!$B$48)),'Assumptions'!$D$48-SQRT((1-C584)*('Assumptions'!$D$48-'Assumptions'!$B$48)*('Assumptions'!$D$48-'Assumptions'!$C$48)))</x:f>
        <x:v>0.0873934223624071</x:v>
      </x:c>
      <x:c r="I584" s="132" t="n">
        <x:f>IF(D584&lt;(('Assumptions'!$C$49-'Assumptions'!$B$49)/('Assumptions'!$D$49-'Assumptions'!$B$49)),'Assumptions'!$B$49+SQRT(D584*('Assumptions'!$D$49-'Assumptions'!$B$49)*('Assumptions'!$C$49-'Assumptions'!$B$49)),'Assumptions'!$D$49-SQRT((1-D584)*('Assumptions'!$D$49-'Assumptions'!$B$49)*('Assumptions'!$D$49-'Assumptions'!$C$49)))</x:f>
        <x:v>0.04677479458430096</x:v>
      </x:c>
      <x:c r="J584" s="132" t="n">
        <x:f>IF(E584&lt;(('Assumptions'!$C$50-'Assumptions'!$B$50)/('Assumptions'!$D$50-'Assumptions'!$B$50)),'Assumptions'!$B$50+SQRT(E584*('Assumptions'!$D$50-'Assumptions'!$B$50)*('Assumptions'!$C$50-'Assumptions'!$B$50)),'Assumptions'!$D$50-SQRT((1-E584)*('Assumptions'!$D$50-'Assumptions'!$B$50)*('Assumptions'!$D$50-'Assumptions'!$C$50)))</x:f>
        <x:v>0.06812455767448358</x:v>
      </x:c>
      <x:c r="K584" s="132" t="n">
        <x:f>IF(F584&lt;(('Assumptions'!$C$51-'Assumptions'!$B$51)/('Assumptions'!$D$51-'Assumptions'!$B$51)),'Assumptions'!$B$51+SQRT(F584*('Assumptions'!$D$51-'Assumptions'!$B$51)*('Assumptions'!$C$51-'Assumptions'!$B$51)),'Assumptions'!$D$51-SQRT((1-F584)*('Assumptions'!$D$51-'Assumptions'!$B$51)*('Assumptions'!$D$51-'Assumptions'!$C$51)))</x:f>
        <x:v>0.08020993830483897</x:v>
      </x:c>
      <x:c r="L584" s="133" t="n">
        <x:f>(('Assumptions'!$B$17*(1+G584)+'Assumptions'!$B$18)*(1-H584-'Assumptions'!$B$20)-SUM('Assumptions'!$B$21:$B$25)*(1+I584))-(('Assumptions'!$B$17*(1+G584)+'Assumptions'!$B$18)*(1-H584-'Assumptions'!$B$20)*'Assumptions'!$B$26)</x:f>
        <x:v>213501.6271722211</x:v>
      </x:c>
      <x:c r="M584" s="133" t="n">
        <x:f>'Assumptions'!$B$10*'Assumptions'!$B$33</x:f>
        <x:v>1950000</x:v>
      </x:c>
      <x:c r="N584" s="133" t="n">
        <x:f>-PMT(K584/12,'Assumptions'!$B$35*12,M584)*12</x:f>
        <x:v>172043.49764434475</x:v>
      </x:c>
      <x:c r="O584" s="133" t="n">
        <x:f>(L584*(1+'Assumptions'!$B$29)^('Assumptions'!$B$14/12)/J584)*(1-'Assumptions'!$B$42)-'Debt Schedule'!$F$9</x:f>
        <x:v>3415163.2696275967</x:v>
      </x:c>
      <x:c r="P584" s="132" t="n">
        <x:f>((O584+(L584-N584-'Assumptions'!$B$27-'Assumptions'!$B$28)*('Assumptions'!$B$14/12))/ABS('Monthly Cash Flow'!$S$5))^(1/('Assumptions'!$B$14/12))-1</x:f>
        <x:v>0.21463869068695618</x:v>
      </x:c>
      <x:c r="Q584" s="133" t="n">
        <x:f>-ABS('Monthly Cash Flow'!$S$5)+((L584-N584-'Assumptions'!$B$27-'Assumptions'!$B$28)*(1-(1+'Assumptions'!$B$43)^-('Assumptions'!$B$14/12))/'Assumptions'!$B$43)+(O584/(1+'Assumptions'!$B$43)^('Assumptions'!$B$14/12))</x:f>
        <x:v>831575.1539625546</x:v>
      </x:c>
    </x:row>
    <x:row r="585">
      <x:c r="A585" s="131" t="n">
        <x:f>578</x:f>
        <x:v>578</x:v>
      </x:c>
      <x:c r="B585" s="131" t="n">
        <x:f>MOD(ABS(SIN((A585+1)*12.9898+78.233)*43758.5453),1)</x:f>
        <x:v>0.6855168169613535</x:v>
      </x:c>
      <x:c r="C585" s="131" t="n">
        <x:f>MOD(ABS(SIN((A585+2)*12.9898+78.233)*43758.5453),1)</x:f>
        <x:v>0.5066924521706824</x:v>
      </x:c>
      <x:c r="D585" s="131" t="n">
        <x:f>MOD(ABS(SIN((A585+3)*12.9898+78.233)*43758.5453),1)</x:f>
        <x:v>0.49857375848296215</x:v>
      </x:c>
      <x:c r="E585" s="131" t="n">
        <x:f>MOD(ABS(SIN((A585+4)*12.9898+78.233)*43758.5453),1)</x:f>
        <x:v>0.9523227199097164</x:v>
      </x:c>
      <x:c r="F585" s="131" t="n">
        <x:f>MOD(ABS(SIN((A585+5)*12.9898+78.233)*43758.5453),1)</x:f>
        <x:v>0.08583974865177879</x:v>
      </x:c>
      <x:c r="G585" s="132" t="n">
        <x:f>IF(B585&lt;(('Assumptions'!$C$47-'Assumptions'!$B$47)/('Assumptions'!$D$47-'Assumptions'!$B$47)),'Assumptions'!$B$47+SQRT(B585*('Assumptions'!$D$47-'Assumptions'!$B$47)*('Assumptions'!$C$47-'Assumptions'!$B$47)),'Assumptions'!$D$47-SQRT((1-B585)*('Assumptions'!$D$47-'Assumptions'!$B$47)*('Assumptions'!$D$47-'Assumptions'!$C$47)))</x:f>
        <x:v>0.029065305184146004</x:v>
      </x:c>
      <x:c r="H585" s="132" t="n">
        <x:f>IF(C585&lt;(('Assumptions'!$C$48-'Assumptions'!$B$48)/('Assumptions'!$D$48-'Assumptions'!$B$48)),'Assumptions'!$B$48+SQRT(C585*('Assumptions'!$D$48-'Assumptions'!$B$48)*('Assumptions'!$C$48-'Assumptions'!$B$48)),'Assumptions'!$D$48-SQRT((1-C585)*('Assumptions'!$D$48-'Assumptions'!$B$48)*('Assumptions'!$D$48-'Assumptions'!$C$48)))</x:f>
        <x:v>0.07411292675419559</x:v>
      </x:c>
      <x:c r="I585" s="132" t="n">
        <x:f>IF(D585&lt;(('Assumptions'!$C$49-'Assumptions'!$B$49)/('Assumptions'!$D$49-'Assumptions'!$B$49)),'Assumptions'!$B$49+SQRT(D585*('Assumptions'!$D$49-'Assumptions'!$B$49)*('Assumptions'!$C$49-'Assumptions'!$B$49)),'Assumptions'!$D$49-SQRT((1-D585)*('Assumptions'!$D$49-'Assumptions'!$B$49)*('Assumptions'!$D$49-'Assumptions'!$C$49)))</x:f>
        <x:v>0.04592883772740876</x:v>
      </x:c>
      <x:c r="J585" s="132" t="n">
        <x:f>IF(E585&lt;(('Assumptions'!$C$50-'Assumptions'!$B$50)/('Assumptions'!$D$50-'Assumptions'!$B$50)),'Assumptions'!$B$50+SQRT(E585*('Assumptions'!$D$50-'Assumptions'!$B$50)*('Assumptions'!$C$50-'Assumptions'!$B$50)),'Assumptions'!$D$50-SQRT((1-E585)*('Assumptions'!$D$50-'Assumptions'!$B$50)*('Assumptions'!$D$50-'Assumptions'!$C$50)))</x:f>
        <x:v>0.07633813776537235</x:v>
      </x:c>
      <x:c r="K585" s="132" t="n">
        <x:f>IF(F585&lt;(('Assumptions'!$C$51-'Assumptions'!$B$51)/('Assumptions'!$D$51-'Assumptions'!$B$51)),'Assumptions'!$B$51+SQRT(F585*('Assumptions'!$D$51-'Assumptions'!$B$51)*('Assumptions'!$C$51-'Assumptions'!$B$51)),'Assumptions'!$D$51-SQRT((1-F585)*('Assumptions'!$D$51-'Assumptions'!$B$51)*('Assumptions'!$D$51-'Assumptions'!$C$51)))</x:f>
        <x:v>0.06235859350833543</x:v>
      </x:c>
      <x:c r="L585" s="133" t="n">
        <x:f>(('Assumptions'!$B$17*(1+G585)+'Assumptions'!$B$18)*(1-H585-'Assumptions'!$B$20)-SUM('Assumptions'!$B$21:$B$25)*(1+I585))-(('Assumptions'!$B$17*(1+G585)+'Assumptions'!$B$18)*(1-H585-'Assumptions'!$B$20)*'Assumptions'!$B$26)</x:f>
        <x:v>209770.1252760086</x:v>
      </x:c>
      <x:c r="M585" s="133" t="n">
        <x:f>'Assumptions'!$B$10*'Assumptions'!$B$33</x:f>
        <x:v>1950000</x:v>
      </x:c>
      <x:c r="N585" s="133" t="n">
        <x:f>-PMT(K585/12,'Assumptions'!$B$35*12,M585)*12</x:f>
        <x:v>143862.68802440295</x:v>
      </x:c>
      <x:c r="O585" s="133" t="n">
        <x:f>(L585*(1+'Assumptions'!$B$29)^('Assumptions'!$B$14/12)/J585)*(1-'Assumptions'!$B$42)-'Debt Schedule'!$F$9</x:f>
        <x:v>2994443.019163117</x:v>
      </x:c>
      <x:c r="P585" s="132" t="n">
        <x:f>((O585+(L585-N585-'Assumptions'!$B$27-'Assumptions'!$B$28)*('Assumptions'!$B$14/12))/ABS('Monthly Cash Flow'!$S$5))^(1/('Assumptions'!$B$14/12))-1</x:f>
        <x:v>0.19267260457829627</x:v>
      </x:c>
      <x:c r="Q585" s="133" t="n">
        <x:f>-ABS('Monthly Cash Flow'!$S$5)+((L585-N585-'Assumptions'!$B$27-'Assumptions'!$B$28)*(1-(1+'Assumptions'!$B$43)^-('Assumptions'!$B$14/12))/'Assumptions'!$B$43)+(O585/(1+'Assumptions'!$B$43)^('Assumptions'!$B$14/12))</x:f>
        <x:v>663023.0916466794</x:v>
      </x:c>
    </x:row>
    <x:row r="586">
      <x:c r="A586" s="131" t="n">
        <x:f>579</x:f>
        <x:v>579</x:v>
      </x:c>
      <x:c r="B586" s="131" t="n">
        <x:f>MOD(ABS(SIN((A586+1)*12.9898+78.233)*43758.5453),1)</x:f>
        <x:v>0.5066924521706824</x:v>
      </x:c>
      <x:c r="C586" s="131" t="n">
        <x:f>MOD(ABS(SIN((A586+2)*12.9898+78.233)*43758.5453),1)</x:f>
        <x:v>0.49857375848296215</x:v>
      </x:c>
      <x:c r="D586" s="131" t="n">
        <x:f>MOD(ABS(SIN((A586+3)*12.9898+78.233)*43758.5453),1)</x:f>
        <x:v>0.9523227199097164</x:v>
      </x:c>
      <x:c r="E586" s="131" t="n">
        <x:f>MOD(ABS(SIN((A586+4)*12.9898+78.233)*43758.5453),1)</x:f>
        <x:v>0.08583974865177879</x:v>
      </x:c>
      <x:c r="F586" s="131" t="n">
        <x:f>MOD(ABS(SIN((A586+5)*12.9898+78.233)*43758.5453),1)</x:f>
        <x:v>0.2601929602897144</x:v>
      </x:c>
      <x:c r="G586" s="132" t="n">
        <x:f>IF(B586&lt;(('Assumptions'!$C$47-'Assumptions'!$B$47)/('Assumptions'!$D$47-'Assumptions'!$B$47)),'Assumptions'!$B$47+SQRT(B586*('Assumptions'!$D$47-'Assumptions'!$B$47)*('Assumptions'!$C$47-'Assumptions'!$B$47)),'Assumptions'!$D$47-SQRT((1-B586)*('Assumptions'!$D$47-'Assumptions'!$B$47)*('Assumptions'!$D$47-'Assumptions'!$C$47)))</x:f>
        <x:v>0.010275195996635511</x:v>
      </x:c>
      <x:c r="H586" s="132" t="n">
        <x:f>IF(C586&lt;(('Assumptions'!$C$48-'Assumptions'!$B$48)/('Assumptions'!$D$48-'Assumptions'!$B$48)),'Assumptions'!$B$48+SQRT(C586*('Assumptions'!$D$48-'Assumptions'!$B$48)*('Assumptions'!$C$48-'Assumptions'!$B$48)),'Assumptions'!$D$48-SQRT((1-C586)*('Assumptions'!$D$48-'Assumptions'!$B$48)*('Assumptions'!$D$48-'Assumptions'!$C$48)))</x:f>
        <x:v>0.0735729654030083</x:v>
      </x:c>
      <x:c r="I586" s="132" t="n">
        <x:f>IF(D586&lt;(('Assumptions'!$C$49-'Assumptions'!$B$49)/('Assumptions'!$D$49-'Assumptions'!$B$49)),'Assumptions'!$B$49+SQRT(D586*('Assumptions'!$D$49-'Assumptions'!$B$49)*('Assumptions'!$C$49-'Assumptions'!$B$49)),'Assumptions'!$D$49-SQRT((1-D586)*('Assumptions'!$D$49-'Assumptions'!$B$49)*('Assumptions'!$D$49-'Assumptions'!$C$49)))</x:f>
        <x:v>0.1179090472258905</x:v>
      </x:c>
      <x:c r="J586" s="132" t="n">
        <x:f>IF(E586&lt;(('Assumptions'!$C$50-'Assumptions'!$B$50)/('Assumptions'!$D$50-'Assumptions'!$B$50)),'Assumptions'!$B$50+SQRT(E586*('Assumptions'!$D$50-'Assumptions'!$B$50)*('Assumptions'!$C$50-'Assumptions'!$B$50)),'Assumptions'!$D$50-SQRT((1-E586)*('Assumptions'!$D$50-'Assumptions'!$B$50)*('Assumptions'!$D$50-'Assumptions'!$C$50)))</x:f>
        <x:v>0.06189476318436503</x:v>
      </x:c>
      <x:c r="K586" s="132" t="n">
        <x:f>IF(F586&lt;(('Assumptions'!$C$51-'Assumptions'!$B$51)/('Assumptions'!$D$51-'Assumptions'!$B$51)),'Assumptions'!$B$51+SQRT(F586*('Assumptions'!$D$51-'Assumptions'!$B$51)*('Assumptions'!$C$51-'Assumptions'!$B$51)),'Assumptions'!$D$51-SQRT((1-F586)*('Assumptions'!$D$51-'Assumptions'!$B$51)*('Assumptions'!$D$51-'Assumptions'!$C$51)))</x:f>
        <x:v>0.06595890442549575</x:v>
      </x:c>
      <x:c r="L586" s="133" t="n">
        <x:f>(('Assumptions'!$B$17*(1+G586)+'Assumptions'!$B$18)*(1-H586-'Assumptions'!$B$20)-SUM('Assumptions'!$B$21:$B$25)*(1+I586))-(('Assumptions'!$B$17*(1+G586)+'Assumptions'!$B$18)*(1-H586-'Assumptions'!$B$20)*'Assumptions'!$B$26)</x:f>
        <x:v>194950.8334965317</x:v>
      </x:c>
      <x:c r="M586" s="133" t="n">
        <x:f>'Assumptions'!$B$10*'Assumptions'!$B$33</x:f>
        <x:v>1950000</x:v>
      </x:c>
      <x:c r="N586" s="133" t="n">
        <x:f>-PMT(K586/12,'Assumptions'!$B$35*12,M586)*12</x:f>
        <x:v>149382.65264991744</x:v>
      </x:c>
      <x:c r="O586" s="133" t="n">
        <x:f>(L586*(1+'Assumptions'!$B$29)^('Assumptions'!$B$14/12)/J586)*(1-'Assumptions'!$B$42)-'Debt Schedule'!$F$9</x:f>
        <x:v>3432299.4270253032</x:v>
      </x:c>
      <x:c r="P586" s="132" t="n">
        <x:f>((O586+(L586-N586-'Assumptions'!$B$27-'Assumptions'!$B$28)*('Assumptions'!$B$14/12))/ABS('Monthly Cash Flow'!$S$5))^(1/('Assumptions'!$B$14/12))-1</x:f>
        <x:v>0.21730198883556984</x:v>
      </x:c>
      <x:c r="Q586" s="133" t="n">
        <x:f>-ABS('Monthly Cash Flow'!$S$5)+((L586-N586-'Assumptions'!$B$27-'Assumptions'!$B$28)*(1-(1+'Assumptions'!$B$43)^-('Assumptions'!$B$14/12))/'Assumptions'!$B$43)+(O586/(1+'Assumptions'!$B$43)^('Assumptions'!$B$14/12))</x:f>
        <x:v>857795.6876467499</x:v>
      </x:c>
    </x:row>
    <x:row r="587">
      <x:c r="A587" s="131" t="n">
        <x:f>580</x:f>
        <x:v>580</x:v>
      </x:c>
      <x:c r="B587" s="131" t="n">
        <x:f>MOD(ABS(SIN((A587+1)*12.9898+78.233)*43758.5453),1)</x:f>
        <x:v>0.49857375848296215</x:v>
      </x:c>
      <x:c r="C587" s="131" t="n">
        <x:f>MOD(ABS(SIN((A587+2)*12.9898+78.233)*43758.5453),1)</x:f>
        <x:v>0.9523227199097164</x:v>
      </x:c>
      <x:c r="D587" s="131" t="n">
        <x:f>MOD(ABS(SIN((A587+3)*12.9898+78.233)*43758.5453),1)</x:f>
        <x:v>0.08583974865177879</x:v>
      </x:c>
      <x:c r="E587" s="131" t="n">
        <x:f>MOD(ABS(SIN((A587+4)*12.9898+78.233)*43758.5453),1)</x:f>
        <x:v>0.2601929602897144</x:v>
      </x:c>
      <x:c r="F587" s="131" t="n">
        <x:f>MOD(ABS(SIN((A587+5)*12.9898+78.233)*43758.5453),1)</x:f>
        <x:v>0.3498803290640353</x:v>
      </x:c>
      <x:c r="G587" s="132" t="n">
        <x:f>IF(B587&lt;(('Assumptions'!$C$47-'Assumptions'!$B$47)/('Assumptions'!$D$47-'Assumptions'!$B$47)),'Assumptions'!$B$47+SQRT(B587*('Assumptions'!$D$47-'Assumptions'!$B$47)*('Assumptions'!$C$47-'Assumptions'!$B$47)),'Assumptions'!$D$47-SQRT((1-B587)*('Assumptions'!$D$47-'Assumptions'!$B$47)*('Assumptions'!$D$47-'Assumptions'!$C$47)))</x:f>
        <x:v>0.00938816299577891</x:v>
      </x:c>
      <x:c r="H587" s="132" t="n">
        <x:f>IF(C587&lt;(('Assumptions'!$C$48-'Assumptions'!$B$48)/('Assumptions'!$D$48-'Assumptions'!$B$48)),'Assumptions'!$B$48+SQRT(C587*('Assumptions'!$D$48-'Assumptions'!$B$48)*('Assumptions'!$C$48-'Assumptions'!$B$48)),'Assumptions'!$D$48-SQRT((1-C587)*('Assumptions'!$D$48-'Assumptions'!$B$48)*('Assumptions'!$D$48-'Assumptions'!$C$48)))</x:f>
        <x:v>0.11951683460022608</x:v>
      </x:c>
      <x:c r="I587" s="132" t="n">
        <x:f>IF(D587&lt;(('Assumptions'!$C$49-'Assumptions'!$B$49)/('Assumptions'!$D$49-'Assumptions'!$B$49)),'Assumptions'!$B$49+SQRT(D587*('Assumptions'!$D$49-'Assumptions'!$B$49)*('Assumptions'!$C$49-'Assumptions'!$B$49)),'Assumptions'!$D$49-SQRT((1-D587)*('Assumptions'!$D$49-'Assumptions'!$B$49)*('Assumptions'!$D$49-'Assumptions'!$C$49)))</x:f>
        <x:v>0.00044781249021366015</x:v>
      </x:c>
      <x:c r="J587" s="132" t="n">
        <x:f>IF(E587&lt;(('Assumptions'!$C$50-'Assumptions'!$B$50)/('Assumptions'!$D$50-'Assumptions'!$B$50)),'Assumptions'!$B$50+SQRT(E587*('Assumptions'!$D$50-'Assumptions'!$B$50)*('Assumptions'!$C$50-'Assumptions'!$B$50)),'Assumptions'!$D$50-SQRT((1-E587)*('Assumptions'!$D$50-'Assumptions'!$B$50)*('Assumptions'!$D$50-'Assumptions'!$C$50)))</x:f>
        <x:v>0.06515136694095805</x:v>
      </x:c>
      <x:c r="K587" s="132" t="n">
        <x:f>IF(F587&lt;(('Assumptions'!$C$51-'Assumptions'!$B$51)/('Assumptions'!$D$51-'Assumptions'!$B$51)),'Assumptions'!$B$51+SQRT(F587*('Assumptions'!$D$51-'Assumptions'!$B$51)*('Assumptions'!$C$51-'Assumptions'!$B$51)),'Assumptions'!$D$51-SQRT((1-F587)*('Assumptions'!$D$51-'Assumptions'!$B$51)*('Assumptions'!$D$51-'Assumptions'!$C$51)))</x:f>
        <x:v>0.06730903106798065</x:v>
      </x:c>
      <x:c r="L587" s="133" t="n">
        <x:f>(('Assumptions'!$B$17*(1+G587)+'Assumptions'!$B$18)*(1-H587-'Assumptions'!$B$20)-SUM('Assumptions'!$B$21:$B$25)*(1+I587))-(('Assumptions'!$B$17*(1+G587)+'Assumptions'!$B$18)*(1-H587-'Assumptions'!$B$20)*'Assumptions'!$B$26)</x:f>
        <x:v>192648.83208464796</x:v>
      </x:c>
      <x:c r="M587" s="133" t="n">
        <x:f>'Assumptions'!$B$10*'Assumptions'!$B$33</x:f>
        <x:v>1950000</x:v>
      </x:c>
      <x:c r="N587" s="133" t="n">
        <x:f>-PMT(K587/12,'Assumptions'!$B$35*12,M587)*12</x:f>
        <x:v>151475.03102323497</x:v>
      </x:c>
      <x:c r="O587" s="133" t="n">
        <x:f>(L587*(1+'Assumptions'!$B$29)^('Assumptions'!$B$14/12)/J587)*(1-'Assumptions'!$B$42)-'Debt Schedule'!$F$9</x:f>
        <x:v>3222232.1425943202</x:v>
      </x:c>
      <x:c r="P587" s="132" t="n">
        <x:f>((O587+(L587-N587-'Assumptions'!$B$27-'Assumptions'!$B$28)*('Assumptions'!$B$14/12))/ABS('Monthly Cash Flow'!$S$5))^(1/('Assumptions'!$B$14/12))-1</x:f>
        <x:v>0.20051893944230104</x:v>
      </x:c>
      <x:c r="Q587" s="133" t="n">
        <x:f>-ABS('Monthly Cash Flow'!$S$5)+((L587-N587-'Assumptions'!$B$27-'Assumptions'!$B$28)*(1-(1+'Assumptions'!$B$43)^-('Assumptions'!$B$14/12))/'Assumptions'!$B$43)+(O587/(1+'Assumptions'!$B$43)^('Assumptions'!$B$14/12))</x:f>
        <x:v>710702.274716923</x:v>
      </x:c>
    </x:row>
    <x:row r="588">
      <x:c r="A588" s="131" t="n">
        <x:f>581</x:f>
        <x:v>581</x:v>
      </x:c>
      <x:c r="B588" s="131" t="n">
        <x:f>MOD(ABS(SIN((A588+1)*12.9898+78.233)*43758.5453),1)</x:f>
        <x:v>0.9523227199097164</x:v>
      </x:c>
      <x:c r="C588" s="131" t="n">
        <x:f>MOD(ABS(SIN((A588+2)*12.9898+78.233)*43758.5453),1)</x:f>
        <x:v>0.08583974865177879</x:v>
      </x:c>
      <x:c r="D588" s="131" t="n">
        <x:f>MOD(ABS(SIN((A588+3)*12.9898+78.233)*43758.5453),1)</x:f>
        <x:v>0.2601929602897144</x:v>
      </x:c>
      <x:c r="E588" s="131" t="n">
        <x:f>MOD(ABS(SIN((A588+4)*12.9898+78.233)*43758.5453),1)</x:f>
        <x:v>0.3498803290640353</x:v>
      </x:c>
      <x:c r="F588" s="131" t="n">
        <x:f>MOD(ABS(SIN((A588+5)*12.9898+78.233)*43758.5453),1)</x:f>
        <x:v>0.45290603143257613</x:v>
      </x:c>
      <x:c r="G588" s="132" t="n">
        <x:f>IF(B588&lt;(('Assumptions'!$C$47-'Assumptions'!$B$47)/('Assumptions'!$D$47-'Assumptions'!$B$47)),'Assumptions'!$B$47+SQRT(B588*('Assumptions'!$D$47-'Assumptions'!$B$47)*('Assumptions'!$C$47-'Assumptions'!$B$47)),'Assumptions'!$D$47-SQRT((1-B588)*('Assumptions'!$D$47-'Assumptions'!$B$47)*('Assumptions'!$D$47-'Assumptions'!$C$47)))</x:f>
        <x:v>0.07238050540932117</x:v>
      </x:c>
      <x:c r="H588" s="132" t="n">
        <x:f>IF(C588&lt;(('Assumptions'!$C$48-'Assumptions'!$B$48)/('Assumptions'!$D$48-'Assumptions'!$B$48)),'Assumptions'!$B$48+SQRT(C588*('Assumptions'!$D$48-'Assumptions'!$B$48)*('Assumptions'!$C$48-'Assumptions'!$B$48)),'Assumptions'!$D$48-SQRT((1-C588)*('Assumptions'!$D$48-'Assumptions'!$B$48)*('Assumptions'!$D$48-'Assumptions'!$C$48)))</x:f>
        <x:v>0.04683066161952257</x:v>
      </x:c>
      <x:c r="I588" s="132" t="n">
        <x:f>IF(D588&lt;(('Assumptions'!$C$49-'Assumptions'!$B$49)/('Assumptions'!$D$49-'Assumptions'!$B$49)),'Assumptions'!$B$49+SQRT(D588*('Assumptions'!$D$49-'Assumptions'!$B$49)*('Assumptions'!$C$49-'Assumptions'!$B$49)),'Assumptions'!$D$49-SQRT((1-D588)*('Assumptions'!$D$49-'Assumptions'!$B$49)*('Assumptions'!$D$49-'Assumptions'!$C$49)))</x:f>
        <x:v>0.023010225156368795</x:v>
      </x:c>
      <x:c r="J588" s="132" t="n">
        <x:f>IF(E588&lt;(('Assumptions'!$C$50-'Assumptions'!$B$50)/('Assumptions'!$D$50-'Assumptions'!$B$50)),'Assumptions'!$B$50+SQRT(E588*('Assumptions'!$D$50-'Assumptions'!$B$50)*('Assumptions'!$C$50-'Assumptions'!$B$50)),'Assumptions'!$D$50-SQRT((1-E588)*('Assumptions'!$D$50-'Assumptions'!$B$50)*('Assumptions'!$D$50-'Assumptions'!$C$50)))</x:f>
        <x:v>0.06637260243893571</x:v>
      </x:c>
      <x:c r="K588" s="132" t="n">
        <x:f>IF(F588&lt;(('Assumptions'!$C$51-'Assumptions'!$B$51)/('Assumptions'!$D$51-'Assumptions'!$B$51)),'Assumptions'!$B$51+SQRT(F588*('Assumptions'!$D$51-'Assumptions'!$B$51)*('Assumptions'!$C$51-'Assumptions'!$B$51)),'Assumptions'!$D$51-SQRT((1-F588)*('Assumptions'!$D$51-'Assumptions'!$B$51)*('Assumptions'!$D$51-'Assumptions'!$C$51)))</x:f>
        <x:v>0.06877381830580365</x:v>
      </x:c>
      <x:c r="L588" s="133" t="n">
        <x:f>(('Assumptions'!$B$17*(1+G588)+'Assumptions'!$B$18)*(1-H588-'Assumptions'!$B$20)-SUM('Assumptions'!$B$21:$B$25)*(1+I588))-(('Assumptions'!$B$17*(1+G588)+'Assumptions'!$B$18)*(1-H588-'Assumptions'!$B$20)*'Assumptions'!$B$26)</x:f>
        <x:v>236951.10170834546</x:v>
      </x:c>
      <x:c r="M588" s="133" t="n">
        <x:f>'Assumptions'!$B$10*'Assumptions'!$B$33</x:f>
        <x:v>1950000</x:v>
      </x:c>
      <x:c r="N588" s="133" t="n">
        <x:f>-PMT(K588/12,'Assumptions'!$B$35*12,M588)*12</x:f>
        <x:v>153758.5853603832</x:v>
      </x:c>
      <x:c r="O588" s="133" t="n">
        <x:f>(L588*(1+'Assumptions'!$B$29)^('Assumptions'!$B$14/12)/J588)*(1-'Assumptions'!$B$42)-'Debt Schedule'!$F$9</x:f>
        <x:v>3890306.8955240636</x:v>
      </x:c>
      <x:c r="P588" s="132" t="n">
        <x:f>((O588+(L588-N588-'Assumptions'!$B$27-'Assumptions'!$B$28)*('Assumptions'!$B$14/12))/ABS('Monthly Cash Flow'!$S$5))^(1/('Assumptions'!$B$14/12))-1</x:f>
        <x:v>0.259705653413002</x:v>
      </x:c>
      <x:c r="Q588" s="133" t="n">
        <x:f>-ABS('Monthly Cash Flow'!$S$5)+((L588-N588-'Assumptions'!$B$27-'Assumptions'!$B$28)*(1-(1+'Assumptions'!$B$43)^-('Assumptions'!$B$14/12))/'Assumptions'!$B$43)+(O588/(1+'Assumptions'!$B$43)^('Assumptions'!$B$14/12))</x:f>
        <x:v>1284808.1241842688</x:v>
      </x:c>
    </x:row>
    <x:row r="589">
      <x:c r="A589" s="131" t="n">
        <x:f>582</x:f>
        <x:v>582</x:v>
      </x:c>
      <x:c r="B589" s="131" t="n">
        <x:f>MOD(ABS(SIN((A589+1)*12.9898+78.233)*43758.5453),1)</x:f>
        <x:v>0.08583974865177879</x:v>
      </x:c>
      <x:c r="C589" s="131" t="n">
        <x:f>MOD(ABS(SIN((A589+2)*12.9898+78.233)*43758.5453),1)</x:f>
        <x:v>0.2601929602897144</x:v>
      </x:c>
      <x:c r="D589" s="131" t="n">
        <x:f>MOD(ABS(SIN((A589+3)*12.9898+78.233)*43758.5453),1)</x:f>
        <x:v>0.3498803290640353</x:v>
      </x:c>
      <x:c r="E589" s="131" t="n">
        <x:f>MOD(ABS(SIN((A589+4)*12.9898+78.233)*43758.5453),1)</x:f>
        <x:v>0.45290603143257613</x:v>
      </x:c>
      <x:c r="F589" s="131" t="n">
        <x:f>MOD(ABS(SIN((A589+5)*12.9898+78.233)*43758.5453),1)</x:f>
        <x:v>0.9946050504122468</x:v>
      </x:c>
      <x:c r="G589" s="132" t="n">
        <x:f>IF(B589&lt;(('Assumptions'!$C$47-'Assumptions'!$B$47)/('Assumptions'!$D$47-'Assumptions'!$B$47)),'Assumptions'!$B$47+SQRT(B589*('Assumptions'!$D$47-'Assumptions'!$B$47)*('Assumptions'!$C$47-'Assumptions'!$B$47)),'Assumptions'!$D$47-SQRT((1-B589)*('Assumptions'!$D$47-'Assumptions'!$B$47)*('Assumptions'!$D$47-'Assumptions'!$C$47)))</x:f>
        <x:v>-0.05461108100381007</x:v>
      </x:c>
      <x:c r="H589" s="132" t="n">
        <x:f>IF(C589&lt;(('Assumptions'!$C$48-'Assumptions'!$B$48)/('Assumptions'!$D$48-'Assumptions'!$B$48)),'Assumptions'!$B$48+SQRT(C589*('Assumptions'!$D$48-'Assumptions'!$B$48)*('Assumptions'!$C$48-'Assumptions'!$B$48)),'Assumptions'!$D$48-SQRT((1-C589)*('Assumptions'!$D$48-'Assumptions'!$B$48)*('Assumptions'!$D$48-'Assumptions'!$C$48)))</x:f>
        <x:v>0.0593025044826557</x:v>
      </x:c>
      <x:c r="I589" s="132" t="n">
        <x:f>IF(D589&lt;(('Assumptions'!$C$49-'Assumptions'!$B$49)/('Assumptions'!$D$49-'Assumptions'!$B$49)),'Assumptions'!$B$49+SQRT(D589*('Assumptions'!$D$49-'Assumptions'!$B$49)*('Assumptions'!$C$49-'Assumptions'!$B$49)),'Assumptions'!$D$49-SQRT((1-D589)*('Assumptions'!$D$49-'Assumptions'!$B$49)*('Assumptions'!$D$49-'Assumptions'!$C$49)))</x:f>
        <x:v>0.03149858696109638</x:v>
      </x:c>
      <x:c r="J589" s="132" t="n">
        <x:f>IF(E589&lt;(('Assumptions'!$C$50-'Assumptions'!$B$50)/('Assumptions'!$D$50-'Assumptions'!$B$50)),'Assumptions'!$B$50+SQRT(E589*('Assumptions'!$D$50-'Assumptions'!$B$50)*('Assumptions'!$C$50-'Assumptions'!$B$50)),'Assumptions'!$D$50-SQRT((1-E589)*('Assumptions'!$D$50-'Assumptions'!$B$50)*('Assumptions'!$D$50-'Assumptions'!$C$50)))</x:f>
        <x:v>0.06759555810769433</x:v>
      </x:c>
      <x:c r="K589" s="132" t="n">
        <x:f>IF(F589&lt;(('Assumptions'!$C$51-'Assumptions'!$B$51)/('Assumptions'!$D$51-'Assumptions'!$B$51)),'Assumptions'!$B$51+SQRT(F589*('Assumptions'!$D$51-'Assumptions'!$B$51)*('Assumptions'!$C$51-'Assumptions'!$B$51)),'Assumptions'!$D$51-SQRT((1-F589)*('Assumptions'!$D$51-'Assumptions'!$B$51)*('Assumptions'!$D$51-'Assumptions'!$C$51)))</x:f>
        <x:v>0.08338869013249896</x:v>
      </x:c>
      <x:c r="L589" s="133" t="n">
        <x:f>(('Assumptions'!$B$17*(1+G589)+'Assumptions'!$B$18)*(1-H589-'Assumptions'!$B$20)-SUM('Assumptions'!$B$21:$B$25)*(1+I589))-(('Assumptions'!$B$17*(1+G589)+'Assumptions'!$B$18)*(1-H589-'Assumptions'!$B$20)*'Assumptions'!$B$26)</x:f>
        <x:v>190197.08264882452</x:v>
      </x:c>
      <x:c r="M589" s="133" t="n">
        <x:f>'Assumptions'!$B$10*'Assumptions'!$B$33</x:f>
        <x:v>1950000</x:v>
      </x:c>
      <x:c r="N589" s="133" t="n">
        <x:f>-PMT(K589/12,'Assumptions'!$B$35*12,M589)*12</x:f>
        <x:v>177260.45303464856</x:v>
      </x:c>
      <x:c r="O589" s="133" t="n">
        <x:f>(L589*(1+'Assumptions'!$B$29)^('Assumptions'!$B$14/12)/J589)*(1-'Assumptions'!$B$42)-'Debt Schedule'!$F$9</x:f>
        <x:v>3066194.2871560925</x:v>
      </x:c>
      <x:c r="P589" s="132" t="n">
        <x:f>((O589+(L589-N589-'Assumptions'!$B$27-'Assumptions'!$B$28)*('Assumptions'!$B$14/12))/ABS('Monthly Cash Flow'!$S$5))^(1/('Assumptions'!$B$14/12))-1</x:f>
        <x:v>0.17754935933683136</x:v>
      </x:c>
      <x:c r="Q589" s="133" t="n">
        <x:f>-ABS('Monthly Cash Flow'!$S$5)+((L589-N589-'Assumptions'!$B$27-'Assumptions'!$B$28)*(1-(1+'Assumptions'!$B$43)^-('Assumptions'!$B$14/12))/'Assumptions'!$B$43)+(O589/(1+'Assumptions'!$B$43)^('Assumptions'!$B$14/12))</x:f>
        <x:v>506773.94714320125</x:v>
      </x:c>
    </x:row>
    <x:row r="590">
      <x:c r="A590" s="131" t="n">
        <x:f>583</x:f>
        <x:v>583</x:v>
      </x:c>
      <x:c r="B590" s="131" t="n">
        <x:f>MOD(ABS(SIN((A590+1)*12.9898+78.233)*43758.5453),1)</x:f>
        <x:v>0.2601929602897144</x:v>
      </x:c>
      <x:c r="C590" s="131" t="n">
        <x:f>MOD(ABS(SIN((A590+2)*12.9898+78.233)*43758.5453),1)</x:f>
        <x:v>0.3498803290640353</x:v>
      </x:c>
      <x:c r="D590" s="131" t="n">
        <x:f>MOD(ABS(SIN((A590+3)*12.9898+78.233)*43758.5453),1)</x:f>
        <x:v>0.45290603143257613</x:v>
      </x:c>
      <x:c r="E590" s="131" t="n">
        <x:f>MOD(ABS(SIN((A590+4)*12.9898+78.233)*43758.5453),1)</x:f>
        <x:v>0.9946050504122468</x:v>
      </x:c>
      <x:c r="F590" s="131" t="n">
        <x:f>MOD(ABS(SIN((A590+5)*12.9898+78.233)*43758.5453),1)</x:f>
        <x:v>0.7876972625163035</x:v>
      </x:c>
      <x:c r="G590" s="132" t="n">
        <x:f>IF(B590&lt;(('Assumptions'!$C$47-'Assumptions'!$B$47)/('Assumptions'!$D$47-'Assumptions'!$B$47)),'Assumptions'!$B$47+SQRT(B590*('Assumptions'!$D$47-'Assumptions'!$B$47)*('Assumptions'!$C$47-'Assumptions'!$B$47)),'Assumptions'!$D$47-SQRT((1-B590)*('Assumptions'!$D$47-'Assumptions'!$B$47)*('Assumptions'!$D$47-'Assumptions'!$C$47)))</x:f>
        <x:v>-0.02097702203185997</x:v>
      </x:c>
      <x:c r="H590" s="132" t="n">
        <x:f>IF(C590&lt;(('Assumptions'!$C$48-'Assumptions'!$B$48)/('Assumptions'!$D$48-'Assumptions'!$B$48)),'Assumptions'!$B$48+SQRT(C590*('Assumptions'!$D$48-'Assumptions'!$B$48)*('Assumptions'!$C$48-'Assumptions'!$B$48)),'Assumptions'!$D$48-SQRT((1-C590)*('Assumptions'!$D$48-'Assumptions'!$B$48)*('Assumptions'!$D$48-'Assumptions'!$C$48)))</x:f>
        <x:v>0.06436235656608219</x:v>
      </x:c>
      <x:c r="I590" s="132" t="n">
        <x:f>IF(D590&lt;(('Assumptions'!$C$49-'Assumptions'!$B$49)/('Assumptions'!$D$49-'Assumptions'!$B$49)),'Assumptions'!$B$49+SQRT(D590*('Assumptions'!$D$49-'Assumptions'!$B$49)*('Assumptions'!$C$49-'Assumptions'!$B$49)),'Assumptions'!$D$49-SQRT((1-D590)*('Assumptions'!$D$49-'Assumptions'!$B$49)*('Assumptions'!$D$49-'Assumptions'!$C$49)))</x:f>
        <x:v>0.04129291779715383</x:v>
      </x:c>
      <x:c r="J590" s="132" t="n">
        <x:f>IF(E590&lt;(('Assumptions'!$C$50-'Assumptions'!$B$50)/('Assumptions'!$D$50-'Assumptions'!$B$50)),'Assumptions'!$B$50+SQRT(E590*('Assumptions'!$D$50-'Assumptions'!$B$50)*('Assumptions'!$C$50-'Assumptions'!$B$50)),'Assumptions'!$D$50-SQRT((1-E590)*('Assumptions'!$D$50-'Assumptions'!$B$50)*('Assumptions'!$D$50-'Assumptions'!$C$50)))</x:f>
        <x:v>0.07876820067723854</x:v>
      </x:c>
      <x:c r="K590" s="132" t="n">
        <x:f>IF(F590&lt;(('Assumptions'!$C$51-'Assumptions'!$B$51)/('Assumptions'!$D$51-'Assumptions'!$B$51)),'Assumptions'!$B$51+SQRT(F590*('Assumptions'!$D$51-'Assumptions'!$B$51)*('Assumptions'!$C$51-'Assumptions'!$B$51)),'Assumptions'!$D$51-SQRT((1-F590)*('Assumptions'!$D$51-'Assumptions'!$B$51)*('Assumptions'!$D$51-'Assumptions'!$C$51)))</x:f>
        <x:v>0.07489204806036213</x:v>
      </x:c>
      <x:c r="L590" s="133" t="n">
        <x:f>(('Assumptions'!$B$17*(1+G590)+'Assumptions'!$B$18)*(1-H590-'Assumptions'!$B$20)-SUM('Assumptions'!$B$21:$B$25)*(1+I590))-(('Assumptions'!$B$17*(1+G590)+'Assumptions'!$B$18)*(1-H590-'Assumptions'!$B$20)*'Assumptions'!$B$26)</x:f>
        <x:v>197981.92330637274</x:v>
      </x:c>
      <x:c r="M590" s="133" t="n">
        <x:f>'Assumptions'!$B$10*'Assumptions'!$B$33</x:f>
        <x:v>1950000</x:v>
      </x:c>
      <x:c r="N590" s="133" t="n">
        <x:f>-PMT(K590/12,'Assumptions'!$B$35*12,M590)*12</x:f>
        <x:v>163443.2562552638</x:v>
      </x:c>
      <x:c r="O590" s="133" t="n">
        <x:f>(L590*(1+'Assumptions'!$B$29)^('Assumptions'!$B$14/12)/J590)*(1-'Assumptions'!$B$42)-'Debt Schedule'!$F$9</x:f>
        <x:v>2738978.297866899</x:v>
      </x:c>
      <x:c r="P590" s="132" t="n">
        <x:f>((O590+(L590-N590-'Assumptions'!$B$27-'Assumptions'!$B$28)*('Assumptions'!$B$14/12))/ABS('Monthly Cash Flow'!$S$5))^(1/('Assumptions'!$B$14/12))-1</x:f>
        <x:v>0.15938321518356502</x:v>
      </x:c>
      <x:c r="Q590" s="133" t="n">
        <x:f>-ABS('Monthly Cash Flow'!$S$5)+((L590-N590-'Assumptions'!$B$27-'Assumptions'!$B$28)*(1-(1+'Assumptions'!$B$43)^-('Assumptions'!$B$14/12))/'Assumptions'!$B$43)+(O590/(1+'Assumptions'!$B$43)^('Assumptions'!$B$14/12))</x:f>
        <x:v>385487.2798558364</x:v>
      </x:c>
    </x:row>
    <x:row r="591">
      <x:c r="A591" s="131" t="n">
        <x:f>584</x:f>
        <x:v>584</x:v>
      </x:c>
      <x:c r="B591" s="131" t="n">
        <x:f>MOD(ABS(SIN((A591+1)*12.9898+78.233)*43758.5453),1)</x:f>
        <x:v>0.3498803290640353</x:v>
      </x:c>
      <x:c r="C591" s="131" t="n">
        <x:f>MOD(ABS(SIN((A591+2)*12.9898+78.233)*43758.5453),1)</x:f>
        <x:v>0.45290603143257613</x:v>
      </x:c>
      <x:c r="D591" s="131" t="n">
        <x:f>MOD(ABS(SIN((A591+3)*12.9898+78.233)*43758.5453),1)</x:f>
        <x:v>0.9946050504122468</x:v>
      </x:c>
      <x:c r="E591" s="131" t="n">
        <x:f>MOD(ABS(SIN((A591+4)*12.9898+78.233)*43758.5453),1)</x:f>
        <x:v>0.7876972625163035</x:v>
      </x:c>
      <x:c r="F591" s="131" t="n">
        <x:f>MOD(ABS(SIN((A591+5)*12.9898+78.233)*43758.5453),1)</x:f>
        <x:v>0.14639263641583966</x:v>
      </x:c>
      <x:c r="G591" s="132" t="n">
        <x:f>IF(B591&lt;(('Assumptions'!$C$47-'Assumptions'!$B$47)/('Assumptions'!$D$47-'Assumptions'!$B$47)),'Assumptions'!$B$47+SQRT(B591*('Assumptions'!$D$47-'Assumptions'!$B$47)*('Assumptions'!$C$47-'Assumptions'!$B$47)),'Assumptions'!$D$47-SQRT((1-B591)*('Assumptions'!$D$47-'Assumptions'!$B$47)*('Assumptions'!$D$47-'Assumptions'!$C$47)))</x:f>
        <x:v>-0.00836415604395381</x:v>
      </x:c>
      <x:c r="H591" s="132" t="n">
        <x:f>IF(C591&lt;(('Assumptions'!$C$48-'Assumptions'!$B$48)/('Assumptions'!$D$48-'Assumptions'!$B$48)),'Assumptions'!$B$48+SQRT(C591*('Assumptions'!$D$48-'Assumptions'!$B$48)*('Assumptions'!$C$48-'Assumptions'!$B$48)),'Assumptions'!$D$48-SQRT((1-C591)*('Assumptions'!$D$48-'Assumptions'!$B$48)*('Assumptions'!$D$48-'Assumptions'!$C$48)))</x:f>
        <x:v>0.070613928462599</x:v>
      </x:c>
      <x:c r="I591" s="132" t="n">
        <x:f>IF(D591&lt;(('Assumptions'!$C$49-'Assumptions'!$B$49)/('Assumptions'!$D$49-'Assumptions'!$B$49)),'Assumptions'!$B$49+SQRT(D591*('Assumptions'!$D$49-'Assumptions'!$B$49)*('Assumptions'!$C$49-'Assumptions'!$B$49)),'Assumptions'!$D$49-SQRT((1-D591)*('Assumptions'!$D$49-'Assumptions'!$B$49)*('Assumptions'!$D$49-'Assumptions'!$C$49)))</x:f>
        <x:v>0.13920505159366336</x:v>
      </x:c>
      <x:c r="J591" s="132" t="n">
        <x:f>IF(E591&lt;(('Assumptions'!$C$50-'Assumptions'!$B$50)/('Assumptions'!$D$50-'Assumptions'!$B$50)),'Assumptions'!$B$50+SQRT(E591*('Assumptions'!$D$50-'Assumptions'!$B$50)*('Assumptions'!$C$50-'Assumptions'!$B$50)),'Assumptions'!$D$50-SQRT((1-E591)*('Assumptions'!$D$50-'Assumptions'!$B$50)*('Assumptions'!$D$50-'Assumptions'!$C$50)))</x:f>
        <x:v>0.07227276602416559</x:v>
      </x:c>
      <x:c r="K591" s="132" t="n">
        <x:f>IF(F591&lt;(('Assumptions'!$C$51-'Assumptions'!$B$51)/('Assumptions'!$D$51-'Assumptions'!$B$51)),'Assumptions'!$B$51+SQRT(F591*('Assumptions'!$D$51-'Assumptions'!$B$51)*('Assumptions'!$C$51-'Assumptions'!$B$51)),'Assumptions'!$D$51-SQRT((1-F591)*('Assumptions'!$D$51-'Assumptions'!$B$51)*('Assumptions'!$D$51-'Assumptions'!$C$51)))</x:f>
        <x:v>0.063844917258275</x:v>
      </x:c>
      <x:c r="L591" s="133" t="n">
        <x:f>(('Assumptions'!$B$17*(1+G591)+'Assumptions'!$B$18)*(1-H591-'Assumptions'!$B$20)-SUM('Assumptions'!$B$21:$B$25)*(1+I591))-(('Assumptions'!$B$17*(1+G591)+'Assumptions'!$B$18)*(1-H591-'Assumptions'!$B$20)*'Assumptions'!$B$26)</x:f>
        <x:v>187429.35564994343</x:v>
      </x:c>
      <x:c r="M591" s="133" t="n">
        <x:f>'Assumptions'!$B$10*'Assumptions'!$B$33</x:f>
        <x:v>1950000</x:v>
      </x:c>
      <x:c r="N591" s="133" t="n">
        <x:f>-PMT(K591/12,'Assumptions'!$B$35*12,M591)*12</x:f>
        <x:v>146130.85366219794</x:v>
      </x:c>
      <x:c r="O591" s="133" t="n">
        <x:f>(L591*(1+'Assumptions'!$B$29)^('Assumptions'!$B$14/12)/J591)*(1-'Assumptions'!$B$42)-'Debt Schedule'!$F$9</x:f>
        <x:v>2826030.9441232253</x:v>
      </x:c>
      <x:c r="P591" s="132" t="n">
        <x:f>((O591+(L591-N591-'Assumptions'!$B$27-'Assumptions'!$B$28)*('Assumptions'!$B$14/12))/ABS('Monthly Cash Flow'!$S$5))^(1/('Assumptions'!$B$14/12))-1</x:f>
        <x:v>0.169537878099977</x:v>
      </x:c>
      <x:c r="Q591" s="133" t="n">
        <x:f>-ABS('Monthly Cash Flow'!$S$5)+((L591-N591-'Assumptions'!$B$27-'Assumptions'!$B$28)*(1-(1+'Assumptions'!$B$43)^-('Assumptions'!$B$14/12))/'Assumptions'!$B$43)+(O591/(1+'Assumptions'!$B$43)^('Assumptions'!$B$14/12))</x:f>
        <x:v>465165.21698630205</x:v>
      </x:c>
    </x:row>
    <x:row r="592">
      <x:c r="A592" s="131" t="n">
        <x:f>585</x:f>
        <x:v>585</x:v>
      </x:c>
      <x:c r="B592" s="131" t="n">
        <x:f>MOD(ABS(SIN((A592+1)*12.9898+78.233)*43758.5453),1)</x:f>
        <x:v>0.45290603143257613</x:v>
      </x:c>
      <x:c r="C592" s="131" t="n">
        <x:f>MOD(ABS(SIN((A592+2)*12.9898+78.233)*43758.5453),1)</x:f>
        <x:v>0.9946050504122468</x:v>
      </x:c>
      <x:c r="D592" s="131" t="n">
        <x:f>MOD(ABS(SIN((A592+3)*12.9898+78.233)*43758.5453),1)</x:f>
        <x:v>0.7876972625163035</x:v>
      </x:c>
      <x:c r="E592" s="131" t="n">
        <x:f>MOD(ABS(SIN((A592+4)*12.9898+78.233)*43758.5453),1)</x:f>
        <x:v>0.14639263641583966</x:v>
      </x:c>
      <x:c r="F592" s="131" t="n">
        <x:f>MOD(ABS(SIN((A592+5)*12.9898+78.233)*43758.5453),1)</x:f>
        <x:v>0.3508098596284981</x:v>
      </x:c>
      <x:c r="G592" s="132" t="n">
        <x:f>IF(B592&lt;(('Assumptions'!$C$47-'Assumptions'!$B$47)/('Assumptions'!$D$47-'Assumptions'!$B$47)),'Assumptions'!$B$47+SQRT(B592*('Assumptions'!$D$47-'Assumptions'!$B$47)*('Assumptions'!$C$47-'Assumptions'!$B$47)),'Assumptions'!$D$47-SQRT((1-B592)*('Assumptions'!$D$47-'Assumptions'!$B$47)*('Assumptions'!$D$47-'Assumptions'!$C$47)))</x:f>
        <x:v>0.004258068054140668</x:v>
      </x:c>
      <x:c r="H592" s="132" t="n">
        <x:f>IF(C592&lt;(('Assumptions'!$C$48-'Assumptions'!$B$48)/('Assumptions'!$D$48-'Assumptions'!$B$48)),'Assumptions'!$B$48+SQRT(C592*('Assumptions'!$D$48-'Assumptions'!$B$48)*('Assumptions'!$C$48-'Assumptions'!$B$48)),'Assumptions'!$D$48-SQRT((1-C592)*('Assumptions'!$D$48-'Assumptions'!$B$48)*('Assumptions'!$D$48-'Assumptions'!$C$48)))</x:f>
        <x:v>0.13310974917929483</x:v>
      </x:c>
      <x:c r="I592" s="132" t="n">
        <x:f>IF(D592&lt;(('Assumptions'!$C$49-'Assumptions'!$B$49)/('Assumptions'!$D$49-'Assumptions'!$B$49)),'Assumptions'!$B$49+SQRT(D592*('Assumptions'!$D$49-'Assumptions'!$B$49)*('Assumptions'!$C$49-'Assumptions'!$B$49)),'Assumptions'!$D$49-SQRT((1-D592)*('Assumptions'!$D$49-'Assumptions'!$B$49)*('Assumptions'!$D$49-'Assumptions'!$C$49)))</x:f>
        <x:v>0.08228191430904262</x:v>
      </x:c>
      <x:c r="J592" s="132" t="n">
        <x:f>IF(E592&lt;(('Assumptions'!$C$50-'Assumptions'!$B$50)/('Assumptions'!$D$50-'Assumptions'!$B$50)),'Assumptions'!$B$50+SQRT(E592*('Assumptions'!$D$50-'Assumptions'!$B$50)*('Assumptions'!$C$50-'Assumptions'!$B$50)),'Assumptions'!$D$50-SQRT((1-E592)*('Assumptions'!$D$50-'Assumptions'!$B$50)*('Assumptions'!$D$50-'Assumptions'!$C$50)))</x:f>
        <x:v>0.06323919360133146</x:v>
      </x:c>
      <x:c r="K592" s="132" t="n">
        <x:f>IF(F592&lt;(('Assumptions'!$C$51-'Assumptions'!$B$51)/('Assumptions'!$D$51-'Assumptions'!$B$51)),'Assumptions'!$B$51+SQRT(F592*('Assumptions'!$D$51-'Assumptions'!$B$51)*('Assumptions'!$C$51-'Assumptions'!$B$51)),'Assumptions'!$D$51-SQRT((1-F592)*('Assumptions'!$D$51-'Assumptions'!$B$51)*('Assumptions'!$D$51-'Assumptions'!$C$51)))</x:f>
        <x:v>0.06732205230070767</x:v>
      </x:c>
      <x:c r="L592" s="133" t="n">
        <x:f>(('Assumptions'!$B$17*(1+G592)+'Assumptions'!$B$18)*(1-H592-'Assumptions'!$B$20)-SUM('Assumptions'!$B$21:$B$25)*(1+I592))-(('Assumptions'!$B$17*(1+G592)+'Assumptions'!$B$18)*(1-H592-'Assumptions'!$B$20)*'Assumptions'!$B$26)</x:f>
        <x:v>175841.8026990887</x:v>
      </x:c>
      <x:c r="M592" s="133" t="n">
        <x:f>'Assumptions'!$B$10*'Assumptions'!$B$33</x:f>
        <x:v>1950000</x:v>
      </x:c>
      <x:c r="N592" s="133" t="n">
        <x:f>-PMT(K592/12,'Assumptions'!$B$35*12,M592)*12</x:f>
        <x:v>151495.26920999796</x:v>
      </x:c>
      <x:c r="O592" s="133" t="n">
        <x:f>(L592*(1+'Assumptions'!$B$29)^('Assumptions'!$B$14/12)/J592)*(1-'Assumptions'!$B$42)-'Debt Schedule'!$F$9</x:f>
        <x:v>3030049.9034251</x:v>
      </x:c>
      <x:c r="P592" s="132" t="n">
        <x:f>((O592+(L592-N592-'Assumptions'!$B$27-'Assumptions'!$B$28)*('Assumptions'!$B$14/12))/ABS('Monthly Cash Flow'!$S$5))^(1/('Assumptions'!$B$14/12))-1</x:f>
        <x:v>0.17922441363061092</x:v>
      </x:c>
      <x:c r="Q592" s="133" t="n">
        <x:f>-ABS('Monthly Cash Flow'!$S$5)+((L592-N592-'Assumptions'!$B$27-'Assumptions'!$B$28)*(1-(1+'Assumptions'!$B$43)^-('Assumptions'!$B$14/12))/'Assumptions'!$B$43)+(O592/(1+'Assumptions'!$B$43)^('Assumptions'!$B$14/12))</x:f>
        <x:v>527583.6412250446</x:v>
      </x:c>
    </x:row>
    <x:row r="593">
      <x:c r="A593" s="131" t="n">
        <x:f>586</x:f>
        <x:v>586</x:v>
      </x:c>
      <x:c r="B593" s="131" t="n">
        <x:f>MOD(ABS(SIN((A593+1)*12.9898+78.233)*43758.5453),1)</x:f>
        <x:v>0.9946050504122468</x:v>
      </x:c>
      <x:c r="C593" s="131" t="n">
        <x:f>MOD(ABS(SIN((A593+2)*12.9898+78.233)*43758.5453),1)</x:f>
        <x:v>0.7876972625163035</x:v>
      </x:c>
      <x:c r="D593" s="131" t="n">
        <x:f>MOD(ABS(SIN((A593+3)*12.9898+78.233)*43758.5453),1)</x:f>
        <x:v>0.14639263641583966</x:v>
      </x:c>
      <x:c r="E593" s="131" t="n">
        <x:f>MOD(ABS(SIN((A593+4)*12.9898+78.233)*43758.5453),1)</x:f>
        <x:v>0.3508098596284981</x:v>
      </x:c>
      <x:c r="F593" s="131" t="n">
        <x:f>MOD(ABS(SIN((A593+5)*12.9898+78.233)*43758.5453),1)</x:f>
        <x:v>0.2058798157449928</x:v>
      </x:c>
      <x:c r="G593" s="132" t="n">
        <x:f>IF(B593&lt;(('Assumptions'!$C$47-'Assumptions'!$B$47)/('Assumptions'!$D$47-'Assumptions'!$B$47)),'Assumptions'!$B$47+SQRT(B593*('Assumptions'!$D$47-'Assumptions'!$B$47)*('Assumptions'!$C$47-'Assumptions'!$B$47)),'Assumptions'!$D$47-SQRT((1-B593)*('Assumptions'!$D$47-'Assumptions'!$B$47)*('Assumptions'!$D$47-'Assumptions'!$C$47)))</x:f>
        <x:v>0.09070918768868666</x:v>
      </x:c>
      <x:c r="H593" s="132" t="n">
        <x:f>IF(C593&lt;(('Assumptions'!$C$48-'Assumptions'!$B$48)/('Assumptions'!$D$48-'Assumptions'!$B$48)),'Assumptions'!$B$48+SQRT(C593*('Assumptions'!$D$48-'Assumptions'!$B$48)*('Assumptions'!$C$48-'Assumptions'!$B$48)),'Assumptions'!$D$48-SQRT((1-C593)*('Assumptions'!$D$48-'Assumptions'!$B$48)*('Assumptions'!$D$48-'Assumptions'!$C$48)))</x:f>
        <x:v>0.09677657938274056</x:v>
      </x:c>
      <x:c r="I593" s="132" t="n">
        <x:f>IF(D593&lt;(('Assumptions'!$C$49-'Assumptions'!$B$49)/('Assumptions'!$D$49-'Assumptions'!$B$49)),'Assumptions'!$B$49+SQRT(D593*('Assumptions'!$D$49-'Assumptions'!$B$49)*('Assumptions'!$C$49-'Assumptions'!$B$49)),'Assumptions'!$D$49-SQRT((1-D593)*('Assumptions'!$D$49-'Assumptions'!$B$49)*('Assumptions'!$D$49-'Assumptions'!$C$49)))</x:f>
        <x:v>0.009762299647921122</x:v>
      </x:c>
      <x:c r="J593" s="132" t="n">
        <x:f>IF(E593&lt;(('Assumptions'!$C$50-'Assumptions'!$B$50)/('Assumptions'!$D$50-'Assumptions'!$B$50)),'Assumptions'!$B$50+SQRT(E593*('Assumptions'!$D$50-'Assumptions'!$B$50)*('Assumptions'!$C$50-'Assumptions'!$B$50)),'Assumptions'!$D$50-SQRT((1-E593)*('Assumptions'!$D$50-'Assumptions'!$B$50)*('Assumptions'!$D$50-'Assumptions'!$C$50)))</x:f>
        <x:v>0.06638438058709847</x:v>
      </x:c>
      <x:c r="K593" s="132" t="n">
        <x:f>IF(F593&lt;(('Assumptions'!$C$51-'Assumptions'!$B$51)/('Assumptions'!$D$51-'Assumptions'!$B$51)),'Assumptions'!$B$51+SQRT(F593*('Assumptions'!$D$51-'Assumptions'!$B$51)*('Assumptions'!$C$51-'Assumptions'!$B$51)),'Assumptions'!$D$51-SQRT((1-F593)*('Assumptions'!$D$51-'Assumptions'!$B$51)*('Assumptions'!$D$51-'Assumptions'!$C$51)))</x:f>
        <x:v>0.06502442352143159</x:v>
      </x:c>
      <x:c r="L593" s="133" t="n">
        <x:f>(('Assumptions'!$B$17*(1+G593)+'Assumptions'!$B$18)*(1-H593-'Assumptions'!$B$20)-SUM('Assumptions'!$B$21:$B$25)*(1+I593))-(('Assumptions'!$B$17*(1+G593)+'Assumptions'!$B$18)*(1-H593-'Assumptions'!$B$20)*'Assumptions'!$B$26)</x:f>
        <x:v>224904.6112240004</x:v>
      </x:c>
      <x:c r="M593" s="133" t="n">
        <x:f>'Assumptions'!$B$10*'Assumptions'!$B$33</x:f>
        <x:v>1950000</x:v>
      </x:c>
      <x:c r="N593" s="133" t="n">
        <x:f>-PMT(K593/12,'Assumptions'!$B$35*12,M593)*12</x:f>
        <x:v>147941.50491922814</x:v>
      </x:c>
      <x:c r="O593" s="133" t="n">
        <x:f>(L593*(1+'Assumptions'!$B$29)^('Assumptions'!$B$14/12)/J593)*(1-'Assumptions'!$B$42)-'Debt Schedule'!$F$9</x:f>
        <x:v>3691870.2519487683</x:v>
      </x:c>
      <x:c r="P593" s="132" t="n">
        <x:f>((O593+(L593-N593-'Assumptions'!$B$27-'Assumptions'!$B$28)*('Assumptions'!$B$14/12))/ABS('Monthly Cash Flow'!$S$5))^(1/('Assumptions'!$B$14/12))-1</x:f>
        <x:v>0.24529346596897117</x:v>
      </x:c>
      <x:c r="Q593" s="133" t="n">
        <x:f>-ABS('Monthly Cash Flow'!$S$5)+((L593-N593-'Assumptions'!$B$27-'Assumptions'!$B$28)*(1-(1+'Assumptions'!$B$43)^-('Assumptions'!$B$14/12))/'Assumptions'!$B$43)+(O593/(1+'Assumptions'!$B$43)^('Assumptions'!$B$14/12))</x:f>
        <x:v>1137980.2157391338</x:v>
      </x:c>
    </x:row>
    <x:row r="594">
      <x:c r="A594" s="131" t="n">
        <x:f>587</x:f>
        <x:v>587</x:v>
      </x:c>
      <x:c r="B594" s="131" t="n">
        <x:f>MOD(ABS(SIN((A594+1)*12.9898+78.233)*43758.5453),1)</x:f>
        <x:v>0.7876972625163035</x:v>
      </x:c>
      <x:c r="C594" s="131" t="n">
        <x:f>MOD(ABS(SIN((A594+2)*12.9898+78.233)*43758.5453),1)</x:f>
        <x:v>0.14639263641583966</x:v>
      </x:c>
      <x:c r="D594" s="131" t="n">
        <x:f>MOD(ABS(SIN((A594+3)*12.9898+78.233)*43758.5453),1)</x:f>
        <x:v>0.3508098596284981</x:v>
      </x:c>
      <x:c r="E594" s="131" t="n">
        <x:f>MOD(ABS(SIN((A594+4)*12.9898+78.233)*43758.5453),1)</x:f>
        <x:v>0.2058798157449928</x:v>
      </x:c>
      <x:c r="F594" s="131" t="n">
        <x:f>MOD(ABS(SIN((A594+5)*12.9898+78.233)*43758.5453),1)</x:f>
        <x:v>0.5365564152598381</x:v>
      </x:c>
      <x:c r="G594" s="132" t="n">
        <x:f>IF(B594&lt;(('Assumptions'!$C$47-'Assumptions'!$B$47)/('Assumptions'!$D$47-'Assumptions'!$B$47)),'Assumptions'!$B$47+SQRT(B594*('Assumptions'!$D$47-'Assumptions'!$B$47)*('Assumptions'!$C$47-'Assumptions'!$B$47)),'Assumptions'!$D$47-SQRT((1-B594)*('Assumptions'!$D$47-'Assumptions'!$B$47)*('Assumptions'!$D$47-'Assumptions'!$C$47)))</x:f>
        <x:v>0.04171755152930563</x:v>
      </x:c>
      <x:c r="H594" s="132" t="n">
        <x:f>IF(C594&lt;(('Assumptions'!$C$48-'Assumptions'!$B$48)/('Assumptions'!$D$48-'Assumptions'!$B$48)),'Assumptions'!$B$48+SQRT(C594*('Assumptions'!$D$48-'Assumptions'!$B$48)*('Assumptions'!$C$48-'Assumptions'!$B$48)),'Assumptions'!$D$48-SQRT((1-C594)*('Assumptions'!$D$48-'Assumptions'!$B$48)*('Assumptions'!$D$48-'Assumptions'!$C$48)))</x:f>
        <x:v>0.051979438122305835</x:v>
      </x:c>
      <x:c r="I594" s="132" t="n">
        <x:f>IF(D594&lt;(('Assumptions'!$C$49-'Assumptions'!$B$49)/('Assumptions'!$D$49-'Assumptions'!$B$49)),'Assumptions'!$B$49+SQRT(D594*('Assumptions'!$D$49-'Assumptions'!$B$49)*('Assumptions'!$C$49-'Assumptions'!$B$49)),'Assumptions'!$D$49-SQRT((1-D594)*('Assumptions'!$D$49-'Assumptions'!$B$49)*('Assumptions'!$D$49-'Assumptions'!$C$49)))</x:f>
        <x:v>0.03158333296353742</x:v>
      </x:c>
      <x:c r="J594" s="132" t="n">
        <x:f>IF(E594&lt;(('Assumptions'!$C$50-'Assumptions'!$B$50)/('Assumptions'!$D$50-'Assumptions'!$B$50)),'Assumptions'!$B$50+SQRT(E594*('Assumptions'!$D$50-'Assumptions'!$B$50)*('Assumptions'!$C$50-'Assumptions'!$B$50)),'Assumptions'!$D$50-SQRT((1-E594)*('Assumptions'!$D$50-'Assumptions'!$B$50)*('Assumptions'!$D$50-'Assumptions'!$C$50)))</x:f>
        <x:v>0.06430609715935817</x:v>
      </x:c>
      <x:c r="K594" s="132" t="n">
        <x:f>IF(F594&lt;(('Assumptions'!$C$51-'Assumptions'!$B$51)/('Assumptions'!$D$51-'Assumptions'!$B$51)),'Assumptions'!$B$51+SQRT(F594*('Assumptions'!$D$51-'Assumptions'!$B$51)*('Assumptions'!$C$51-'Assumptions'!$B$51)),'Assumptions'!$D$51-SQRT((1-F594)*('Assumptions'!$D$51-'Assumptions'!$B$51)*('Assumptions'!$D$51-'Assumptions'!$C$51)))</x:f>
        <x:v>0.07006573653787362</x:v>
      </x:c>
      <x:c r="L594" s="133" t="n">
        <x:f>(('Assumptions'!$B$17*(1+G594)+'Assumptions'!$B$18)*(1-H594-'Assumptions'!$B$20)-SUM('Assumptions'!$B$21:$B$25)*(1+I594))-(('Assumptions'!$B$17*(1+G594)+'Assumptions'!$B$18)*(1-H594-'Assumptions'!$B$20)*'Assumptions'!$B$26)</x:f>
        <x:v>223933.39348180726</x:v>
      </x:c>
      <x:c r="M594" s="133" t="n">
        <x:f>'Assumptions'!$B$10*'Assumptions'!$B$33</x:f>
        <x:v>1950000</x:v>
      </x:c>
      <x:c r="N594" s="133" t="n">
        <x:f>-PMT(K594/12,'Assumptions'!$B$35*12,M594)*12</x:f>
        <x:v>155784.10491330514</x:v>
      </x:c>
      <x:c r="O594" s="133" t="n">
        <x:f>(L594*(1+'Assumptions'!$B$29)^('Assumptions'!$B$14/12)/J594)*(1-'Assumptions'!$B$42)-'Debt Schedule'!$F$9</x:f>
        <x:v>3794728.300533463</x:v>
      </x:c>
      <x:c r="P594" s="132" t="n">
        <x:f>((O594+(L594-N594-'Assumptions'!$B$27-'Assumptions'!$B$28)*('Assumptions'!$B$14/12))/ABS('Monthly Cash Flow'!$S$5))^(1/('Assumptions'!$B$14/12))-1</x:f>
        <x:v>0.24904767399399041</x:v>
      </x:c>
      <x:c r="Q594" s="133" t="n">
        <x:f>-ABS('Monthly Cash Flow'!$S$5)+((L594-N594-'Assumptions'!$B$27-'Assumptions'!$B$28)*(1-(1+'Assumptions'!$B$43)^-('Assumptions'!$B$14/12))/'Assumptions'!$B$43)+(O594/(1+'Assumptions'!$B$43)^('Assumptions'!$B$14/12))</x:f>
        <x:v>1168435.6676909947</x:v>
      </x:c>
    </x:row>
    <x:row r="595">
      <x:c r="A595" s="131" t="n">
        <x:f>588</x:f>
        <x:v>588</x:v>
      </x:c>
      <x:c r="B595" s="131" t="n">
        <x:f>MOD(ABS(SIN((A595+1)*12.9898+78.233)*43758.5453),1)</x:f>
        <x:v>0.14639263641583966</x:v>
      </x:c>
      <x:c r="C595" s="131" t="n">
        <x:f>MOD(ABS(SIN((A595+2)*12.9898+78.233)*43758.5453),1)</x:f>
        <x:v>0.3508098596284981</x:v>
      </x:c>
      <x:c r="D595" s="131" t="n">
        <x:f>MOD(ABS(SIN((A595+3)*12.9898+78.233)*43758.5453),1)</x:f>
        <x:v>0.2058798157449928</x:v>
      </x:c>
      <x:c r="E595" s="131" t="n">
        <x:f>MOD(ABS(SIN((A595+4)*12.9898+78.233)*43758.5453),1)</x:f>
        <x:v>0.5365564152598381</x:v>
      </x:c>
      <x:c r="F595" s="131" t="n">
        <x:f>MOD(ABS(SIN((A595+5)*12.9898+78.233)*43758.5453),1)</x:f>
        <x:v>0.46865710432393826</x:v>
      </x:c>
      <x:c r="G595" s="132" t="n">
        <x:f>IF(B595&lt;(('Assumptions'!$C$47-'Assumptions'!$B$47)/('Assumptions'!$D$47-'Assumptions'!$B$47)),'Assumptions'!$B$47+SQRT(B595*('Assumptions'!$D$47-'Assumptions'!$B$47)*('Assumptions'!$C$47-'Assumptions'!$B$47)),'Assumptions'!$D$47-SQRT((1-B595)*('Assumptions'!$D$47-'Assumptions'!$B$47)*('Assumptions'!$D$47-'Assumptions'!$C$47)))</x:f>
        <x:v>-0.040725863363688275</x:v>
      </x:c>
      <x:c r="H595" s="132" t="n">
        <x:f>IF(C595&lt;(('Assumptions'!$C$48-'Assumptions'!$B$48)/('Assumptions'!$D$48-'Assumptions'!$B$48)),'Assumptions'!$B$48+SQRT(C595*('Assumptions'!$D$48-'Assumptions'!$B$48)*('Assumptions'!$C$48-'Assumptions'!$B$48)),'Assumptions'!$D$48-SQRT((1-C595)*('Assumptions'!$D$48-'Assumptions'!$B$48)*('Assumptions'!$D$48-'Assumptions'!$C$48)))</x:f>
        <x:v>0.06441644864608956</x:v>
      </x:c>
      <x:c r="I595" s="132" t="n">
        <x:f>IF(D595&lt;(('Assumptions'!$C$49-'Assumptions'!$B$49)/('Assumptions'!$D$49-'Assumptions'!$B$49)),'Assumptions'!$B$49+SQRT(D595*('Assumptions'!$D$49-'Assumptions'!$B$49)*('Assumptions'!$C$49-'Assumptions'!$B$49)),'Assumptions'!$D$49-SQRT((1-D595)*('Assumptions'!$D$49-'Assumptions'!$B$49)*('Assumptions'!$D$49-'Assumptions'!$C$49)))</x:f>
        <x:v>0.017154024325034253</x:v>
      </x:c>
      <x:c r="J595" s="132" t="n">
        <x:f>IF(E595&lt;(('Assumptions'!$C$50-'Assumptions'!$B$50)/('Assumptions'!$D$50-'Assumptions'!$B$50)),'Assumptions'!$B$50+SQRT(E595*('Assumptions'!$D$50-'Assumptions'!$B$50)*('Assumptions'!$C$50-'Assumptions'!$B$50)),'Assumptions'!$D$50-SQRT((1-E595)*('Assumptions'!$D$50-'Assumptions'!$B$50)*('Assumptions'!$D$50-'Assumptions'!$C$50)))</x:f>
        <x:v>0.06858319185550661</x:v>
      </x:c>
      <x:c r="K595" s="132" t="n">
        <x:f>IF(F595&lt;(('Assumptions'!$C$51-'Assumptions'!$B$51)/('Assumptions'!$D$51-'Assumptions'!$B$51)),'Assumptions'!$B$51+SQRT(F595*('Assumptions'!$D$51-'Assumptions'!$B$51)*('Assumptions'!$C$51-'Assumptions'!$B$51)),'Assumptions'!$D$51-SQRT((1-F595)*('Assumptions'!$D$51-'Assumptions'!$B$51)*('Assumptions'!$D$51-'Assumptions'!$C$51)))</x:f>
        <x:v>0.06900910357284168</x:v>
      </x:c>
      <x:c r="L595" s="133" t="n">
        <x:f>(('Assumptions'!$B$17*(1+G595)+'Assumptions'!$B$18)*(1-H595-'Assumptions'!$B$20)-SUM('Assumptions'!$B$21:$B$25)*(1+I595))-(('Assumptions'!$B$17*(1+G595)+'Assumptions'!$B$18)*(1-H595-'Assumptions'!$B$20)*'Assumptions'!$B$26)</x:f>
        <x:v>194686.89464758598</x:v>
      </x:c>
      <x:c r="M595" s="133" t="n">
        <x:f>'Assumptions'!$B$10*'Assumptions'!$B$33</x:f>
        <x:v>1950000</x:v>
      </x:c>
      <x:c r="N595" s="133" t="n">
        <x:f>-PMT(K595/12,'Assumptions'!$B$35*12,M595)*12</x:f>
        <x:v>154126.67981442838</x:v>
      </x:c>
      <x:c r="O595" s="133" t="n">
        <x:f>(L595*(1+'Assumptions'!$B$29)^('Assumptions'!$B$14/12)/J595)*(1-'Assumptions'!$B$42)-'Debt Schedule'!$F$9</x:f>
        <x:v>3093378.06621248</x:v>
      </x:c>
      <x:c r="P595" s="132" t="n">
        <x:f>((O595+(L595-N595-'Assumptions'!$B$27-'Assumptions'!$B$28)*('Assumptions'!$B$14/12))/ABS('Monthly Cash Flow'!$S$5))^(1/('Assumptions'!$B$14/12))-1</x:f>
        <x:v>0.19054223040297313</x:v>
      </x:c>
      <x:c r="Q595" s="133" t="n">
        <x:f>-ABS('Monthly Cash Flow'!$S$5)+((L595-N595-'Assumptions'!$B$27-'Assumptions'!$B$28)*(1-(1+'Assumptions'!$B$43)^-('Assumptions'!$B$14/12))/'Assumptions'!$B$43)+(O595/(1+'Assumptions'!$B$43)^('Assumptions'!$B$14/12))</x:f>
        <x:v>628368.0565723835</x:v>
      </x:c>
    </x:row>
    <x:row r="596">
      <x:c r="A596" s="131" t="n">
        <x:f>589</x:f>
        <x:v>589</x:v>
      </x:c>
      <x:c r="B596" s="131" t="n">
        <x:f>MOD(ABS(SIN((A596+1)*12.9898+78.233)*43758.5453),1)</x:f>
        <x:v>0.3508098596284981</x:v>
      </x:c>
      <x:c r="C596" s="131" t="n">
        <x:f>MOD(ABS(SIN((A596+2)*12.9898+78.233)*43758.5453),1)</x:f>
        <x:v>0.2058798157449928</x:v>
      </x:c>
      <x:c r="D596" s="131" t="n">
        <x:f>MOD(ABS(SIN((A596+3)*12.9898+78.233)*43758.5453),1)</x:f>
        <x:v>0.5365564152598381</x:v>
      </x:c>
      <x:c r="E596" s="131" t="n">
        <x:f>MOD(ABS(SIN((A596+4)*12.9898+78.233)*43758.5453),1)</x:f>
        <x:v>0.46865710432393826</x:v>
      </x:c>
      <x:c r="F596" s="131" t="n">
        <x:f>MOD(ABS(SIN((A596+5)*12.9898+78.233)*43758.5453),1)</x:f>
        <x:v>0.6196546453084011</x:v>
      </x:c>
      <x:c r="G596" s="132" t="n">
        <x:f>IF(B596&lt;(('Assumptions'!$C$47-'Assumptions'!$B$47)/('Assumptions'!$D$47-'Assumptions'!$B$47)),'Assumptions'!$B$47+SQRT(B596*('Assumptions'!$D$47-'Assumptions'!$B$47)*('Assumptions'!$C$47-'Assumptions'!$B$47)),'Assumptions'!$D$47-SQRT((1-B596)*('Assumptions'!$D$47-'Assumptions'!$B$47)*('Assumptions'!$D$47-'Assumptions'!$C$47)))</x:f>
        <x:v>-0.008242511852797785</x:v>
      </x:c>
      <x:c r="H596" s="132" t="n">
        <x:f>IF(C596&lt;(('Assumptions'!$C$48-'Assumptions'!$B$48)/('Assumptions'!$D$48-'Assumptions'!$B$48)),'Assumptions'!$B$48+SQRT(C596*('Assumptions'!$D$48-'Assumptions'!$B$48)*('Assumptions'!$C$48-'Assumptions'!$B$48)),'Assumptions'!$D$48-SQRT((1-C596)*('Assumptions'!$D$48-'Assumptions'!$B$48)*('Assumptions'!$D$48-'Assumptions'!$C$48)))</x:f>
        <x:v>0.05606536767357169</x:v>
      </x:c>
      <x:c r="I596" s="132" t="n">
        <x:f>IF(D596&lt;(('Assumptions'!$C$49-'Assumptions'!$B$49)/('Assumptions'!$D$49-'Assumptions'!$B$49)),'Assumptions'!$B$49+SQRT(D596*('Assumptions'!$D$49-'Assumptions'!$B$49)*('Assumptions'!$C$49-'Assumptions'!$B$49)),'Assumptions'!$D$49-SQRT((1-D596)*('Assumptions'!$D$49-'Assumptions'!$B$49)*('Assumptions'!$D$49-'Assumptions'!$C$49)))</x:f>
        <x:v>0.049948106312836346</x:v>
      </x:c>
      <x:c r="J596" s="132" t="n">
        <x:f>IF(E596&lt;(('Assumptions'!$C$50-'Assumptions'!$B$50)/('Assumptions'!$D$50-'Assumptions'!$B$50)),'Assumptions'!$B$50+SQRT(E596*('Assumptions'!$D$50-'Assumptions'!$B$50)*('Assumptions'!$C$50-'Assumptions'!$B$50)),'Assumptions'!$D$50-SQRT((1-E596)*('Assumptions'!$D$50-'Assumptions'!$B$50)*('Assumptions'!$D$50-'Assumptions'!$C$50)))</x:f>
        <x:v>0.0677754268209932</x:v>
      </x:c>
      <x:c r="K596" s="132" t="n">
        <x:f>IF(F596&lt;(('Assumptions'!$C$51-'Assumptions'!$B$51)/('Assumptions'!$D$51-'Assumptions'!$B$51)),'Assumptions'!$B$51+SQRT(F596*('Assumptions'!$D$51-'Assumptions'!$B$51)*('Assumptions'!$C$51-'Assumptions'!$B$51)),'Assumptions'!$D$51-SQRT((1-F596)*('Assumptions'!$D$51-'Assumptions'!$B$51)*('Assumptions'!$D$51-'Assumptions'!$C$51)))</x:f>
        <x:v>0.07147072795951934</x:v>
      </x:c>
      <x:c r="L596" s="133" t="n">
        <x:f>(('Assumptions'!$B$17*(1+G596)+'Assumptions'!$B$18)*(1-H596-'Assumptions'!$B$20)-SUM('Assumptions'!$B$21:$B$25)*(1+I596))-(('Assumptions'!$B$17*(1+G596)+'Assumptions'!$B$18)*(1-H596-'Assumptions'!$B$20)*'Assumptions'!$B$26)</x:f>
        <x:v>203952.3204923732</x:v>
      </x:c>
      <x:c r="M596" s="133" t="n">
        <x:f>'Assumptions'!$B$10*'Assumptions'!$B$33</x:f>
        <x:v>1950000</x:v>
      </x:c>
      <x:c r="N596" s="133" t="n">
        <x:f>-PMT(K596/12,'Assumptions'!$B$35*12,M596)*12</x:f>
        <x:v>157998.90551811355</x:v>
      </x:c>
      <x:c r="O596" s="133" t="n">
        <x:f>(L596*(1+'Assumptions'!$B$29)^('Assumptions'!$B$14/12)/J596)*(1-'Assumptions'!$B$42)-'Debt Schedule'!$F$9</x:f>
        <x:v>3279218.585737974</x:v>
      </x:c>
      <x:c r="P596" s="132" t="n">
        <x:f>((O596+(L596-N596-'Assumptions'!$B$27-'Assumptions'!$B$28)*('Assumptions'!$B$14/12))/ABS('Monthly Cash Flow'!$S$5))^(1/('Assumptions'!$B$14/12))-1</x:f>
        <x:v>0.20647566389882654</x:v>
      </x:c>
      <x:c r="Q596" s="133" t="n">
        <x:f>-ABS('Monthly Cash Flow'!$S$5)+((L596-N596-'Assumptions'!$B$27-'Assumptions'!$B$28)*(1-(1+'Assumptions'!$B$43)^-('Assumptions'!$B$14/12))/'Assumptions'!$B$43)+(O596/(1+'Assumptions'!$B$43)^('Assumptions'!$B$14/12))</x:f>
        <x:v>764204.8695738155</x:v>
      </x:c>
    </x:row>
    <x:row r="597">
      <x:c r="A597" s="131" t="n">
        <x:f>590</x:f>
        <x:v>590</x:v>
      </x:c>
      <x:c r="B597" s="131" t="n">
        <x:f>MOD(ABS(SIN((A597+1)*12.9898+78.233)*43758.5453),1)</x:f>
        <x:v>0.2058798157449928</x:v>
      </x:c>
      <x:c r="C597" s="131" t="n">
        <x:f>MOD(ABS(SIN((A597+2)*12.9898+78.233)*43758.5453),1)</x:f>
        <x:v>0.5365564152598381</x:v>
      </x:c>
      <x:c r="D597" s="131" t="n">
        <x:f>MOD(ABS(SIN((A597+3)*12.9898+78.233)*43758.5453),1)</x:f>
        <x:v>0.46865710432393826</x:v>
      </x:c>
      <x:c r="E597" s="131" t="n">
        <x:f>MOD(ABS(SIN((A597+4)*12.9898+78.233)*43758.5453),1)</x:f>
        <x:v>0.6196546453084011</x:v>
      </x:c>
      <x:c r="F597" s="131" t="n">
        <x:f>MOD(ABS(SIN((A597+5)*12.9898+78.233)*43758.5453),1)</x:f>
        <x:v>0.7991404295644315</x:v>
      </x:c>
      <x:c r="G597" s="132" t="n">
        <x:f>IF(B597&lt;(('Assumptions'!$C$47-'Assumptions'!$B$47)/('Assumptions'!$D$47-'Assumptions'!$B$47)),'Assumptions'!$B$47+SQRT(B597*('Assumptions'!$D$47-'Assumptions'!$B$47)*('Assumptions'!$C$47-'Assumptions'!$B$47)),'Assumptions'!$D$47-SQRT((1-B597)*('Assumptions'!$D$47-'Assumptions'!$B$47)*('Assumptions'!$D$47-'Assumptions'!$C$47)))</x:f>
        <x:v>-0.029706930797696512</x:v>
      </x:c>
      <x:c r="H597" s="132" t="n">
        <x:f>IF(C597&lt;(('Assumptions'!$C$48-'Assumptions'!$B$48)/('Assumptions'!$D$48-'Assumptions'!$B$48)),'Assumptions'!$B$48+SQRT(C597*('Assumptions'!$D$48-'Assumptions'!$B$48)*('Assumptions'!$C$48-'Assumptions'!$B$48)),'Assumptions'!$D$48-SQRT((1-C597)*('Assumptions'!$D$48-'Assumptions'!$B$48)*('Assumptions'!$D$48-'Assumptions'!$C$48)))</x:f>
        <x:v>0.0761384032010362</x:v>
      </x:c>
      <x:c r="I597" s="132" t="n">
        <x:f>IF(D597&lt;(('Assumptions'!$C$49-'Assumptions'!$B$49)/('Assumptions'!$D$49-'Assumptions'!$B$49)),'Assumptions'!$B$49+SQRT(D597*('Assumptions'!$D$49-'Assumptions'!$B$49)*('Assumptions'!$C$49-'Assumptions'!$B$49)),'Assumptions'!$D$49-SQRT((1-D597)*('Assumptions'!$D$49-'Assumptions'!$B$49)*('Assumptions'!$D$49-'Assumptions'!$C$49)))</x:f>
        <x:v>0.0428692082237654</x:v>
      </x:c>
      <x:c r="J597" s="132" t="n">
        <x:f>IF(E597&lt;(('Assumptions'!$C$50-'Assumptions'!$B$50)/('Assumptions'!$D$50-'Assumptions'!$B$50)),'Assumptions'!$B$50+SQRT(E597*('Assumptions'!$D$50-'Assumptions'!$B$50)*('Assumptions'!$C$50-'Assumptions'!$B$50)),'Assumptions'!$D$50-SQRT((1-E597)*('Assumptions'!$D$50-'Assumptions'!$B$50)*('Assumptions'!$D$50-'Assumptions'!$C$50)))</x:f>
        <x:v>0.06965726675356015</x:v>
      </x:c>
      <x:c r="K597" s="132" t="n">
        <x:f>IF(F597&lt;(('Assumptions'!$C$51-'Assumptions'!$B$51)/('Assumptions'!$D$51-'Assumptions'!$B$51)),'Assumptions'!$B$51+SQRT(F597*('Assumptions'!$D$51-'Assumptions'!$B$51)*('Assumptions'!$C$51-'Assumptions'!$B$51)),'Assumptions'!$D$51-SQRT((1-F597)*('Assumptions'!$D$51-'Assumptions'!$B$51)*('Assumptions'!$D$51-'Assumptions'!$C$51)))</x:f>
        <x:v>0.0751682316813242</x:v>
      </x:c>
      <x:c r="L597" s="133" t="n">
        <x:f>(('Assumptions'!$B$17*(1+G597)+'Assumptions'!$B$18)*(1-H597-'Assumptions'!$B$20)-SUM('Assumptions'!$B$21:$B$25)*(1+I597))-(('Assumptions'!$B$17*(1+G597)+'Assumptions'!$B$18)*(1-H597-'Assumptions'!$B$20)*'Assumptions'!$B$26)</x:f>
        <x:v>190838.2191871859</x:v>
      </x:c>
      <x:c r="M597" s="133" t="n">
        <x:f>'Assumptions'!$B$10*'Assumptions'!$B$33</x:f>
        <x:v>1950000</x:v>
      </x:c>
      <x:c r="N597" s="133" t="n">
        <x:f>-PMT(K597/12,'Assumptions'!$B$35*12,M597)*12</x:f>
        <x:v>163885.84044999664</x:v>
      </x:c>
      <x:c r="O597" s="133" t="n">
        <x:f>(L597*(1+'Assumptions'!$B$29)^('Assumptions'!$B$14/12)/J597)*(1-'Assumptions'!$B$42)-'Debt Schedule'!$F$9</x:f>
        <x:v>2985471.316749585</x:v>
      </x:c>
      <x:c r="P597" s="132" t="n">
        <x:f>((O597+(L597-N597-'Assumptions'!$B$27-'Assumptions'!$B$28)*('Assumptions'!$B$14/12))/ABS('Monthly Cash Flow'!$S$5))^(1/('Assumptions'!$B$14/12))-1</x:f>
        <x:v>0.17669280027254852</x:v>
      </x:c>
      <x:c r="Q597" s="133" t="n">
        <x:f>-ABS('Monthly Cash Flow'!$S$5)+((L597-N597-'Assumptions'!$B$27-'Assumptions'!$B$28)*(1-(1+'Assumptions'!$B$43)^-('Assumptions'!$B$14/12))/'Assumptions'!$B$43)+(O597/(1+'Assumptions'!$B$43)^('Assumptions'!$B$14/12))</x:f>
        <x:v>509782.04989599437</x:v>
      </x:c>
    </x:row>
    <x:row r="598">
      <x:c r="A598" s="131" t="n">
        <x:f>591</x:f>
        <x:v>591</x:v>
      </x:c>
      <x:c r="B598" s="131" t="n">
        <x:f>MOD(ABS(SIN((A598+1)*12.9898+78.233)*43758.5453),1)</x:f>
        <x:v>0.5365564152598381</x:v>
      </x:c>
      <x:c r="C598" s="131" t="n">
        <x:f>MOD(ABS(SIN((A598+2)*12.9898+78.233)*43758.5453),1)</x:f>
        <x:v>0.46865710432393826</x:v>
      </x:c>
      <x:c r="D598" s="131" t="n">
        <x:f>MOD(ABS(SIN((A598+3)*12.9898+78.233)*43758.5453),1)</x:f>
        <x:v>0.6196546453084011</x:v>
      </x:c>
      <x:c r="E598" s="131" t="n">
        <x:f>MOD(ABS(SIN((A598+4)*12.9898+78.233)*43758.5453),1)</x:f>
        <x:v>0.7991404295644315</x:v>
      </x:c>
      <x:c r="F598" s="131" t="n">
        <x:f>MOD(ABS(SIN((A598+5)*12.9898+78.233)*43758.5453),1)</x:f>
        <x:v>0.979257172330108</x:v>
      </x:c>
      <x:c r="G598" s="132" t="n">
        <x:f>IF(B598&lt;(('Assumptions'!$C$47-'Assumptions'!$B$47)/('Assumptions'!$D$47-'Assumptions'!$B$47)),'Assumptions'!$B$47+SQRT(B598*('Assumptions'!$D$47-'Assumptions'!$B$47)*('Assumptions'!$C$47-'Assumptions'!$B$47)),'Assumptions'!$D$47-SQRT((1-B598)*('Assumptions'!$D$47-'Assumptions'!$B$47)*('Assumptions'!$D$47-'Assumptions'!$C$47)))</x:f>
        <x:v>0.013478429519605692</x:v>
      </x:c>
      <x:c r="H598" s="132" t="n">
        <x:f>IF(C598&lt;(('Assumptions'!$C$48-'Assumptions'!$B$48)/('Assumptions'!$D$48-'Assumptions'!$B$48)),'Assumptions'!$B$48+SQRT(C598*('Assumptions'!$D$48-'Assumptions'!$B$48)*('Assumptions'!$C$48-'Assumptions'!$B$48)),'Assumptions'!$D$48-SQRT((1-C598)*('Assumptions'!$D$48-'Assumptions'!$B$48)*('Assumptions'!$D$48-'Assumptions'!$C$48)))</x:f>
        <x:v>0.07162005058535548</x:v>
      </x:c>
      <x:c r="I598" s="132" t="n">
        <x:f>IF(D598&lt;(('Assumptions'!$C$49-'Assumptions'!$B$49)/('Assumptions'!$D$49-'Assumptions'!$B$49)),'Assumptions'!$B$49+SQRT(D598*('Assumptions'!$D$49-'Assumptions'!$B$49)*('Assumptions'!$C$49-'Assumptions'!$B$49)),'Assumptions'!$D$49-SQRT((1-D598)*('Assumptions'!$D$49-'Assumptions'!$B$49)*('Assumptions'!$D$49-'Assumptions'!$C$49)))</x:f>
        <x:v>0.05936082711466009</x:v>
      </x:c>
      <x:c r="J598" s="132" t="n">
        <x:f>IF(E598&lt;(('Assumptions'!$C$50-'Assumptions'!$B$50)/('Assumptions'!$D$50-'Assumptions'!$B$50)),'Assumptions'!$B$50+SQRT(E598*('Assumptions'!$D$50-'Assumptions'!$B$50)*('Assumptions'!$C$50-'Assumptions'!$B$50)),'Assumptions'!$D$50-SQRT((1-E598)*('Assumptions'!$D$50-'Assumptions'!$B$50)*('Assumptions'!$D$50-'Assumptions'!$C$50)))</x:f>
        <x:v>0.07248390033428218</x:v>
      </x:c>
      <x:c r="K598" s="132" t="n">
        <x:f>IF(F598&lt;(('Assumptions'!$C$51-'Assumptions'!$B$51)/('Assumptions'!$D$51-'Assumptions'!$B$51)),'Assumptions'!$B$51+SQRT(F598*('Assumptions'!$D$51-'Assumptions'!$B$51)*('Assumptions'!$C$51-'Assumptions'!$B$51)),'Assumptions'!$D$51-SQRT((1-F598)*('Assumptions'!$D$51-'Assumptions'!$B$51)*('Assumptions'!$D$51-'Assumptions'!$C$51)))</x:f>
        <x:v>0.08184049278903568</x:v>
      </x:c>
      <x:c r="L598" s="133" t="n">
        <x:f>(('Assumptions'!$B$17*(1+G598)+'Assumptions'!$B$18)*(1-H598-'Assumptions'!$B$20)-SUM('Assumptions'!$B$21:$B$25)*(1+I598))-(('Assumptions'!$B$17*(1+G598)+'Assumptions'!$B$18)*(1-H598-'Assumptions'!$B$20)*'Assumptions'!$B$26)</x:f>
        <x:v>204060.19901883084</x:v>
      </x:c>
      <x:c r="M598" s="133" t="n">
        <x:f>'Assumptions'!$B$10*'Assumptions'!$B$33</x:f>
        <x:v>1950000</x:v>
      </x:c>
      <x:c r="N598" s="133" t="n">
        <x:f>-PMT(K598/12,'Assumptions'!$B$35*12,M598)*12</x:f>
        <x:v>174712.6495728969</x:v>
      </x:c>
      <x:c r="O598" s="133" t="n">
        <x:f>(L598*(1+'Assumptions'!$B$29)^('Assumptions'!$B$14/12)/J598)*(1-'Assumptions'!$B$42)-'Debt Schedule'!$F$9</x:f>
        <x:v>3067826.033013781</x:v>
      </x:c>
      <x:c r="P598" s="132" t="n">
        <x:f>((O598+(L598-N598-'Assumptions'!$B$27-'Assumptions'!$B$28)*('Assumptions'!$B$14/12))/ABS('Monthly Cash Flow'!$S$5))^(1/('Assumptions'!$B$14/12))-1</x:f>
        <x:v>0.18419843940417446</x:v>
      </x:c>
      <x:c r="Q598" s="133" t="n">
        <x:f>-ABS('Monthly Cash Flow'!$S$5)+((L598-N598-'Assumptions'!$B$27-'Assumptions'!$B$28)*(1-(1+'Assumptions'!$B$43)^-('Assumptions'!$B$14/12))/'Assumptions'!$B$43)+(O598/(1+'Assumptions'!$B$43)^('Assumptions'!$B$14/12))</x:f>
        <x:v>569997.4307121045</x:v>
      </x:c>
    </x:row>
    <x:row r="599">
      <x:c r="A599" s="131" t="n">
        <x:f>592</x:f>
        <x:v>592</x:v>
      </x:c>
      <x:c r="B599" s="131" t="n">
        <x:f>MOD(ABS(SIN((A599+1)*12.9898+78.233)*43758.5453),1)</x:f>
        <x:v>0.46865710432393826</x:v>
      </x:c>
      <x:c r="C599" s="131" t="n">
        <x:f>MOD(ABS(SIN((A599+2)*12.9898+78.233)*43758.5453),1)</x:f>
        <x:v>0.6196546453084011</x:v>
      </x:c>
      <x:c r="D599" s="131" t="n">
        <x:f>MOD(ABS(SIN((A599+3)*12.9898+78.233)*43758.5453),1)</x:f>
        <x:v>0.7991404295644315</x:v>
      </x:c>
      <x:c r="E599" s="131" t="n">
        <x:f>MOD(ABS(SIN((A599+4)*12.9898+78.233)*43758.5453),1)</x:f>
        <x:v>0.979257172330108</x:v>
      </x:c>
      <x:c r="F599" s="131" t="n">
        <x:f>MOD(ABS(SIN((A599+5)*12.9898+78.233)*43758.5453),1)</x:f>
        <x:v>0.7013226295457571</x:v>
      </x:c>
      <x:c r="G599" s="132" t="n">
        <x:f>IF(B599&lt;(('Assumptions'!$C$47-'Assumptions'!$B$47)/('Assumptions'!$D$47-'Assumptions'!$B$47)),'Assumptions'!$B$47+SQRT(B599*('Assumptions'!$D$47-'Assumptions'!$B$47)*('Assumptions'!$C$47-'Assumptions'!$B$47)),'Assumptions'!$D$47-SQRT((1-B599)*('Assumptions'!$D$47-'Assumptions'!$B$47)*('Assumptions'!$D$47-'Assumptions'!$C$47)))</x:f>
        <x:v>0.006055506711224179</x:v>
      </x:c>
      <x:c r="H599" s="132" t="n">
        <x:f>IF(C599&lt;(('Assumptions'!$C$48-'Assumptions'!$B$48)/('Assumptions'!$D$48-'Assumptions'!$B$48)),'Assumptions'!$B$48+SQRT(C599*('Assumptions'!$D$48-'Assumptions'!$B$48)*('Assumptions'!$C$48-'Assumptions'!$B$48)),'Assumptions'!$D$48-SQRT((1-C599)*('Assumptions'!$D$48-'Assumptions'!$B$48)*('Assumptions'!$D$48-'Assumptions'!$C$48)))</x:f>
        <x:v>0.08214639923664155</x:v>
      </x:c>
      <x:c r="I599" s="132" t="n">
        <x:f>IF(D599&lt;(('Assumptions'!$C$49-'Assumptions'!$B$49)/('Assumptions'!$D$49-'Assumptions'!$B$49)),'Assumptions'!$B$49+SQRT(D599*('Assumptions'!$D$49-'Assumptions'!$B$49)*('Assumptions'!$C$49-'Assumptions'!$B$49)),'Assumptions'!$D$49-SQRT((1-D599)*('Assumptions'!$D$49-'Assumptions'!$B$49)*('Assumptions'!$D$49-'Assumptions'!$C$49)))</x:f>
        <x:v>0.08413220269806893</x:v>
      </x:c>
      <x:c r="J599" s="132" t="n">
        <x:f>IF(E599&lt;(('Assumptions'!$C$50-'Assumptions'!$B$50)/('Assumptions'!$D$50-'Assumptions'!$B$50)),'Assumptions'!$B$50+SQRT(E599*('Assumptions'!$D$50-'Assumptions'!$B$50)*('Assumptions'!$C$50-'Assumptions'!$B$50)),'Assumptions'!$D$50-SQRT((1-E599)*('Assumptions'!$D$50-'Assumptions'!$B$50)*('Assumptions'!$D$50-'Assumptions'!$C$50)))</x:f>
        <x:v>0.07758464903540767</x:v>
      </x:c>
      <x:c r="K599" s="132" t="n">
        <x:f>IF(F599&lt;(('Assumptions'!$C$51-'Assumptions'!$B$51)/('Assumptions'!$D$51-'Assumptions'!$B$51)),'Assumptions'!$B$51+SQRT(F599*('Assumptions'!$D$51-'Assumptions'!$B$51)*('Assumptions'!$C$51-'Assumptions'!$B$51)),'Assumptions'!$D$51-SQRT((1-F599)*('Assumptions'!$D$51-'Assumptions'!$B$51)*('Assumptions'!$D$51-'Assumptions'!$C$51)))</x:f>
        <x:v>0.07301090142958595</x:v>
      </x:c>
      <x:c r="L599" s="133" t="n">
        <x:f>(('Assumptions'!$B$17*(1+G599)+'Assumptions'!$B$18)*(1-H599-'Assumptions'!$B$20)-SUM('Assumptions'!$B$21:$B$25)*(1+I599))-(('Assumptions'!$B$17*(1+G599)+'Assumptions'!$B$18)*(1-H599-'Assumptions'!$B$20)*'Assumptions'!$B$26)</x:f>
        <x:v>194741.19779561405</x:v>
      </x:c>
      <x:c r="M599" s="133" t="n">
        <x:f>'Assumptions'!$B$10*'Assumptions'!$B$33</x:f>
        <x:v>1950000</x:v>
      </x:c>
      <x:c r="N599" s="133" t="n">
        <x:f>-PMT(K599/12,'Assumptions'!$B$35*12,M599)*12</x:f>
        <x:v>160440.93336435876</x:v>
      </x:c>
      <x:c r="O599" s="133" t="n">
        <x:f>(L599*(1+'Assumptions'!$B$29)^('Assumptions'!$B$14/12)/J599)*(1-'Assumptions'!$B$42)-'Debt Schedule'!$F$9</x:f>
        <x:v>2735243.6227117563</x:v>
      </x:c>
      <x:c r="P599" s="132" t="n">
        <x:f>((O599+(L599-N599-'Assumptions'!$B$27-'Assumptions'!$B$28)*('Assumptions'!$B$14/12))/ABS('Monthly Cash Flow'!$S$5))^(1/('Assumptions'!$B$14/12))-1</x:f>
        <x:v>0.15896162466355124</x:v>
      </x:c>
      <x:c r="Q599" s="133" t="n">
        <x:f>-ABS('Monthly Cash Flow'!$S$5)+((L599-N599-'Assumptions'!$B$27-'Assumptions'!$B$28)*(1-(1+'Assumptions'!$B$43)^-('Assumptions'!$B$14/12))/'Assumptions'!$B$43)+(O599/(1+'Assumptions'!$B$43)^('Assumptions'!$B$14/12))</x:f>
        <x:v>382264.6069201757</x:v>
      </x:c>
    </x:row>
    <x:row r="600">
      <x:c r="A600" s="131" t="n">
        <x:f>593</x:f>
        <x:v>593</x:v>
      </x:c>
      <x:c r="B600" s="131" t="n">
        <x:f>MOD(ABS(SIN((A600+1)*12.9898+78.233)*43758.5453),1)</x:f>
        <x:v>0.6196546453084011</x:v>
      </x:c>
      <x:c r="C600" s="131" t="n">
        <x:f>MOD(ABS(SIN((A600+2)*12.9898+78.233)*43758.5453),1)</x:f>
        <x:v>0.7991404295644315</x:v>
      </x:c>
      <x:c r="D600" s="131" t="n">
        <x:f>MOD(ABS(SIN((A600+3)*12.9898+78.233)*43758.5453),1)</x:f>
        <x:v>0.979257172330108</x:v>
      </x:c>
      <x:c r="E600" s="131" t="n">
        <x:f>MOD(ABS(SIN((A600+4)*12.9898+78.233)*43758.5453),1)</x:f>
        <x:v>0.7013226295457571</x:v>
      </x:c>
      <x:c r="F600" s="131" t="n">
        <x:f>MOD(ABS(SIN((A600+5)*12.9898+78.233)*43758.5453),1)</x:f>
        <x:v>0.8225073170251562</x:v>
      </x:c>
      <x:c r="G600" s="132" t="n">
        <x:f>IF(B600&lt;(('Assumptions'!$C$47-'Assumptions'!$B$47)/('Assumptions'!$D$47-'Assumptions'!$B$47)),'Assumptions'!$B$47+SQRT(B600*('Assumptions'!$D$47-'Assumptions'!$B$47)*('Assumptions'!$C$47-'Assumptions'!$B$47)),'Assumptions'!$D$47-SQRT((1-B600)*('Assumptions'!$D$47-'Assumptions'!$B$47)*('Assumptions'!$D$47-'Assumptions'!$C$47)))</x:f>
        <x:v>0.021990220644680827</x:v>
      </x:c>
      <x:c r="H600" s="132" t="n">
        <x:f>IF(C600&lt;(('Assumptions'!$C$48-'Assumptions'!$B$48)/('Assumptions'!$D$48-'Assumptions'!$B$48)),'Assumptions'!$B$48+SQRT(C600*('Assumptions'!$D$48-'Assumptions'!$B$48)*('Assumptions'!$C$48-'Assumptions'!$B$48)),'Assumptions'!$D$48-SQRT((1-C600)*('Assumptions'!$D$48-'Assumptions'!$B$48)*('Assumptions'!$D$48-'Assumptions'!$C$48)))</x:f>
        <x:v>0.09795759022328761</x:v>
      </x:c>
      <x:c r="I600" s="132" t="n">
        <x:f>IF(D600&lt;(('Assumptions'!$C$49-'Assumptions'!$B$49)/('Assumptions'!$D$49-'Assumptions'!$B$49)),'Assumptions'!$B$49+SQRT(D600*('Assumptions'!$D$49-'Assumptions'!$B$49)*('Assumptions'!$C$49-'Assumptions'!$B$49)),'Assumptions'!$D$49-SQRT((1-D600)*('Assumptions'!$D$49-'Assumptions'!$B$49)*('Assumptions'!$D$49-'Assumptions'!$C$49)))</x:f>
        <x:v>0.12883292467841465</x:v>
      </x:c>
      <x:c r="J600" s="132" t="n">
        <x:f>IF(E600&lt;(('Assumptions'!$C$50-'Assumptions'!$B$50)/('Assumptions'!$D$50-'Assumptions'!$B$50)),'Assumptions'!$B$50+SQRT(E600*('Assumptions'!$D$50-'Assumptions'!$B$50)*('Assumptions'!$C$50-'Assumptions'!$B$50)),'Assumptions'!$D$50-SQRT((1-E600)*('Assumptions'!$D$50-'Assumptions'!$B$50)*('Assumptions'!$D$50-'Assumptions'!$C$50)))</x:f>
        <x:v>0.07083468437857944</x:v>
      </x:c>
      <x:c r="K600" s="132" t="n">
        <x:f>IF(F600&lt;(('Assumptions'!$C$51-'Assumptions'!$B$51)/('Assumptions'!$D$51-'Assumptions'!$B$51)),'Assumptions'!$B$51+SQRT(F600*('Assumptions'!$D$51-'Assumptions'!$B$51)*('Assumptions'!$C$51-'Assumptions'!$B$51)),'Assumptions'!$D$51-SQRT((1-F600)*('Assumptions'!$D$51-'Assumptions'!$B$51)*('Assumptions'!$D$51-'Assumptions'!$C$51)))</x:f>
        <x:v>0.07575779497729879</x:v>
      </x:c>
      <x:c r="L600" s="133" t="n">
        <x:f>(('Assumptions'!$B$17*(1+G600)+'Assumptions'!$B$18)*(1-H600-'Assumptions'!$B$20)-SUM('Assumptions'!$B$21:$B$25)*(1+I600))-(('Assumptions'!$B$17*(1+G600)+'Assumptions'!$B$18)*(1-H600-'Assumptions'!$B$20)*'Assumptions'!$B$26)</x:f>
        <x:v>188250.76312425634</x:v>
      </x:c>
      <x:c r="M600" s="133" t="n">
        <x:f>'Assumptions'!$B$10*'Assumptions'!$B$33</x:f>
        <x:v>1950000</x:v>
      </x:c>
      <x:c r="N600" s="133" t="n">
        <x:f>-PMT(K600/12,'Assumptions'!$B$35*12,M600)*12</x:f>
        <x:v>164832.13445040706</x:v>
      </x:c>
      <x:c r="O600" s="133" t="n">
        <x:f>(L600*(1+'Assumptions'!$B$29)^('Assumptions'!$B$14/12)/J600)*(1-'Assumptions'!$B$42)-'Debt Schedule'!$F$9</x:f>
        <x:v>2896041.356114904</x:v>
      </x:c>
      <x:c r="P600" s="132" t="n">
        <x:f>((O600+(L600-N600-'Assumptions'!$B$27-'Assumptions'!$B$28)*('Assumptions'!$B$14/12))/ABS('Monthly Cash Flow'!$S$5))^(1/('Assumptions'!$B$14/12))-1</x:f>
        <x:v>0.16793235132056306</x:v>
      </x:c>
      <x:c r="Q600" s="133" t="n">
        <x:f>-ABS('Monthly Cash Flow'!$S$5)+((L600-N600-'Assumptions'!$B$27-'Assumptions'!$B$28)*(1-(1+'Assumptions'!$B$43)^-('Assumptions'!$B$14/12))/'Assumptions'!$B$43)+(O600/(1+'Assumptions'!$B$43)^('Assumptions'!$B$14/12))</x:f>
        <x:v>440857.38743107463</x:v>
      </x:c>
    </x:row>
    <x:row r="601">
      <x:c r="A601" s="131" t="n">
        <x:f>594</x:f>
        <x:v>594</x:v>
      </x:c>
      <x:c r="B601" s="131" t="n">
        <x:f>MOD(ABS(SIN((A601+1)*12.9898+78.233)*43758.5453),1)</x:f>
        <x:v>0.7991404295644315</x:v>
      </x:c>
      <x:c r="C601" s="131" t="n">
        <x:f>MOD(ABS(SIN((A601+2)*12.9898+78.233)*43758.5453),1)</x:f>
        <x:v>0.979257172330108</x:v>
      </x:c>
      <x:c r="D601" s="131" t="n">
        <x:f>MOD(ABS(SIN((A601+3)*12.9898+78.233)*43758.5453),1)</x:f>
        <x:v>0.7013226295457571</x:v>
      </x:c>
      <x:c r="E601" s="131" t="n">
        <x:f>MOD(ABS(SIN((A601+4)*12.9898+78.233)*43758.5453),1)</x:f>
        <x:v>0.8225073170251562</x:v>
      </x:c>
      <x:c r="F601" s="131" t="n">
        <x:f>MOD(ABS(SIN((A601+5)*12.9898+78.233)*43758.5453),1)</x:f>
        <x:v>0.017525482035125606</x:v>
      </x:c>
      <x:c r="G601" s="132" t="n">
        <x:f>IF(B601&lt;(('Assumptions'!$C$47-'Assumptions'!$B$47)/('Assumptions'!$D$47-'Assumptions'!$B$47)),'Assumptions'!$B$47+SQRT(B601*('Assumptions'!$D$47-'Assumptions'!$B$47)*('Assumptions'!$C$47-'Assumptions'!$B$47)),'Assumptions'!$D$47-SQRT((1-B601)*('Assumptions'!$D$47-'Assumptions'!$B$47)*('Assumptions'!$D$47-'Assumptions'!$C$47)))</x:f>
        <x:v>0.043310026221834476</x:v>
      </x:c>
      <x:c r="H601" s="132" t="n">
        <x:f>IF(C601&lt;(('Assumptions'!$C$48-'Assumptions'!$B$48)/('Assumptions'!$D$48-'Assumptions'!$B$48)),'Assumptions'!$B$48+SQRT(C601*('Assumptions'!$D$48-'Assumptions'!$B$48)*('Assumptions'!$C$48-'Assumptions'!$B$48)),'Assumptions'!$D$48-SQRT((1-C601)*('Assumptions'!$D$48-'Assumptions'!$B$48)*('Assumptions'!$D$48-'Assumptions'!$C$48)))</x:f>
        <x:v>0.12648937886346268</x:v>
      </x:c>
      <x:c r="I601" s="132" t="n">
        <x:f>IF(D601&lt;(('Assumptions'!$C$49-'Assumptions'!$B$49)/('Assumptions'!$D$49-'Assumptions'!$B$49)),'Assumptions'!$B$49+SQRT(D601*('Assumptions'!$D$49-'Assumptions'!$B$49)*('Assumptions'!$C$49-'Assumptions'!$B$49)),'Assumptions'!$D$49-SQRT((1-D601)*('Assumptions'!$D$49-'Assumptions'!$B$49)*('Assumptions'!$D$49-'Assumptions'!$C$49)))</x:f>
        <x:v>0.06967919819989564</x:v>
      </x:c>
      <x:c r="J601" s="132" t="n">
        <x:f>IF(E601&lt;(('Assumptions'!$C$50-'Assumptions'!$B$50)/('Assumptions'!$D$50-'Assumptions'!$B$50)),'Assumptions'!$B$50+SQRT(E601*('Assumptions'!$D$50-'Assumptions'!$B$50)*('Assumptions'!$C$50-'Assumptions'!$B$50)),'Assumptions'!$D$50-SQRT((1-E601)*('Assumptions'!$D$50-'Assumptions'!$B$50)*('Assumptions'!$D$50-'Assumptions'!$C$50)))</x:f>
        <x:v>0.07293460425123442</x:v>
      </x:c>
      <x:c r="K601" s="132" t="n">
        <x:f>IF(F601&lt;(('Assumptions'!$C$51-'Assumptions'!$B$51)/('Assumptions'!$D$51-'Assumptions'!$B$51)),'Assumptions'!$B$51+SQRT(F601*('Assumptions'!$D$51-'Assumptions'!$B$51)*('Assumptions'!$C$51-'Assumptions'!$B$51)),'Assumptions'!$D$51-SQRT((1-F601)*('Assumptions'!$D$51-'Assumptions'!$B$51)*('Assumptions'!$D$51-'Assumptions'!$C$51)))</x:f>
        <x:v>0.059695337686931</x:v>
      </x:c>
      <x:c r="L601" s="133" t="n">
        <x:f>(('Assumptions'!$B$17*(1+G601)+'Assumptions'!$B$18)*(1-H601-'Assumptions'!$B$20)-SUM('Assumptions'!$B$21:$B$25)*(1+I601))-(('Assumptions'!$B$17*(1+G601)+'Assumptions'!$B$18)*(1-H601-'Assumptions'!$B$20)*'Assumptions'!$B$26)</x:f>
        <x:v>191496.13476269468</x:v>
      </x:c>
      <x:c r="M601" s="133" t="n">
        <x:f>'Assumptions'!$B$10*'Assumptions'!$B$33</x:f>
        <x:v>1950000</x:v>
      </x:c>
      <x:c r="N601" s="133" t="n">
        <x:f>-PMT(K601/12,'Assumptions'!$B$35*12,M601)*12</x:f>
        <x:v>139836.80830069518</x:v>
      </x:c>
      <x:c r="O601" s="133" t="n">
        <x:f>(L601*(1+'Assumptions'!$B$29)^('Assumptions'!$B$14/12)/J601)*(1-'Assumptions'!$B$42)-'Debt Schedule'!$F$9</x:f>
        <x:v>2861148.233267832</x:v>
      </x:c>
      <x:c r="P601" s="132" t="n">
        <x:f>((O601+(L601-N601-'Assumptions'!$B$27-'Assumptions'!$B$28)*('Assumptions'!$B$14/12))/ABS('Monthly Cash Flow'!$S$5))^(1/('Assumptions'!$B$14/12))-1</x:f>
        <x:v>0.17662926151809666</x:v>
      </x:c>
      <x:c r="Q601" s="133" t="n">
        <x:f>-ABS('Monthly Cash Flow'!$S$5)+((L601-N601-'Assumptions'!$B$27-'Assumptions'!$B$28)*(1-(1+'Assumptions'!$B$43)^-('Assumptions'!$B$14/12))/'Assumptions'!$B$43)+(O601/(1+'Assumptions'!$B$43)^('Assumptions'!$B$14/12))</x:f>
        <x:v>526245.9669613875</x:v>
      </x:c>
    </x:row>
    <x:row r="602">
      <x:c r="A602" s="131" t="n">
        <x:f>595</x:f>
        <x:v>595</x:v>
      </x:c>
      <x:c r="B602" s="131" t="n">
        <x:f>MOD(ABS(SIN((A602+1)*12.9898+78.233)*43758.5453),1)</x:f>
        <x:v>0.979257172330108</x:v>
      </x:c>
      <x:c r="C602" s="131" t="n">
        <x:f>MOD(ABS(SIN((A602+2)*12.9898+78.233)*43758.5453),1)</x:f>
        <x:v>0.7013226295457571</x:v>
      </x:c>
      <x:c r="D602" s="131" t="n">
        <x:f>MOD(ABS(SIN((A602+3)*12.9898+78.233)*43758.5453),1)</x:f>
        <x:v>0.8225073170251562</x:v>
      </x:c>
      <x:c r="E602" s="131" t="n">
        <x:f>MOD(ABS(SIN((A602+4)*12.9898+78.233)*43758.5453),1)</x:f>
        <x:v>0.017525482035125606</x:v>
      </x:c>
      <x:c r="F602" s="131" t="n">
        <x:f>MOD(ABS(SIN((A602+5)*12.9898+78.233)*43758.5453),1)</x:f>
        <x:v>0.11813683898071758</x:v>
      </x:c>
      <x:c r="G602" s="132" t="n">
        <x:f>IF(B602&lt;(('Assumptions'!$C$47-'Assumptions'!$B$47)/('Assumptions'!$D$47-'Assumptions'!$B$47)),'Assumptions'!$B$47+SQRT(B602*('Assumptions'!$D$47-'Assumptions'!$B$47)*('Assumptions'!$C$47-'Assumptions'!$B$47)),'Assumptions'!$D$47-SQRT((1-B602)*('Assumptions'!$D$47-'Assumptions'!$B$47)*('Assumptions'!$D$47-'Assumptions'!$C$47)))</x:f>
        <x:v>0.0817822821759071</x:v>
      </x:c>
      <x:c r="H602" s="132" t="n">
        <x:f>IF(C602&lt;(('Assumptions'!$C$48-'Assumptions'!$B$48)/('Assumptions'!$D$48-'Assumptions'!$B$48)),'Assumptions'!$B$48+SQRT(C602*('Assumptions'!$D$48-'Assumptions'!$B$48)*('Assumptions'!$C$48-'Assumptions'!$B$48)),'Assumptions'!$D$48-SQRT((1-C602)*('Assumptions'!$D$48-'Assumptions'!$B$48)*('Assumptions'!$D$48-'Assumptions'!$C$48)))</x:f>
        <x:v>0.08873245802657068</x:v>
      </x:c>
      <x:c r="I602" s="132" t="n">
        <x:f>IF(D602&lt;(('Assumptions'!$C$49-'Assumptions'!$B$49)/('Assumptions'!$D$49-'Assumptions'!$B$49)),'Assumptions'!$B$49+SQRT(D602*('Assumptions'!$D$49-'Assumptions'!$B$49)*('Assumptions'!$C$49-'Assumptions'!$B$49)),'Assumptions'!$D$49-SQRT((1-D602)*('Assumptions'!$D$49-'Assumptions'!$B$49)*('Assumptions'!$D$49-'Assumptions'!$C$49)))</x:f>
        <x:v>0.08808197393119976</x:v>
      </x:c>
      <x:c r="J602" s="132" t="n">
        <x:f>IF(E602&lt;(('Assumptions'!$C$50-'Assumptions'!$B$50)/('Assumptions'!$D$50-'Assumptions'!$B$50)),'Assumptions'!$B$50+SQRT(E602*('Assumptions'!$D$50-'Assumptions'!$B$50)*('Assumptions'!$C$50-'Assumptions'!$B$50)),'Assumptions'!$D$50-SQRT((1-E602)*('Assumptions'!$D$50-'Assumptions'!$B$50)*('Assumptions'!$D$50-'Assumptions'!$C$50)))</x:f>
        <x:v>0.05948575765336641</x:v>
      </x:c>
      <x:c r="K602" s="132" t="n">
        <x:f>IF(F602&lt;(('Assumptions'!$C$51-'Assumptions'!$B$51)/('Assumptions'!$D$51-'Assumptions'!$B$51)),'Assumptions'!$B$51+SQRT(F602*('Assumptions'!$D$51-'Assumptions'!$B$51)*('Assumptions'!$C$51-'Assumptions'!$B$51)),'Assumptions'!$D$51-SQRT((1-F602)*('Assumptions'!$D$51-'Assumptions'!$B$51)*('Assumptions'!$D$51-'Assumptions'!$C$51)))</x:f>
        <x:v>0.06319979216460542</x:v>
      </x:c>
      <x:c r="L602" s="133" t="n">
        <x:f>(('Assumptions'!$B$17*(1+G602)+'Assumptions'!$B$18)*(1-H602-'Assumptions'!$B$20)-SUM('Assumptions'!$B$21:$B$25)*(1+I602))-(('Assumptions'!$B$17*(1+G602)+'Assumptions'!$B$18)*(1-H602-'Assumptions'!$B$20)*'Assumptions'!$B$26)</x:f>
        <x:v>215427.02371545872</x:v>
      </x:c>
      <x:c r="M602" s="133" t="n">
        <x:f>'Assumptions'!$B$10*'Assumptions'!$B$33</x:f>
        <x:v>1950000</x:v>
      </x:c>
      <x:c r="N602" s="133" t="n">
        <x:f>-PMT(K602/12,'Assumptions'!$B$35*12,M602)*12</x:f>
        <x:v>145144.51913995933</x:v>
      </x:c>
      <x:c r="O602" s="133" t="n">
        <x:f>(L602*(1+'Assumptions'!$B$29)^('Assumptions'!$B$14/12)/J602)*(1-'Assumptions'!$B$42)-'Debt Schedule'!$F$9</x:f>
        <x:v>3946400.532629692</x:v>
      </x:c>
      <x:c r="P602" s="132" t="n">
        <x:f>((O602+(L602-N602-'Assumptions'!$B$27-'Assumptions'!$B$28)*('Assumptions'!$B$14/12))/ABS('Monthly Cash Flow'!$S$5))^(1/('Assumptions'!$B$14/12))-1</x:f>
        <x:v>0.2591863797331293</x:v>
      </x:c>
      <x:c r="Q602" s="133" t="n">
        <x:f>-ABS('Monthly Cash Flow'!$S$5)+((L602-N602-'Assumptions'!$B$27-'Assumptions'!$B$28)*(1-(1+'Assumptions'!$B$43)^-('Assumptions'!$B$14/12))/'Assumptions'!$B$43)+(O602/(1+'Assumptions'!$B$43)^('Assumptions'!$B$14/12))</x:f>
        <x:v>1270698.7577311362</x:v>
      </x:c>
    </x:row>
    <x:row r="603">
      <x:c r="A603" s="131" t="n">
        <x:f>596</x:f>
        <x:v>596</x:v>
      </x:c>
      <x:c r="B603" s="131" t="n">
        <x:f>MOD(ABS(SIN((A603+1)*12.9898+78.233)*43758.5453),1)</x:f>
        <x:v>0.7013226295457571</x:v>
      </x:c>
      <x:c r="C603" s="131" t="n">
        <x:f>MOD(ABS(SIN((A603+2)*12.9898+78.233)*43758.5453),1)</x:f>
        <x:v>0.8225073170251562</x:v>
      </x:c>
      <x:c r="D603" s="131" t="n">
        <x:f>MOD(ABS(SIN((A603+3)*12.9898+78.233)*43758.5453),1)</x:f>
        <x:v>0.017525482035125606</x:v>
      </x:c>
      <x:c r="E603" s="131" t="n">
        <x:f>MOD(ABS(SIN((A603+4)*12.9898+78.233)*43758.5453),1)</x:f>
        <x:v>0.11813683898071758</x:v>
      </x:c>
      <x:c r="F603" s="131" t="n">
        <x:f>MOD(ABS(SIN((A603+5)*12.9898+78.233)*43758.5453),1)</x:f>
        <x:v>0.3255213731117692</x:v>
      </x:c>
      <x:c r="G603" s="132" t="n">
        <x:f>IF(B603&lt;(('Assumptions'!$C$47-'Assumptions'!$B$47)/('Assumptions'!$D$47-'Assumptions'!$B$47)),'Assumptions'!$B$47+SQRT(B603*('Assumptions'!$D$47-'Assumptions'!$B$47)*('Assumptions'!$C$47-'Assumptions'!$B$47)),'Assumptions'!$D$47-SQRT((1-B603)*('Assumptions'!$D$47-'Assumptions'!$B$47)*('Assumptions'!$D$47-'Assumptions'!$C$47)))</x:f>
        <x:v>0.030870860505370912</x:v>
      </x:c>
      <x:c r="H603" s="132" t="n">
        <x:f>IF(C603&lt;(('Assumptions'!$C$48-'Assumptions'!$B$48)/('Assumptions'!$D$48-'Assumptions'!$B$48)),'Assumptions'!$B$48+SQRT(C603*('Assumptions'!$D$48-'Assumptions'!$B$48)*('Assumptions'!$C$48-'Assumptions'!$B$48)),'Assumptions'!$D$48-SQRT((1-C603)*('Assumptions'!$D$48-'Assumptions'!$B$48)*('Assumptions'!$D$48-'Assumptions'!$C$48)))</x:f>
        <x:v>0.10047866892197804</x:v>
      </x:c>
      <x:c r="I603" s="132" t="n">
        <x:f>IF(D603&lt;(('Assumptions'!$C$49-'Assumptions'!$B$49)/('Assumptions'!$D$49-'Assumptions'!$B$49)),'Assumptions'!$B$49+SQRT(D603*('Assumptions'!$D$49-'Assumptions'!$B$49)*('Assumptions'!$C$49-'Assumptions'!$B$49)),'Assumptions'!$D$49-SQRT((1-D603)*('Assumptions'!$D$49-'Assumptions'!$B$49)*('Assumptions'!$D$49-'Assumptions'!$C$49)))</x:f>
        <x:v>-0.01624226741140254</x:v>
      </x:c>
      <x:c r="J603" s="132" t="n">
        <x:f>IF(E603&lt;(('Assumptions'!$C$50-'Assumptions'!$B$50)/('Assumptions'!$D$50-'Assumptions'!$B$50)),'Assumptions'!$B$50+SQRT(E603*('Assumptions'!$D$50-'Assumptions'!$B$50)*('Assumptions'!$C$50-'Assumptions'!$B$50)),'Assumptions'!$D$50-SQRT((1-E603)*('Assumptions'!$D$50-'Assumptions'!$B$50)*('Assumptions'!$D$50-'Assumptions'!$C$50)))</x:f>
        <x:v>0.06265565599809195</x:v>
      </x:c>
      <x:c r="K603" s="132" t="n">
        <x:f>IF(F603&lt;(('Assumptions'!$C$51-'Assumptions'!$B$51)/('Assumptions'!$D$51-'Assumptions'!$B$51)),'Assumptions'!$B$51+SQRT(F603*('Assumptions'!$D$51-'Assumptions'!$B$51)*('Assumptions'!$C$51-'Assumptions'!$B$51)),'Assumptions'!$D$51-SQRT((1-F603)*('Assumptions'!$D$51-'Assumptions'!$B$51)*('Assumptions'!$D$51-'Assumptions'!$C$51)))</x:f>
        <x:v>0.0669614152010012</x:v>
      </x:c>
      <x:c r="L603" s="133" t="n">
        <x:f>(('Assumptions'!$B$17*(1+G603)+'Assumptions'!$B$18)*(1-H603-'Assumptions'!$B$20)-SUM('Assumptions'!$B$21:$B$25)*(1+I603))-(('Assumptions'!$B$17*(1+G603)+'Assumptions'!$B$18)*(1-H603-'Assumptions'!$B$20)*'Assumptions'!$B$26)</x:f>
        <x:v>208326.30216903644</x:v>
      </x:c>
      <x:c r="M603" s="133" t="n">
        <x:f>'Assumptions'!$B$10*'Assumptions'!$B$33</x:f>
        <x:v>1950000</x:v>
      </x:c>
      <x:c r="N603" s="133" t="n">
        <x:f>-PMT(K603/12,'Assumptions'!$B$35*12,M603)*12</x:f>
        <x:v>150935.16128678652</x:v>
      </x:c>
      <x:c r="O603" s="133" t="n">
        <x:f>(L603*(1+'Assumptions'!$B$29)^('Assumptions'!$B$14/12)/J603)*(1-'Assumptions'!$B$42)-'Debt Schedule'!$F$9</x:f>
        <x:v>3623245.8286017156</x:v>
      </x:c>
      <x:c r="P603" s="132" t="n">
        <x:f>((O603+(L603-N603-'Assumptions'!$B$27-'Assumptions'!$B$28)*('Assumptions'!$B$14/12))/ABS('Monthly Cash Flow'!$S$5))^(1/('Assumptions'!$B$14/12))-1</x:f>
        <x:v>0.2344090274883912</x:v>
      </x:c>
      <x:c r="Q603" s="133" t="n">
        <x:f>-ABS('Monthly Cash Flow'!$S$5)+((L603-N603-'Assumptions'!$B$27-'Assumptions'!$B$28)*(1-(1+'Assumptions'!$B$43)^-('Assumptions'!$B$14/12))/'Assumptions'!$B$43)+(O603/(1+'Assumptions'!$B$43)^('Assumptions'!$B$14/12))</x:f>
        <x:v>1021176.7004252931</x:v>
      </x:c>
    </x:row>
    <x:row r="604">
      <x:c r="A604" s="131" t="n">
        <x:f>597</x:f>
        <x:v>597</x:v>
      </x:c>
      <x:c r="B604" s="131" t="n">
        <x:f>MOD(ABS(SIN((A604+1)*12.9898+78.233)*43758.5453),1)</x:f>
        <x:v>0.8225073170251562</x:v>
      </x:c>
      <x:c r="C604" s="131" t="n">
        <x:f>MOD(ABS(SIN((A604+2)*12.9898+78.233)*43758.5453),1)</x:f>
        <x:v>0.017525482035125606</x:v>
      </x:c>
      <x:c r="D604" s="131" t="n">
        <x:f>MOD(ABS(SIN((A604+3)*12.9898+78.233)*43758.5453),1)</x:f>
        <x:v>0.11813683898071758</x:v>
      </x:c>
      <x:c r="E604" s="131" t="n">
        <x:f>MOD(ABS(SIN((A604+4)*12.9898+78.233)*43758.5453),1)</x:f>
        <x:v>0.3255213731117692</x:v>
      </x:c>
      <x:c r="F604" s="131" t="n">
        <x:f>MOD(ABS(SIN((A604+5)*12.9898+78.233)*43758.5453),1)</x:f>
        <x:v>0.8399149880979166</x:v>
      </x:c>
      <x:c r="G604" s="132" t="n">
        <x:f>IF(B604&lt;(('Assumptions'!$C$47-'Assumptions'!$B$47)/('Assumptions'!$D$47-'Assumptions'!$B$47)),'Assumptions'!$B$47+SQRT(B604*('Assumptions'!$D$47-'Assumptions'!$B$47)*('Assumptions'!$C$47-'Assumptions'!$B$47)),'Assumptions'!$D$47-SQRT((1-B604)*('Assumptions'!$D$47-'Assumptions'!$B$47)*('Assumptions'!$D$47-'Assumptions'!$C$47)))</x:f>
        <x:v>0.046709448045666666</x:v>
      </x:c>
      <x:c r="H604" s="132" t="n">
        <x:f>IF(C604&lt;(('Assumptions'!$C$48-'Assumptions'!$B$48)/('Assumptions'!$D$48-'Assumptions'!$B$48)),'Assumptions'!$B$48+SQRT(C604*('Assumptions'!$D$48-'Assumptions'!$B$48)*('Assumptions'!$C$48-'Assumptions'!$B$48)),'Assumptions'!$D$48-SQRT((1-C604)*('Assumptions'!$D$48-'Assumptions'!$B$48)*('Assumptions'!$D$48-'Assumptions'!$C$48)))</x:f>
        <x:v>0.03760487282707045</x:v>
      </x:c>
      <x:c r="I604" s="132" t="n">
        <x:f>IF(D604&lt;(('Assumptions'!$C$49-'Assumptions'!$B$49)/('Assumptions'!$D$49-'Assumptions'!$B$49)),'Assumptions'!$B$49+SQRT(D604*('Assumptions'!$D$49-'Assumptions'!$B$49)*('Assumptions'!$C$49-'Assumptions'!$B$49)),'Assumptions'!$D$49-SQRT((1-D604)*('Assumptions'!$D$49-'Assumptions'!$B$49)*('Assumptions'!$D$49-'Assumptions'!$C$49)))</x:f>
        <x:v>0.005719432540169919</x:v>
      </x:c>
      <x:c r="J604" s="132" t="n">
        <x:f>IF(E604&lt;(('Assumptions'!$C$50-'Assumptions'!$B$50)/('Assumptions'!$D$50-'Assumptions'!$B$50)),'Assumptions'!$B$50+SQRT(E604*('Assumptions'!$D$50-'Assumptions'!$B$50)*('Assumptions'!$C$50-'Assumptions'!$B$50)),'Assumptions'!$D$50-SQRT((1-E604)*('Assumptions'!$D$50-'Assumptions'!$B$50)*('Assumptions'!$D$50-'Assumptions'!$C$50)))</x:f>
        <x:v>0.0660581720565871</x:v>
      </x:c>
      <x:c r="K604" s="132" t="n">
        <x:f>IF(F604&lt;(('Assumptions'!$C$51-'Assumptions'!$B$51)/('Assumptions'!$D$51-'Assumptions'!$B$51)),'Assumptions'!$B$51+SQRT(F604*('Assumptions'!$D$51-'Assumptions'!$B$51)*('Assumptions'!$C$51-'Assumptions'!$B$51)),'Assumptions'!$D$51-SQRT((1-F604)*('Assumptions'!$D$51-'Assumptions'!$B$51)*('Assumptions'!$D$51-'Assumptions'!$C$51)))</x:f>
        <x:v>0.07622270474588683</x:v>
      </x:c>
      <x:c r="L604" s="133" t="n">
        <x:f>(('Assumptions'!$B$17*(1+G604)+'Assumptions'!$B$18)*(1-H604-'Assumptions'!$B$20)-SUM('Assumptions'!$B$21:$B$25)*(1+I604))-(('Assumptions'!$B$17*(1+G604)+'Assumptions'!$B$18)*(1-H604-'Assumptions'!$B$20)*'Assumptions'!$B$26)</x:f>
        <x:v>234258.80525439055</x:v>
      </x:c>
      <x:c r="M604" s="133" t="n">
        <x:f>'Assumptions'!$B$10*'Assumptions'!$B$33</x:f>
        <x:v>1950000</x:v>
      </x:c>
      <x:c r="N604" s="133" t="n">
        <x:f>-PMT(K604/12,'Assumptions'!$B$35*12,M604)*12</x:f>
        <x:v>165579.80092005432</x:v>
      </x:c>
      <x:c r="O604" s="133" t="n">
        <x:f>(L604*(1+'Assumptions'!$B$29)^('Assumptions'!$B$14/12)/J604)*(1-'Assumptions'!$B$42)-'Debt Schedule'!$F$9</x:f>
        <x:v>3864411.352659854</x:v>
      </x:c>
      <x:c r="P604" s="132" t="n">
        <x:f>((O604+(L604-N604-'Assumptions'!$B$27-'Assumptions'!$B$28)*('Assumptions'!$B$14/12))/ABS('Monthly Cash Flow'!$S$5))^(1/('Assumptions'!$B$14/12))-1</x:f>
        <x:v>0.25360563427029015</x:v>
      </x:c>
      <x:c r="Q604" s="133" t="n">
        <x:f>-ABS('Monthly Cash Flow'!$S$5)+((L604-N604-'Assumptions'!$B$27-'Assumptions'!$B$28)*(1-(1+'Assumptions'!$B$43)^-('Assumptions'!$B$14/12))/'Assumptions'!$B$43)+(O604/(1+'Assumptions'!$B$43)^('Assumptions'!$B$14/12))</x:f>
        <x:v>1213711.4001287848</x:v>
      </x:c>
    </x:row>
    <x:row r="605">
      <x:c r="A605" s="131" t="n">
        <x:f>598</x:f>
        <x:v>598</x:v>
      </x:c>
      <x:c r="B605" s="131" t="n">
        <x:f>MOD(ABS(SIN((A605+1)*12.9898+78.233)*43758.5453),1)</x:f>
        <x:v>0.017525482035125606</x:v>
      </x:c>
      <x:c r="C605" s="131" t="n">
        <x:f>MOD(ABS(SIN((A605+2)*12.9898+78.233)*43758.5453),1)</x:f>
        <x:v>0.11813683898071758</x:v>
      </x:c>
      <x:c r="D605" s="131" t="n">
        <x:f>MOD(ABS(SIN((A605+3)*12.9898+78.233)*43758.5453),1)</x:f>
        <x:v>0.3255213731117692</x:v>
      </x:c>
      <x:c r="E605" s="131" t="n">
        <x:f>MOD(ABS(SIN((A605+4)*12.9898+78.233)*43758.5453),1)</x:f>
        <x:v>0.8399149880979166</x:v>
      </x:c>
      <x:c r="F605" s="131" t="n">
        <x:f>MOD(ABS(SIN((A605+5)*12.9898+78.233)*43758.5453),1)</x:f>
        <x:v>0.25848976787528954</x:v>
      </x:c>
      <x:c r="G605" s="132" t="n">
        <x:f>IF(B605&lt;(('Assumptions'!$C$47-'Assumptions'!$B$47)/('Assumptions'!$D$47-'Assumptions'!$B$47)),'Assumptions'!$B$47+SQRT(B605*('Assumptions'!$D$47-'Assumptions'!$B$47)*('Assumptions'!$C$47-'Assumptions'!$B$47)),'Assumptions'!$D$47-SQRT((1-B605)*('Assumptions'!$D$47-'Assumptions'!$B$47)*('Assumptions'!$D$47-'Assumptions'!$C$47)))</x:f>
        <x:v>-0.07949118314375463</x:v>
      </x:c>
      <x:c r="H605" s="132" t="n">
        <x:f>IF(C605&lt;(('Assumptions'!$C$48-'Assumptions'!$B$48)/('Assumptions'!$D$48-'Assumptions'!$B$48)),'Assumptions'!$B$48+SQRT(C605*('Assumptions'!$D$48-'Assumptions'!$B$48)*('Assumptions'!$C$48-'Assumptions'!$B$48)),'Assumptions'!$D$48-SQRT((1-C605)*('Assumptions'!$D$48-'Assumptions'!$B$48)*('Assumptions'!$D$48-'Assumptions'!$C$48)))</x:f>
        <x:v>0.04974465924335915</x:v>
      </x:c>
      <x:c r="I605" s="132" t="n">
        <x:f>IF(D605&lt;(('Assumptions'!$C$49-'Assumptions'!$B$49)/('Assumptions'!$D$49-'Assumptions'!$B$49)),'Assumptions'!$B$49+SQRT(D605*('Assumptions'!$D$49-'Assumptions'!$B$49)*('Assumptions'!$C$49-'Assumptions'!$B$49)),'Assumptions'!$D$49-SQRT((1-D605)*('Assumptions'!$D$49-'Assumptions'!$B$49)*('Assumptions'!$D$49-'Assumptions'!$C$49)))</x:f>
        <x:v>0.029292755287700263</x:v>
      </x:c>
      <x:c r="J605" s="132" t="n">
        <x:f>IF(E605&lt;(('Assumptions'!$C$50-'Assumptions'!$B$50)/('Assumptions'!$D$50-'Assumptions'!$B$50)),'Assumptions'!$B$50+SQRT(E605*('Assumptions'!$D$50-'Assumptions'!$B$50)*('Assumptions'!$C$50-'Assumptions'!$B$50)),'Assumptions'!$D$50-SQRT((1-E605)*('Assumptions'!$D$50-'Assumptions'!$B$50)*('Assumptions'!$D$50-'Assumptions'!$C$50)))</x:f>
        <x:v>0.07329001418798364</x:v>
      </x:c>
      <x:c r="K605" s="132" t="n">
        <x:f>IF(F605&lt;(('Assumptions'!$C$51-'Assumptions'!$B$51)/('Assumptions'!$D$51-'Assumptions'!$B$51)),'Assumptions'!$B$51+SQRT(F605*('Assumptions'!$D$51-'Assumptions'!$B$51)*('Assumptions'!$C$51-'Assumptions'!$B$51)),'Assumptions'!$D$51-SQRT((1-F605)*('Assumptions'!$D$51-'Assumptions'!$B$51)*('Assumptions'!$D$51-'Assumptions'!$C$51)))</x:f>
        <x:v>0.06593117347500956</x:v>
      </x:c>
      <x:c r="L605" s="133" t="n">
        <x:f>(('Assumptions'!$B$17*(1+G605)+'Assumptions'!$B$18)*(1-H605-'Assumptions'!$B$20)-SUM('Assumptions'!$B$21:$B$25)*(1+I605))-(('Assumptions'!$B$17*(1+G605)+'Assumptions'!$B$18)*(1-H605-'Assumptions'!$B$20)*'Assumptions'!$B$26)</x:f>
        <x:v>185678.1324064003</x:v>
      </x:c>
      <x:c r="M605" s="133" t="n">
        <x:f>'Assumptions'!$B$10*'Assumptions'!$B$33</x:f>
        <x:v>1950000</x:v>
      </x:c>
      <x:c r="N605" s="133" t="n">
        <x:f>-PMT(K605/12,'Assumptions'!$B$35*12,M605)*12</x:f>
        <x:v>149339.80245100975</x:v>
      </x:c>
      <x:c r="O605" s="133" t="n">
        <x:f>(L605*(1+'Assumptions'!$B$29)^('Assumptions'!$B$14/12)/J605)*(1-'Assumptions'!$B$42)-'Debt Schedule'!$F$9</x:f>
        <x:v>2760768.115563634</x:v>
      </x:c>
      <x:c r="P605" s="132" t="n">
        <x:f>((O605+(L605-N605-'Assumptions'!$B$27-'Assumptions'!$B$28)*('Assumptions'!$B$14/12))/ABS('Monthly Cash Flow'!$S$5))^(1/('Assumptions'!$B$14/12))-1</x:f>
        <x:v>0.16200405071699953</x:v>
      </x:c>
      <x:c r="Q605" s="133" t="n">
        <x:f>-ABS('Monthly Cash Flow'!$S$5)+((L605-N605-'Assumptions'!$B$27-'Assumptions'!$B$28)*(1-(1+'Assumptions'!$B$43)^-('Assumptions'!$B$14/12))/'Assumptions'!$B$43)+(O605/(1+'Assumptions'!$B$43)^('Assumptions'!$B$14/12))</x:f>
        <x:v>405839.1806162568</x:v>
      </x:c>
    </x:row>
    <x:row r="606">
      <x:c r="A606" s="131" t="n">
        <x:f>599</x:f>
        <x:v>599</x:v>
      </x:c>
      <x:c r="B606" s="131" t="n">
        <x:f>MOD(ABS(SIN((A606+1)*12.9898+78.233)*43758.5453),1)</x:f>
        <x:v>0.11813683898071758</x:v>
      </x:c>
      <x:c r="C606" s="131" t="n">
        <x:f>MOD(ABS(SIN((A606+2)*12.9898+78.233)*43758.5453),1)</x:f>
        <x:v>0.3255213731117692</x:v>
      </x:c>
      <x:c r="D606" s="131" t="n">
        <x:f>MOD(ABS(SIN((A606+3)*12.9898+78.233)*43758.5453),1)</x:f>
        <x:v>0.8399149880979166</x:v>
      </x:c>
      <x:c r="E606" s="131" t="n">
        <x:f>MOD(ABS(SIN((A606+4)*12.9898+78.233)*43758.5453),1)</x:f>
        <x:v>0.25848976787528954</x:v>
      </x:c>
      <x:c r="F606" s="131" t="n">
        <x:f>MOD(ABS(SIN((A606+5)*12.9898+78.233)*43758.5453),1)</x:f>
        <x:v>0.9823602777323686</x:v>
      </x:c>
      <x:c r="G606" s="132" t="n">
        <x:f>IF(B606&lt;(('Assumptions'!$C$47-'Assumptions'!$B$47)/('Assumptions'!$D$47-'Assumptions'!$B$47)),'Assumptions'!$B$47+SQRT(B606*('Assumptions'!$D$47-'Assumptions'!$B$47)*('Assumptions'!$C$47-'Assumptions'!$B$47)),'Assumptions'!$D$47-SQRT((1-B606)*('Assumptions'!$D$47-'Assumptions'!$B$47)*('Assumptions'!$D$47-'Assumptions'!$C$47)))</x:f>
        <x:v>-0.04675261381497471</x:v>
      </x:c>
      <x:c r="H606" s="132" t="n">
        <x:f>IF(C606&lt;(('Assumptions'!$C$48-'Assumptions'!$B$48)/('Assumptions'!$D$48-'Assumptions'!$B$48)),'Assumptions'!$B$48+SQRT(C606*('Assumptions'!$D$48-'Assumptions'!$B$48)*('Assumptions'!$C$48-'Assumptions'!$B$48)),'Assumptions'!$D$48-SQRT((1-C606)*('Assumptions'!$D$48-'Assumptions'!$B$48)*('Assumptions'!$D$48-'Assumptions'!$C$48)))</x:f>
        <x:v>0.06295837542849689</x:v>
      </x:c>
      <x:c r="I606" s="132" t="n">
        <x:f>IF(D606&lt;(('Assumptions'!$C$49-'Assumptions'!$B$49)/('Assumptions'!$D$49-'Assumptions'!$B$49)),'Assumptions'!$B$49+SQRT(D606*('Assumptions'!$D$49-'Assumptions'!$B$49)*('Assumptions'!$C$49-'Assumptions'!$B$49)),'Assumptions'!$D$49-SQRT((1-D606)*('Assumptions'!$D$49-'Assumptions'!$B$49)*('Assumptions'!$D$49-'Assumptions'!$C$49)))</x:f>
        <x:v>0.09119663056350427</x:v>
      </x:c>
      <x:c r="J606" s="132" t="n">
        <x:f>IF(E606&lt;(('Assumptions'!$C$50-'Assumptions'!$B$50)/('Assumptions'!$D$50-'Assumptions'!$B$50)),'Assumptions'!$B$50+SQRT(E606*('Assumptions'!$D$50-'Assumptions'!$B$50)*('Assumptions'!$C$50-'Assumptions'!$B$50)),'Assumptions'!$D$50-SQRT((1-E606)*('Assumptions'!$D$50-'Assumptions'!$B$50)*('Assumptions'!$D$50-'Assumptions'!$C$50)))</x:f>
        <x:v>0.06512628335245552</x:v>
      </x:c>
      <x:c r="K606" s="132" t="n">
        <x:f>IF(F606&lt;(('Assumptions'!$C$51-'Assumptions'!$B$51)/('Assumptions'!$D$51-'Assumptions'!$B$51)),'Assumptions'!$B$51+SQRT(F606*('Assumptions'!$D$51-'Assumptions'!$B$51)*('Assumptions'!$C$51-'Assumptions'!$B$51)),'Assumptions'!$D$51-SQRT((1-F606)*('Assumptions'!$D$51-'Assumptions'!$B$51)*('Assumptions'!$D$51-'Assumptions'!$C$51)))</x:f>
        <x:v>0.08208639118251994</x:v>
      </x:c>
      <x:c r="L606" s="133" t="n">
        <x:f>(('Assumptions'!$B$17*(1+G606)+'Assumptions'!$B$18)*(1-H606-'Assumptions'!$B$20)-SUM('Assumptions'!$B$21:$B$25)*(1+I606))-(('Assumptions'!$B$17*(1+G606)+'Assumptions'!$B$18)*(1-H606-'Assumptions'!$B$20)*'Assumptions'!$B$26)</x:f>
        <x:v>183935.2257249877</x:v>
      </x:c>
      <x:c r="M606" s="133" t="n">
        <x:f>'Assumptions'!$B$10*'Assumptions'!$B$33</x:f>
        <x:v>1950000</x:v>
      </x:c>
      <x:c r="N606" s="133" t="n">
        <x:f>-PMT(K606/12,'Assumptions'!$B$35*12,M606)*12</x:f>
        <x:v>175116.44521999627</x:v>
      </x:c>
      <x:c r="O606" s="133" t="n">
        <x:f>(L606*(1+'Assumptions'!$B$29)^('Assumptions'!$B$14/12)/J606)*(1-'Assumptions'!$B$42)-'Debt Schedule'!$F$9</x:f>
        <x:v>3077673.834644359</x:v>
      </x:c>
      <x:c r="P606" s="132" t="n">
        <x:f>((O606+(L606-N606-'Assumptions'!$B$27-'Assumptions'!$B$28)*('Assumptions'!$B$14/12))/ABS('Monthly Cash Flow'!$S$5))^(1/('Assumptions'!$B$14/12))-1</x:f>
        <x:v>0.1768164402020811</x:v>
      </x:c>
      <x:c r="Q606" s="133" t="n">
        <x:f>-ABS('Monthly Cash Flow'!$S$5)+((L606-N606-'Assumptions'!$B$27-'Assumptions'!$B$28)*(1-(1+'Assumptions'!$B$43)^-('Assumptions'!$B$14/12))/'Assumptions'!$B$43)+(O606/(1+'Assumptions'!$B$43)^('Assumptions'!$B$14/12))</x:f>
        <x:v>498291.955036219</x:v>
      </x:c>
    </x:row>
    <x:row r="607">
      <x:c r="A607" s="131" t="n">
        <x:f>600</x:f>
        <x:v>600</x:v>
      </x:c>
      <x:c r="B607" s="131" t="n">
        <x:f>MOD(ABS(SIN((A607+1)*12.9898+78.233)*43758.5453),1)</x:f>
        <x:v>0.3255213731117692</x:v>
      </x:c>
      <x:c r="C607" s="131" t="n">
        <x:f>MOD(ABS(SIN((A607+2)*12.9898+78.233)*43758.5453),1)</x:f>
        <x:v>0.8399149880979166</x:v>
      </x:c>
      <x:c r="D607" s="131" t="n">
        <x:f>MOD(ABS(SIN((A607+3)*12.9898+78.233)*43758.5453),1)</x:f>
        <x:v>0.25848976787528954</x:v>
      </x:c>
      <x:c r="E607" s="131" t="n">
        <x:f>MOD(ABS(SIN((A607+4)*12.9898+78.233)*43758.5453),1)</x:f>
        <x:v>0.9823602777323686</x:v>
      </x:c>
      <x:c r="F607" s="131" t="n">
        <x:f>MOD(ABS(SIN((A607+5)*12.9898+78.233)*43758.5453),1)</x:f>
        <x:v>0.06610969825851498</x:v>
      </x:c>
      <x:c r="G607" s="132" t="n">
        <x:f>IF(B607&lt;(('Assumptions'!$C$47-'Assumptions'!$B$47)/('Assumptions'!$D$47-'Assumptions'!$B$47)),'Assumptions'!$B$47+SQRT(B607*('Assumptions'!$D$47-'Assumptions'!$B$47)*('Assumptions'!$C$47-'Assumptions'!$B$47)),'Assumptions'!$D$47-SQRT((1-B607)*('Assumptions'!$D$47-'Assumptions'!$B$47)*('Assumptions'!$D$47-'Assumptions'!$C$47)))</x:f>
        <x:v>-0.011611579068961417</x:v>
      </x:c>
      <x:c r="H607" s="132" t="n">
        <x:f>IF(C607&lt;(('Assumptions'!$C$48-'Assumptions'!$B$48)/('Assumptions'!$D$48-'Assumptions'!$B$48)),'Assumptions'!$B$48+SQRT(C607*('Assumptions'!$D$48-'Assumptions'!$B$48)*('Assumptions'!$C$48-'Assumptions'!$B$48)),'Assumptions'!$D$48-SQRT((1-C607)*('Assumptions'!$D$48-'Assumptions'!$B$48)*('Assumptions'!$D$48-'Assumptions'!$C$48)))</x:f>
        <x:v>0.10246670671605897</x:v>
      </x:c>
      <x:c r="I607" s="132" t="n">
        <x:f>IF(D607&lt;(('Assumptions'!$C$49-'Assumptions'!$B$49)/('Assumptions'!$D$49-'Assumptions'!$B$49)),'Assumptions'!$B$49+SQRT(D607*('Assumptions'!$D$49-'Assumptions'!$B$49)*('Assumptions'!$C$49-'Assumptions'!$B$49)),'Assumptions'!$D$49-SQRT((1-D607)*('Assumptions'!$D$49-'Assumptions'!$B$49)*('Assumptions'!$D$49-'Assumptions'!$C$49)))</x:f>
        <x:v>0.022836440957478644</x:v>
      </x:c>
      <x:c r="J607" s="132" t="n">
        <x:f>IF(E607&lt;(('Assumptions'!$C$50-'Assumptions'!$B$50)/('Assumptions'!$D$50-'Assumptions'!$B$50)),'Assumptions'!$B$50+SQRT(E607*('Assumptions'!$D$50-'Assumptions'!$B$50)*('Assumptions'!$C$50-'Assumptions'!$B$50)),'Assumptions'!$D$50-SQRT((1-E607)*('Assumptions'!$D$50-'Assumptions'!$B$50)*('Assumptions'!$D$50-'Assumptions'!$C$50)))</x:f>
        <x:v>0.07777263117383507</x:v>
      </x:c>
      <x:c r="K607" s="132" t="n">
        <x:f>IF(F607&lt;(('Assumptions'!$C$51-'Assumptions'!$B$51)/('Assumptions'!$D$51-'Assumptions'!$B$51)),'Assumptions'!$B$51+SQRT(F607*('Assumptions'!$D$51-'Assumptions'!$B$51)*('Assumptions'!$C$51-'Assumptions'!$B$51)),'Assumptions'!$D$51-SQRT((1-F607)*('Assumptions'!$D$51-'Assumptions'!$B$51)*('Assumptions'!$D$51-'Assumptions'!$C$51)))</x:f>
        <x:v>0.06176382070695892</x:v>
      </x:c>
      <x:c r="L607" s="133" t="n">
        <x:f>(('Assumptions'!$B$17*(1+G607)+'Assumptions'!$B$18)*(1-H607-'Assumptions'!$B$20)-SUM('Assumptions'!$B$21:$B$25)*(1+I607))-(('Assumptions'!$B$17*(1+G607)+'Assumptions'!$B$18)*(1-H607-'Assumptions'!$B$20)*'Assumptions'!$B$26)</x:f>
        <x:v>189629.05276952818</x:v>
      </x:c>
      <x:c r="M607" s="133" t="n">
        <x:f>'Assumptions'!$B$10*'Assumptions'!$B$33</x:f>
        <x:v>1950000</x:v>
      </x:c>
      <x:c r="N607" s="133" t="n">
        <x:f>-PMT(K607/12,'Assumptions'!$B$35*12,M607)*12</x:f>
        <x:v>142959.3104293942</x:v>
      </x:c>
      <x:c r="O607" s="133" t="n">
        <x:f>(L607*(1+'Assumptions'!$B$29)^('Assumptions'!$B$14/12)/J607)*(1-'Assumptions'!$B$42)-'Debt Schedule'!$F$9</x:f>
        <x:v>2657003.097546147</x:v>
      </x:c>
      <x:c r="P607" s="132" t="n">
        <x:f>((O607+(L607-N607-'Assumptions'!$B$27-'Assumptions'!$B$28)*('Assumptions'!$B$14/12))/ABS('Monthly Cash Flow'!$S$5))^(1/('Assumptions'!$B$14/12))-1</x:f>
        <x:v>0.15755438388432297</x:v>
      </x:c>
      <x:c r="Q607" s="133" t="n">
        <x:f>-ABS('Monthly Cash Flow'!$S$5)+((L607-N607-'Assumptions'!$B$27-'Assumptions'!$B$28)*(1-(1+'Assumptions'!$B$43)^-('Assumptions'!$B$14/12))/'Assumptions'!$B$43)+(O607/(1+'Assumptions'!$B$43)^('Assumptions'!$B$14/12))</x:f>
        <x:v>380573.4497189701</x:v>
      </x:c>
    </x:row>
    <x:row r="608">
      <x:c r="A608" s="131" t="n">
        <x:f>601</x:f>
        <x:v>601</x:v>
      </x:c>
      <x:c r="B608" s="131" t="n">
        <x:f>MOD(ABS(SIN((A608+1)*12.9898+78.233)*43758.5453),1)</x:f>
        <x:v>0.8399149880979166</x:v>
      </x:c>
      <x:c r="C608" s="131" t="n">
        <x:f>MOD(ABS(SIN((A608+2)*12.9898+78.233)*43758.5453),1)</x:f>
        <x:v>0.25848976787528954</x:v>
      </x:c>
      <x:c r="D608" s="131" t="n">
        <x:f>MOD(ABS(SIN((A608+3)*12.9898+78.233)*43758.5453),1)</x:f>
        <x:v>0.9823602777323686</x:v>
      </x:c>
      <x:c r="E608" s="131" t="n">
        <x:f>MOD(ABS(SIN((A608+4)*12.9898+78.233)*43758.5453),1)</x:f>
        <x:v>0.06610969825851498</x:v>
      </x:c>
      <x:c r="F608" s="131" t="n">
        <x:f>MOD(ABS(SIN((A608+5)*12.9898+78.233)*43758.5453),1)</x:f>
        <x:v>0.9301199676410761</x:v>
      </x:c>
      <x:c r="G608" s="132" t="n">
        <x:f>IF(B608&lt;(('Assumptions'!$C$47-'Assumptions'!$B$47)/('Assumptions'!$D$47-'Assumptions'!$B$47)),'Assumptions'!$B$47+SQRT(B608*('Assumptions'!$D$47-'Assumptions'!$B$47)*('Assumptions'!$C$47-'Assumptions'!$B$47)),'Assumptions'!$D$47-SQRT((1-B608)*('Assumptions'!$D$47-'Assumptions'!$B$47)*('Assumptions'!$D$47-'Assumptions'!$C$47)))</x:f>
        <x:v>0.04939011766034885</x:v>
      </x:c>
      <x:c r="H608" s="132" t="n">
        <x:f>IF(C608&lt;(('Assumptions'!$C$48-'Assumptions'!$B$48)/('Assumptions'!$D$48-'Assumptions'!$B$48)),'Assumptions'!$B$48+SQRT(C608*('Assumptions'!$D$48-'Assumptions'!$B$48)*('Assumptions'!$C$48-'Assumptions'!$B$48)),'Assumptions'!$D$48-SQRT((1-C608)*('Assumptions'!$D$48-'Assumptions'!$B$48)*('Assumptions'!$D$48-'Assumptions'!$C$48)))</x:f>
        <x:v>0.05920644165228718</x:v>
      </x:c>
      <x:c r="I608" s="132" t="n">
        <x:f>IF(D608&lt;(('Assumptions'!$C$49-'Assumptions'!$B$49)/('Assumptions'!$D$49-'Assumptions'!$B$49)),'Assumptions'!$B$49+SQRT(D608*('Assumptions'!$D$49-'Assumptions'!$B$49)*('Assumptions'!$C$49-'Assumptions'!$B$49)),'Assumptions'!$D$49-SQRT((1-D608)*('Assumptions'!$D$49-'Assumptions'!$B$49)*('Assumptions'!$D$49-'Assumptions'!$C$49)))</x:f>
        <x:v>0.13048031760041062</x:v>
      </x:c>
      <x:c r="J608" s="132" t="n">
        <x:f>IF(E608&lt;(('Assumptions'!$C$50-'Assumptions'!$B$50)/('Assumptions'!$D$50-'Assumptions'!$B$50)),'Assumptions'!$B$50+SQRT(E608*('Assumptions'!$D$50-'Assumptions'!$B$50)*('Assumptions'!$C$50-'Assumptions'!$B$50)),'Assumptions'!$D$50-SQRT((1-E608)*('Assumptions'!$D$50-'Assumptions'!$B$50)*('Assumptions'!$D$50-'Assumptions'!$C$50)))</x:f>
        <x:v>0.06135677094318108</x:v>
      </x:c>
      <x:c r="K608" s="132" t="n">
        <x:f>IF(F608&lt;(('Assumptions'!$C$51-'Assumptions'!$B$51)/('Assumptions'!$D$51-'Assumptions'!$B$51)),'Assumptions'!$B$51+SQRT(F608*('Assumptions'!$D$51-'Assumptions'!$B$51)*('Assumptions'!$C$51-'Assumptions'!$B$51)),'Assumptions'!$D$51-SQRT((1-F608)*('Assumptions'!$D$51-'Assumptions'!$B$51)*('Assumptions'!$D$51-'Assumptions'!$C$51)))</x:f>
        <x:v>0.07920088234532768</x:v>
      </x:c>
      <x:c r="L608" s="133" t="n">
        <x:f>(('Assumptions'!$B$17*(1+G608)+'Assumptions'!$B$18)*(1-H608-'Assumptions'!$B$20)-SUM('Assumptions'!$B$21:$B$25)*(1+I608))-(('Assumptions'!$B$17*(1+G608)+'Assumptions'!$B$18)*(1-H608-'Assumptions'!$B$20)*'Assumptions'!$B$26)</x:f>
        <x:v>211213.7707982643</x:v>
      </x:c>
      <x:c r="M608" s="133" t="n">
        <x:f>'Assumptions'!$B$10*'Assumptions'!$B$33</x:f>
        <x:v>1950000</x:v>
      </x:c>
      <x:c r="N608" s="133" t="n">
        <x:f>-PMT(K608/12,'Assumptions'!$B$35*12,M608)*12</x:f>
        <x:v>170399.13739610725</x:v>
      </x:c>
      <x:c r="O608" s="133" t="n">
        <x:f>(L608*(1+'Assumptions'!$B$29)^('Assumptions'!$B$14/12)/J608)*(1-'Assumptions'!$B$42)-'Debt Schedule'!$F$9</x:f>
        <x:v>3751230.1603586157</x:v>
      </x:c>
      <x:c r="P608" s="132" t="n">
        <x:f>((O608+(L608-N608-'Assumptions'!$B$27-'Assumptions'!$B$28)*('Assumptions'!$B$14/12))/ABS('Monthly Cash Flow'!$S$5))^(1/('Assumptions'!$B$14/12))-1</x:f>
        <x:v>0.23739567424593244</x:v>
      </x:c>
      <x:c r="Q608" s="133" t="n">
        <x:f>-ABS('Monthly Cash Flow'!$S$5)+((L608-N608-'Assumptions'!$B$27-'Assumptions'!$B$28)*(1-(1+'Assumptions'!$B$43)^-('Assumptions'!$B$14/12))/'Assumptions'!$B$43)+(O608/(1+'Assumptions'!$B$43)^('Assumptions'!$B$14/12))</x:f>
        <x:v>1037806.8957920929</x:v>
      </x:c>
    </x:row>
    <x:row r="609">
      <x:c r="A609" s="131" t="n">
        <x:f>602</x:f>
        <x:v>602</x:v>
      </x:c>
      <x:c r="B609" s="131" t="n">
        <x:f>MOD(ABS(SIN((A609+1)*12.9898+78.233)*43758.5453),1)</x:f>
        <x:v>0.25848976787528954</x:v>
      </x:c>
      <x:c r="C609" s="131" t="n">
        <x:f>MOD(ABS(SIN((A609+2)*12.9898+78.233)*43758.5453),1)</x:f>
        <x:v>0.9823602777323686</x:v>
      </x:c>
      <x:c r="D609" s="131" t="n">
        <x:f>MOD(ABS(SIN((A609+3)*12.9898+78.233)*43758.5453),1)</x:f>
        <x:v>0.06610969825851498</x:v>
      </x:c>
      <x:c r="E609" s="131" t="n">
        <x:f>MOD(ABS(SIN((A609+4)*12.9898+78.233)*43758.5453),1)</x:f>
        <x:v>0.9301199676410761</x:v>
      </x:c>
      <x:c r="F609" s="131" t="n">
        <x:f>MOD(ABS(SIN((A609+5)*12.9898+78.233)*43758.5453),1)</x:f>
        <x:v>0.06789898529677885</x:v>
      </x:c>
      <x:c r="G609" s="132" t="n">
        <x:f>IF(B609&lt;(('Assumptions'!$C$47-'Assumptions'!$B$47)/('Assumptions'!$D$47-'Assumptions'!$B$47)),'Assumptions'!$B$47+SQRT(B609*('Assumptions'!$D$47-'Assumptions'!$B$47)*('Assumptions'!$C$47-'Assumptions'!$B$47)),'Assumptions'!$D$47-SQRT((1-B609)*('Assumptions'!$D$47-'Assumptions'!$B$47)*('Assumptions'!$D$47-'Assumptions'!$C$47)))</x:f>
        <x:v>-0.021236084219949117</x:v>
      </x:c>
      <x:c r="H609" s="132" t="n">
        <x:f>IF(C609&lt;(('Assumptions'!$C$48-'Assumptions'!$B$48)/('Assumptions'!$D$48-'Assumptions'!$B$48)),'Assumptions'!$B$48+SQRT(C609*('Assumptions'!$D$48-'Assumptions'!$B$48)*('Assumptions'!$C$48-'Assumptions'!$B$48)),'Assumptions'!$D$48-SQRT((1-C609)*('Assumptions'!$D$48-'Assumptions'!$B$48)*('Assumptions'!$D$48-'Assumptions'!$C$48)))</x:f>
        <x:v>0.12754088462389257</x:v>
      </x:c>
      <x:c r="I609" s="132" t="n">
        <x:f>IF(D609&lt;(('Assumptions'!$C$49-'Assumptions'!$B$49)/('Assumptions'!$D$49-'Assumptions'!$B$49)),'Assumptions'!$B$49+SQRT(D609*('Assumptions'!$D$49-'Assumptions'!$B$49)*('Assumptions'!$C$49-'Assumptions'!$B$49)),'Assumptions'!$D$49-SQRT((1-D609)*('Assumptions'!$D$49-'Assumptions'!$B$49)*('Assumptions'!$D$49-'Assumptions'!$C$49)))</x:f>
        <x:v>-0.003279507093020124</x:v>
      </x:c>
      <x:c r="J609" s="132" t="n">
        <x:f>IF(E609&lt;(('Assumptions'!$C$50-'Assumptions'!$B$50)/('Assumptions'!$D$50-'Assumptions'!$B$50)),'Assumptions'!$B$50+SQRT(E609*('Assumptions'!$D$50-'Assumptions'!$B$50)*('Assumptions'!$C$50-'Assumptions'!$B$50)),'Assumptions'!$D$50-SQRT((1-E609)*('Assumptions'!$D$50-'Assumptions'!$B$50)*('Assumptions'!$D$50-'Assumptions'!$C$50)))</x:f>
        <x:v>0.07556674396171986</x:v>
      </x:c>
      <x:c r="K609" s="132" t="n">
        <x:f>IF(F609&lt;(('Assumptions'!$C$51-'Assumptions'!$B$51)/('Assumptions'!$D$51-'Assumptions'!$B$51)),'Assumptions'!$B$51+SQRT(F609*('Assumptions'!$D$51-'Assumptions'!$B$51)*('Assumptions'!$C$51-'Assumptions'!$B$51)),'Assumptions'!$D$51-SQRT((1-F609)*('Assumptions'!$D$51-'Assumptions'!$B$51)*('Assumptions'!$D$51-'Assumptions'!$C$51)))</x:f>
        <x:v>0.061821136535289554</x:v>
      </x:c>
      <x:c r="L609" s="133" t="n">
        <x:f>(('Assumptions'!$B$17*(1+G609)+'Assumptions'!$B$18)*(1-H609-'Assumptions'!$B$20)-SUM('Assumptions'!$B$21:$B$25)*(1+I609))-(('Assumptions'!$B$17*(1+G609)+'Assumptions'!$B$18)*(1-H609-'Assumptions'!$B$20)*'Assumptions'!$B$26)</x:f>
        <x:v>181052.62975717167</x:v>
      </x:c>
      <x:c r="M609" s="133" t="n">
        <x:f>'Assumptions'!$B$10*'Assumptions'!$B$33</x:f>
        <x:v>1950000</x:v>
      </x:c>
      <x:c r="N609" s="133" t="n">
        <x:f>-PMT(K609/12,'Assumptions'!$B$35*12,M609)*12</x:f>
        <x:v>143046.25846541522</x:v>
      </x:c>
      <x:c r="O609" s="133" t="n">
        <x:f>(L609*(1+'Assumptions'!$B$29)^('Assumptions'!$B$14/12)/J609)*(1-'Assumptions'!$B$42)-'Debt Schedule'!$F$9</x:f>
        <x:v>2610887.1738021607</x:v>
      </x:c>
      <x:c r="P609" s="132" t="n">
        <x:f>((O609+(L609-N609-'Assumptions'!$B$27-'Assumptions'!$B$28)*('Assumptions'!$B$14/12))/ABS('Monthly Cash Flow'!$S$5))^(1/('Assumptions'!$B$14/12))-1</x:f>
        <x:v>0.14975406974252303</x:v>
      </x:c>
      <x:c r="Q609" s="133" t="n">
        <x:f>-ABS('Monthly Cash Flow'!$S$5)+((L609-N609-'Assumptions'!$B$27-'Assumptions'!$B$28)*(1-(1+'Assumptions'!$B$43)^-('Assumptions'!$B$14/12))/'Assumptions'!$B$43)+(O609/(1+'Assumptions'!$B$43)^('Assumptions'!$B$14/12))</x:f>
        <x:v>319098.09698509285</x:v>
      </x:c>
    </x:row>
    <x:row r="610">
      <x:c r="A610" s="131" t="n">
        <x:f>603</x:f>
        <x:v>603</x:v>
      </x:c>
      <x:c r="B610" s="131" t="n">
        <x:f>MOD(ABS(SIN((A610+1)*12.9898+78.233)*43758.5453),1)</x:f>
        <x:v>0.9823602777323686</x:v>
      </x:c>
      <x:c r="C610" s="131" t="n">
        <x:f>MOD(ABS(SIN((A610+2)*12.9898+78.233)*43758.5453),1)</x:f>
        <x:v>0.06610969825851498</x:v>
      </x:c>
      <x:c r="D610" s="131" t="n">
        <x:f>MOD(ABS(SIN((A610+3)*12.9898+78.233)*43758.5453),1)</x:f>
        <x:v>0.9301199676410761</x:v>
      </x:c>
      <x:c r="E610" s="131" t="n">
        <x:f>MOD(ABS(SIN((A610+4)*12.9898+78.233)*43758.5453),1)</x:f>
        <x:v>0.06789898529677885</x:v>
      </x:c>
      <x:c r="F610" s="131" t="n">
        <x:f>MOD(ABS(SIN((A610+5)*12.9898+78.233)*43758.5453),1)</x:f>
        <x:v>0.17369565662011155</x:v>
      </x:c>
      <x:c r="G610" s="132" t="n">
        <x:f>IF(B610&lt;(('Assumptions'!$C$47-'Assumptions'!$B$47)/('Assumptions'!$D$47-'Assumptions'!$B$47)),'Assumptions'!$B$47+SQRT(B610*('Assumptions'!$D$47-'Assumptions'!$B$47)*('Assumptions'!$C$47-'Assumptions'!$B$47)),'Assumptions'!$D$47-SQRT((1-B610)*('Assumptions'!$D$47-'Assumptions'!$B$47)*('Assumptions'!$D$47-'Assumptions'!$C$47)))</x:f>
        <x:v>0.08320013225402942</x:v>
      </x:c>
      <x:c r="H610" s="132" t="n">
        <x:f>IF(C610&lt;(('Assumptions'!$C$48-'Assumptions'!$B$48)/('Assumptions'!$D$48-'Assumptions'!$B$48)),'Assumptions'!$B$48+SQRT(C610*('Assumptions'!$D$48-'Assumptions'!$B$48)*('Assumptions'!$C$48-'Assumptions'!$B$48)),'Assumptions'!$D$48-SQRT((1-C610)*('Assumptions'!$D$48-'Assumptions'!$B$48)*('Assumptions'!$D$48-'Assumptions'!$C$48)))</x:f>
        <x:v>0.04477030819763418</x:v>
      </x:c>
      <x:c r="I610" s="132" t="n">
        <x:f>IF(D610&lt;(('Assumptions'!$C$49-'Assumptions'!$B$49)/('Assumptions'!$D$49-'Assumptions'!$B$49)),'Assumptions'!$B$49+SQRT(D610*('Assumptions'!$D$49-'Assumptions'!$B$49)*('Assumptions'!$C$49-'Assumptions'!$B$49)),'Assumptions'!$D$49-SQRT((1-D610)*('Assumptions'!$D$49-'Assumptions'!$B$49)*('Assumptions'!$D$49-'Assumptions'!$C$49)))</x:f>
        <x:v>0.11114889063420766</x:v>
      </x:c>
      <x:c r="J610" s="132" t="n">
        <x:f>IF(E610&lt;(('Assumptions'!$C$50-'Assumptions'!$B$50)/('Assumptions'!$D$50-'Assumptions'!$B$50)),'Assumptions'!$B$50+SQRT(E610*('Assumptions'!$D$50-'Assumptions'!$B$50)*('Assumptions'!$C$50-'Assumptions'!$B$50)),'Assumptions'!$D$50-SQRT((1-E610)*('Assumptions'!$D$50-'Assumptions'!$B$50)*('Assumptions'!$D$50-'Assumptions'!$C$50)))</x:f>
        <x:v>0.06140861506057776</x:v>
      </x:c>
      <x:c r="K610" s="132" t="n">
        <x:f>IF(F610&lt;(('Assumptions'!$C$51-'Assumptions'!$B$51)/('Assumptions'!$D$51-'Assumptions'!$B$51)),'Assumptions'!$B$51+SQRT(F610*('Assumptions'!$D$51-'Assumptions'!$B$51)*('Assumptions'!$C$51-'Assumptions'!$B$51)),'Assumptions'!$D$51-SQRT((1-F610)*('Assumptions'!$D$51-'Assumptions'!$B$51)*('Assumptions'!$D$51-'Assumptions'!$C$51)))</x:f>
        <x:v>0.06441131720951446</x:v>
      </x:c>
      <x:c r="L610" s="133" t="n">
        <x:f>(('Assumptions'!$B$17*(1+G610)+'Assumptions'!$B$18)*(1-H610-'Assumptions'!$B$20)-SUM('Assumptions'!$B$21:$B$25)*(1+I610))-(('Assumptions'!$B$17*(1+G610)+'Assumptions'!$B$18)*(1-H610-'Assumptions'!$B$20)*'Assumptions'!$B$26)</x:f>
        <x:v>230179.2924846487</x:v>
      </x:c>
      <x:c r="M610" s="133" t="n">
        <x:f>'Assumptions'!$B$10*'Assumptions'!$B$33</x:f>
        <x:v>1950000</x:v>
      </x:c>
      <x:c r="N610" s="133" t="n">
        <x:f>-PMT(K610/12,'Assumptions'!$B$35*12,M610)*12</x:f>
        <x:v>146999.15740250272</x:v>
      </x:c>
      <x:c r="O610" s="133" t="n">
        <x:f>(L610*(1+'Assumptions'!$B$29)^('Assumptions'!$B$14/12)/J610)*(1-'Assumptions'!$B$42)-'Debt Schedule'!$F$9</x:f>
        <x:v>4084613.092114896</x:v>
      </x:c>
      <x:c r="P610" s="132" t="n">
        <x:f>((O610+(L610-N610-'Assumptions'!$B$27-'Assumptions'!$B$28)*('Assumptions'!$B$14/12))/ABS('Monthly Cash Flow'!$S$5))^(1/('Assumptions'!$B$14/12))-1</x:f>
        <x:v>0.2714042461199413</x:v>
      </x:c>
      <x:c r="Q610" s="133" t="n">
        <x:f>-ABS('Monthly Cash Flow'!$S$5)+((L610-N610-'Assumptions'!$B$27-'Assumptions'!$B$28)*(1-(1+'Assumptions'!$B$43)^-('Assumptions'!$B$14/12))/'Assumptions'!$B$43)+(O610/(1+'Assumptions'!$B$43)^('Assumptions'!$B$14/12))</x:f>
        <x:v>1405410.050111396</x:v>
      </x:c>
    </x:row>
    <x:row r="611">
      <x:c r="A611" s="131" t="n">
        <x:f>604</x:f>
        <x:v>604</x:v>
      </x:c>
      <x:c r="B611" s="131" t="n">
        <x:f>MOD(ABS(SIN((A611+1)*12.9898+78.233)*43758.5453),1)</x:f>
        <x:v>0.06610969825851498</x:v>
      </x:c>
      <x:c r="C611" s="131" t="n">
        <x:f>MOD(ABS(SIN((A611+2)*12.9898+78.233)*43758.5453),1)</x:f>
        <x:v>0.9301199676410761</x:v>
      </x:c>
      <x:c r="D611" s="131" t="n">
        <x:f>MOD(ABS(SIN((A611+3)*12.9898+78.233)*43758.5453),1)</x:f>
        <x:v>0.06789898529677885</x:v>
      </x:c>
      <x:c r="E611" s="131" t="n">
        <x:f>MOD(ABS(SIN((A611+4)*12.9898+78.233)*43758.5453),1)</x:f>
        <x:v>0.17369565662011155</x:v>
      </x:c>
      <x:c r="F611" s="131" t="n">
        <x:f>MOD(ABS(SIN((A611+5)*12.9898+78.233)*43758.5453),1)</x:f>
        <x:v>0.7303426820399181</x:v>
      </x:c>
      <x:c r="G611" s="132" t="n">
        <x:f>IF(B611&lt;(('Assumptions'!$C$47-'Assumptions'!$B$47)/('Assumptions'!$D$47-'Assumptions'!$B$47)),'Assumptions'!$B$47+SQRT(B611*('Assumptions'!$D$47-'Assumptions'!$B$47)*('Assumptions'!$C$47-'Assumptions'!$B$47)),'Assumptions'!$D$47-SQRT((1-B611)*('Assumptions'!$D$47-'Assumptions'!$B$47)*('Assumptions'!$D$47-'Assumptions'!$C$47)))</x:f>
        <x:v>-0.060167440978461356</x:v>
      </x:c>
      <x:c r="H611" s="132" t="n">
        <x:f>IF(C611&lt;(('Assumptions'!$C$48-'Assumptions'!$B$48)/('Assumptions'!$D$48-'Assumptions'!$B$48)),'Assumptions'!$B$48+SQRT(C611*('Assumptions'!$D$48-'Assumptions'!$B$48)*('Assumptions'!$C$48-'Assumptions'!$B$48)),'Assumptions'!$D$48-SQRT((1-C611)*('Assumptions'!$D$48-'Assumptions'!$B$48)*('Assumptions'!$D$48-'Assumptions'!$C$48)))</x:f>
        <x:v>0.11520192981785618</x:v>
      </x:c>
      <x:c r="I611" s="132" t="n">
        <x:f>IF(D611&lt;(('Assumptions'!$C$49-'Assumptions'!$B$49)/('Assumptions'!$D$49-'Assumptions'!$B$49)),'Assumptions'!$B$49+SQRT(D611*('Assumptions'!$D$49-'Assumptions'!$B$49)*('Assumptions'!$C$49-'Assumptions'!$B$49)),'Assumptions'!$D$49-SQRT((1-D611)*('Assumptions'!$D$49-'Assumptions'!$B$49)*('Assumptions'!$D$49-'Assumptions'!$C$49)))</x:f>
        <x:v>-0.0029203205114016993</x:v>
      </x:c>
      <x:c r="J611" s="132" t="n">
        <x:f>IF(E611&lt;(('Assumptions'!$C$50-'Assumptions'!$B$50)/('Assumptions'!$D$50-'Assumptions'!$B$50)),'Assumptions'!$B$50+SQRT(E611*('Assumptions'!$D$50-'Assumptions'!$B$50)*('Assumptions'!$C$50-'Assumptions'!$B$50)),'Assumptions'!$D$50-SQRT((1-E611)*('Assumptions'!$D$50-'Assumptions'!$B$50)*('Assumptions'!$D$50-'Assumptions'!$C$50)))</x:f>
        <x:v>0.06375152163393243</x:v>
      </x:c>
      <x:c r="K611" s="132" t="n">
        <x:f>IF(F611&lt;(('Assumptions'!$C$51-'Assumptions'!$B$51)/('Assumptions'!$D$51-'Assumptions'!$B$51)),'Assumptions'!$B$51+SQRT(F611*('Assumptions'!$D$51-'Assumptions'!$B$51)*('Assumptions'!$C$51-'Assumptions'!$B$51)),'Assumptions'!$D$51-SQRT((1-F611)*('Assumptions'!$D$51-'Assumptions'!$B$51)*('Assumptions'!$D$51-'Assumptions'!$C$51)))</x:f>
        <x:v>0.07360822295388954</x:v>
      </x:c>
      <x:c r="L611" s="133" t="n">
        <x:f>(('Assumptions'!$B$17*(1+G611)+'Assumptions'!$B$18)*(1-H611-'Assumptions'!$B$20)-SUM('Assumptions'!$B$21:$B$25)*(1+I611))-(('Assumptions'!$B$17*(1+G611)+'Assumptions'!$B$18)*(1-H611-'Assumptions'!$B$20)*'Assumptions'!$B$26)</x:f>
        <x:v>173624.24884214366</x:v>
      </x:c>
      <x:c r="M611" s="133" t="n">
        <x:f>'Assumptions'!$B$10*'Assumptions'!$B$33</x:f>
        <x:v>1950000</x:v>
      </x:c>
      <x:c r="N611" s="133" t="n">
        <x:f>-PMT(K611/12,'Assumptions'!$B$35*12,M611)*12</x:f>
        <x:v>161391.9398511462</x:v>
      </x:c>
      <x:c r="O611" s="133" t="n">
        <x:f>(L611*(1+'Assumptions'!$B$29)^('Assumptions'!$B$14/12)/J611)*(1-'Assumptions'!$B$42)-'Debt Schedule'!$F$9</x:f>
        <x:v>2967794.33780062</x:v>
      </x:c>
      <x:c r="P611" s="132" t="n">
        <x:f>((O611+(L611-N611-'Assumptions'!$B$27-'Assumptions'!$B$28)*('Assumptions'!$B$14/12))/ABS('Monthly Cash Flow'!$S$5))^(1/('Assumptions'!$B$14/12))-1</x:f>
        <x:v>0.16924312231080174</x:v>
      </x:c>
      <x:c r="Q611" s="133" t="n">
        <x:f>-ABS('Monthly Cash Flow'!$S$5)+((L611-N611-'Assumptions'!$B$27-'Assumptions'!$B$28)*(1-(1+'Assumptions'!$B$43)^-('Assumptions'!$B$14/12))/'Assumptions'!$B$43)+(O611/(1+'Assumptions'!$B$43)^('Assumptions'!$B$14/12))</x:f>
        <x:v>443005.3911006809</x:v>
      </x:c>
    </x:row>
    <x:row r="612">
      <x:c r="A612" s="131" t="n">
        <x:f>605</x:f>
        <x:v>605</x:v>
      </x:c>
      <x:c r="B612" s="131" t="n">
        <x:f>MOD(ABS(SIN((A612+1)*12.9898+78.233)*43758.5453),1)</x:f>
        <x:v>0.9301199676410761</x:v>
      </x:c>
      <x:c r="C612" s="131" t="n">
        <x:f>MOD(ABS(SIN((A612+2)*12.9898+78.233)*43758.5453),1)</x:f>
        <x:v>0.06789898529677885</x:v>
      </x:c>
      <x:c r="D612" s="131" t="n">
        <x:f>MOD(ABS(SIN((A612+3)*12.9898+78.233)*43758.5453),1)</x:f>
        <x:v>0.17369565662011155</x:v>
      </x:c>
      <x:c r="E612" s="131" t="n">
        <x:f>MOD(ABS(SIN((A612+4)*12.9898+78.233)*43758.5453),1)</x:f>
        <x:v>0.7303426820399181</x:v>
      </x:c>
      <x:c r="F612" s="131" t="n">
        <x:f>MOD(ABS(SIN((A612+5)*12.9898+78.233)*43758.5453),1)</x:f>
        <x:v>0.6526994450923667</x:v>
      </x:c>
      <x:c r="G612" s="132" t="n">
        <x:f>IF(B612&lt;(('Assumptions'!$C$47-'Assumptions'!$B$47)/('Assumptions'!$D$47-'Assumptions'!$B$47)),'Assumptions'!$B$47+SQRT(B612*('Assumptions'!$D$47-'Assumptions'!$B$47)*('Assumptions'!$C$47-'Assumptions'!$B$47)),'Assumptions'!$D$47-SQRT((1-B612)*('Assumptions'!$D$47-'Assumptions'!$B$47)*('Assumptions'!$D$47-'Assumptions'!$C$47)))</x:f>
        <x:v>0.06656228898768962</x:v>
      </x:c>
      <x:c r="H612" s="132" t="n">
        <x:f>IF(C612&lt;(('Assumptions'!$C$48-'Assumptions'!$B$48)/('Assumptions'!$D$48-'Assumptions'!$B$48)),'Assumptions'!$B$48+SQRT(C612*('Assumptions'!$D$48-'Assumptions'!$B$48)*('Assumptions'!$C$48-'Assumptions'!$B$48)),'Assumptions'!$D$48-SQRT((1-C612)*('Assumptions'!$D$48-'Assumptions'!$B$48)*('Assumptions'!$D$48-'Assumptions'!$C$48)))</x:f>
        <x:v>0.04496885605112729</x:v>
      </x:c>
      <x:c r="I612" s="132" t="n">
        <x:f>IF(D612&lt;(('Assumptions'!$C$49-'Assumptions'!$B$49)/('Assumptions'!$D$49-'Assumptions'!$B$49)),'Assumptions'!$B$49+SQRT(D612*('Assumptions'!$D$49-'Assumptions'!$B$49)*('Assumptions'!$C$49-'Assumptions'!$B$49)),'Assumptions'!$D$49-SQRT((1-D612)*('Assumptions'!$D$49-'Assumptions'!$B$49)*('Assumptions'!$D$49-'Assumptions'!$C$49)))</x:f>
        <x:v>0.013311812378347838</x:v>
      </x:c>
      <x:c r="J612" s="132" t="n">
        <x:f>IF(E612&lt;(('Assumptions'!$C$50-'Assumptions'!$B$50)/('Assumptions'!$D$50-'Assumptions'!$B$50)),'Assumptions'!$B$50+SQRT(E612*('Assumptions'!$D$50-'Assumptions'!$B$50)*('Assumptions'!$C$50-'Assumptions'!$B$50)),'Assumptions'!$D$50-SQRT((1-E612)*('Assumptions'!$D$50-'Assumptions'!$B$50)*('Assumptions'!$D$50-'Assumptions'!$C$50)))</x:f>
        <x:v>0.07129131923444929</x:v>
      </x:c>
      <x:c r="K612" s="132" t="n">
        <x:f>IF(F612&lt;(('Assumptions'!$C$51-'Assumptions'!$B$51)/('Assumptions'!$D$51-'Assumptions'!$B$51)),'Assumptions'!$B$51+SQRT(F612*('Assumptions'!$D$51-'Assumptions'!$B$51)*('Assumptions'!$C$51-'Assumptions'!$B$51)),'Assumptions'!$D$51-SQRT((1-F612)*('Assumptions'!$D$51-'Assumptions'!$B$51)*('Assumptions'!$D$51-'Assumptions'!$C$51)))</x:f>
        <x:v>0.07207179857639515</x:v>
      </x:c>
      <x:c r="L612" s="133" t="n">
        <x:f>(('Assumptions'!$B$17*(1+G612)+'Assumptions'!$B$18)*(1-H612-'Assumptions'!$B$20)-SUM('Assumptions'!$B$21:$B$25)*(1+I612))-(('Assumptions'!$B$17*(1+G612)+'Assumptions'!$B$18)*(1-H612-'Assumptions'!$B$20)*'Assumptions'!$B$26)</x:f>
        <x:v>236995.04067469126</x:v>
      </x:c>
      <x:c r="M612" s="133" t="n">
        <x:f>'Assumptions'!$B$10*'Assumptions'!$B$33</x:f>
        <x:v>1950000</x:v>
      </x:c>
      <x:c r="N612" s="133" t="n">
        <x:f>-PMT(K612/12,'Assumptions'!$B$35*12,M612)*12</x:f>
        <x:v>158950.19106696622</x:v>
      </x:c>
      <x:c r="O612" s="133" t="n">
        <x:f>(L612*(1+'Assumptions'!$B$29)^('Assumptions'!$B$14/12)/J612)*(1-'Assumptions'!$B$42)-'Debt Schedule'!$F$9</x:f>
        <x:v>3622568.312405952</x:v>
      </x:c>
      <x:c r="P612" s="132" t="n">
        <x:f>((O612+(L612-N612-'Assumptions'!$B$27-'Assumptions'!$B$28)*('Assumptions'!$B$14/12))/ABS('Monthly Cash Flow'!$S$5))^(1/('Assumptions'!$B$14/12))-1</x:f>
        <x:v>0.24116129700489508</x:v>
      </x:c>
      <x:c r="Q612" s="133" t="n">
        <x:f>-ABS('Monthly Cash Flow'!$S$5)+((L612-N612-'Assumptions'!$B$27-'Assumptions'!$B$28)*(1-(1+'Assumptions'!$B$43)^-('Assumptions'!$B$14/12))/'Assumptions'!$B$43)+(O612/(1+'Assumptions'!$B$43)^('Assumptions'!$B$14/12))</x:f>
        <x:v>1099049.8219483723</x:v>
      </x:c>
    </x:row>
    <x:row r="613">
      <x:c r="A613" s="131" t="n">
        <x:f>606</x:f>
        <x:v>606</x:v>
      </x:c>
      <x:c r="B613" s="131" t="n">
        <x:f>MOD(ABS(SIN((A613+1)*12.9898+78.233)*43758.5453),1)</x:f>
        <x:v>0.06789898529677885</x:v>
      </x:c>
      <x:c r="C613" s="131" t="n">
        <x:f>MOD(ABS(SIN((A613+2)*12.9898+78.233)*43758.5453),1)</x:f>
        <x:v>0.17369565662011155</x:v>
      </x:c>
      <x:c r="D613" s="131" t="n">
        <x:f>MOD(ABS(SIN((A613+3)*12.9898+78.233)*43758.5453),1)</x:f>
        <x:v>0.7303426820399181</x:v>
      </x:c>
      <x:c r="E613" s="131" t="n">
        <x:f>MOD(ABS(SIN((A613+4)*12.9898+78.233)*43758.5453),1)</x:f>
        <x:v>0.6526994450923667</x:v>
      </x:c>
      <x:c r="F613" s="131" t="n">
        <x:f>MOD(ABS(SIN((A613+5)*12.9898+78.233)*43758.5453),1)</x:f>
        <x:v>0.6106384913582588</x:v>
      </x:c>
      <x:c r="G613" s="132" t="n">
        <x:f>IF(B613&lt;(('Assumptions'!$C$47-'Assumptions'!$B$47)/('Assumptions'!$D$47-'Assumptions'!$B$47)),'Assumptions'!$B$47+SQRT(B613*('Assumptions'!$D$47-'Assumptions'!$B$47)*('Assumptions'!$C$47-'Assumptions'!$B$47)),'Assumptions'!$D$47-SQRT((1-B613)*('Assumptions'!$D$47-'Assumptions'!$B$47)*('Assumptions'!$D$47-'Assumptions'!$C$47)))</x:f>
        <x:v>-0.05963199723639164</x:v>
      </x:c>
      <x:c r="H613" s="132" t="n">
        <x:f>IF(C613&lt;(('Assumptions'!$C$48-'Assumptions'!$B$48)/('Assumptions'!$D$48-'Assumptions'!$B$48)),'Assumptions'!$B$48+SQRT(C613*('Assumptions'!$D$48-'Assumptions'!$B$48)*('Assumptions'!$C$48-'Assumptions'!$B$48)),'Assumptions'!$D$48-SQRT((1-C613)*('Assumptions'!$D$48-'Assumptions'!$B$48)*('Assumptions'!$D$48-'Assumptions'!$C$48)))</x:f>
        <x:v>0.05394150510820839</x:v>
      </x:c>
      <x:c r="I613" s="132" t="n">
        <x:f>IF(D613&lt;(('Assumptions'!$C$49-'Assumptions'!$B$49)/('Assumptions'!$D$49-'Assumptions'!$B$49)),'Assumptions'!$B$49+SQRT(D613*('Assumptions'!$D$49-'Assumptions'!$B$49)*('Assumptions'!$C$49-'Assumptions'!$B$49)),'Assumptions'!$D$49-SQRT((1-D613)*('Assumptions'!$D$49-'Assumptions'!$B$49)*('Assumptions'!$D$49-'Assumptions'!$C$49)))</x:f>
        <x:v>0.0736809455775442</x:v>
      </x:c>
      <x:c r="J613" s="132" t="n">
        <x:f>IF(E613&lt;(('Assumptions'!$C$50-'Assumptions'!$B$50)/('Assumptions'!$D$50-'Assumptions'!$B$50)),'Assumptions'!$B$50+SQRT(E613*('Assumptions'!$D$50-'Assumptions'!$B$50)*('Assumptions'!$C$50-'Assumptions'!$B$50)),'Assumptions'!$D$50-SQRT((1-E613)*('Assumptions'!$D$50-'Assumptions'!$B$50)*('Assumptions'!$D$50-'Assumptions'!$C$50)))</x:f>
        <x:v>0.07011676768117982</x:v>
      </x:c>
      <x:c r="K613" s="132" t="n">
        <x:f>IF(F613&lt;(('Assumptions'!$C$51-'Assumptions'!$B$51)/('Assumptions'!$D$51-'Assumptions'!$B$51)),'Assumptions'!$B$51+SQRT(F613*('Assumptions'!$D$51-'Assumptions'!$B$51)*('Assumptions'!$C$51-'Assumptions'!$B$51)),'Assumptions'!$D$51-SQRT((1-F613)*('Assumptions'!$D$51-'Assumptions'!$B$51)*('Assumptions'!$D$51-'Assumptions'!$C$51)))</x:f>
        <x:v>0.07131131028791149</x:v>
      </x:c>
      <x:c r="L613" s="133" t="n">
        <x:f>(('Assumptions'!$B$17*(1+G613)+'Assumptions'!$B$18)*(1-H613-'Assumptions'!$B$20)-SUM('Assumptions'!$B$21:$B$25)*(1+I613))-(('Assumptions'!$B$17*(1+G613)+'Assumptions'!$B$18)*(1-H613-'Assumptions'!$B$20)*'Assumptions'!$B$26)</x:f>
        <x:v>185102.048095746</x:v>
      </x:c>
      <x:c r="M613" s="133" t="n">
        <x:f>'Assumptions'!$B$10*'Assumptions'!$B$33</x:f>
        <x:v>1950000</x:v>
      </x:c>
      <x:c r="N613" s="133" t="n">
        <x:f>-PMT(K613/12,'Assumptions'!$B$35*12,M613)*12</x:f>
        <x:v>157746.9800037179</x:v>
      </x:c>
      <x:c r="O613" s="133" t="n">
        <x:f>(L613*(1+'Assumptions'!$B$29)^('Assumptions'!$B$14/12)/J613)*(1-'Assumptions'!$B$42)-'Debt Schedule'!$F$9</x:f>
        <x:v>2876757.8968694718</x:v>
      </x:c>
      <x:c r="P613" s="132" t="n">
        <x:f>((O613+(L613-N613-'Assumptions'!$B$27-'Assumptions'!$B$28)*('Assumptions'!$B$14/12))/ABS('Monthly Cash Flow'!$S$5))^(1/('Assumptions'!$B$14/12))-1</x:f>
        <x:v>0.16796545833540377</x:v>
      </x:c>
      <x:c r="Q613" s="133" t="n">
        <x:f>-ABS('Monthly Cash Flow'!$S$5)+((L613-N613-'Assumptions'!$B$27-'Assumptions'!$B$28)*(1-(1+'Assumptions'!$B$43)^-('Assumptions'!$B$14/12))/'Assumptions'!$B$43)+(O613/(1+'Assumptions'!$B$43)^('Assumptions'!$B$14/12))</x:f>
        <x:v>443806.07886825386</x:v>
      </x:c>
    </x:row>
    <x:row r="614">
      <x:c r="A614" s="131" t="n">
        <x:f>607</x:f>
        <x:v>607</x:v>
      </x:c>
      <x:c r="B614" s="131" t="n">
        <x:f>MOD(ABS(SIN((A614+1)*12.9898+78.233)*43758.5453),1)</x:f>
        <x:v>0.17369565662011155</x:v>
      </x:c>
      <x:c r="C614" s="131" t="n">
        <x:f>MOD(ABS(SIN((A614+2)*12.9898+78.233)*43758.5453),1)</x:f>
        <x:v>0.7303426820399181</x:v>
      </x:c>
      <x:c r="D614" s="131" t="n">
        <x:f>MOD(ABS(SIN((A614+3)*12.9898+78.233)*43758.5453),1)</x:f>
        <x:v>0.6526994450923667</x:v>
      </x:c>
      <x:c r="E614" s="131" t="n">
        <x:f>MOD(ABS(SIN((A614+4)*12.9898+78.233)*43758.5453),1)</x:f>
        <x:v>0.6106384913582588</x:v>
      </x:c>
      <x:c r="F614" s="131" t="n">
        <x:f>MOD(ABS(SIN((A614+5)*12.9898+78.233)*43758.5453),1)</x:f>
        <x:v>0.18561365782807115</x:v>
      </x:c>
      <x:c r="G614" s="132" t="n">
        <x:f>IF(B614&lt;(('Assumptions'!$C$47-'Assumptions'!$B$47)/('Assumptions'!$D$47-'Assumptions'!$B$47)),'Assumptions'!$B$47+SQRT(B614*('Assumptions'!$D$47-'Assumptions'!$B$47)*('Assumptions'!$C$47-'Assumptions'!$B$47)),'Assumptions'!$D$47-SQRT((1-B614)*('Assumptions'!$D$47-'Assumptions'!$B$47)*('Assumptions'!$D$47-'Assumptions'!$C$47)))</x:f>
        <x:v>-0.03543456219553161</x:v>
      </x:c>
      <x:c r="H614" s="132" t="n">
        <x:f>IF(C614&lt;(('Assumptions'!$C$48-'Assumptions'!$B$48)/('Assumptions'!$D$48-'Assumptions'!$B$48)),'Assumptions'!$B$48+SQRT(C614*('Assumptions'!$D$48-'Assumptions'!$B$48)*('Assumptions'!$C$48-'Assumptions'!$B$48)),'Assumptions'!$D$48-SQRT((1-C614)*('Assumptions'!$D$48-'Assumptions'!$B$48)*('Assumptions'!$D$48-'Assumptions'!$C$48)))</x:f>
        <x:v>0.09128671230507307</x:v>
      </x:c>
      <x:c r="I614" s="132" t="n">
        <x:f>IF(D614&lt;(('Assumptions'!$C$49-'Assumptions'!$B$49)/('Assumptions'!$D$49-'Assumptions'!$B$49)),'Assumptions'!$B$49+SQRT(D614*('Assumptions'!$D$49-'Assumptions'!$B$49)*('Assumptions'!$C$49-'Assumptions'!$B$49)),'Assumptions'!$D$49-SQRT((1-D614)*('Assumptions'!$D$49-'Assumptions'!$B$49)*('Assumptions'!$D$49-'Assumptions'!$C$49)))</x:f>
        <x:v>0.06338769148668949</x:v>
      </x:c>
      <x:c r="J614" s="132" t="n">
        <x:f>IF(E614&lt;(('Assumptions'!$C$50-'Assumptions'!$B$50)/('Assumptions'!$D$50-'Assumptions'!$B$50)),'Assumptions'!$B$50+SQRT(E614*('Assumptions'!$D$50-'Assumptions'!$B$50)*('Assumptions'!$C$50-'Assumptions'!$B$50)),'Assumptions'!$D$50-SQRT((1-E614)*('Assumptions'!$D$50-'Assumptions'!$B$50)*('Assumptions'!$D$50-'Assumptions'!$C$50)))</x:f>
        <x:v>0.06953539660065945</x:v>
      </x:c>
      <x:c r="K614" s="132" t="n">
        <x:f>IF(F614&lt;(('Assumptions'!$C$51-'Assumptions'!$B$51)/('Assumptions'!$D$51-'Assumptions'!$B$51)),'Assumptions'!$B$51+SQRT(F614*('Assumptions'!$D$51-'Assumptions'!$B$51)*('Assumptions'!$C$51-'Assumptions'!$B$51)),'Assumptions'!$D$51-SQRT((1-F614)*('Assumptions'!$D$51-'Assumptions'!$B$51)*('Assumptions'!$D$51-'Assumptions'!$C$51)))</x:f>
        <x:v>0.06464449129768661</x:v>
      </x:c>
      <x:c r="L614" s="133" t="n">
        <x:f>(('Assumptions'!$B$17*(1+G614)+'Assumptions'!$B$18)*(1-H614-'Assumptions'!$B$20)-SUM('Assumptions'!$B$21:$B$25)*(1+I614))-(('Assumptions'!$B$17*(1+G614)+'Assumptions'!$B$18)*(1-H614-'Assumptions'!$B$20)*'Assumptions'!$B$26)</x:f>
        <x:v>181132.419802651</x:v>
      </x:c>
      <x:c r="M614" s="133" t="n">
        <x:f>'Assumptions'!$B$10*'Assumptions'!$B$33</x:f>
        <x:v>1950000</x:v>
      </x:c>
      <x:c r="N614" s="133" t="n">
        <x:f>-PMT(K614/12,'Assumptions'!$B$35*12,M614)*12</x:f>
        <x:v>147357.24888784936</x:v>
      </x:c>
      <x:c r="O614" s="133" t="n">
        <x:f>(L614*(1+'Assumptions'!$B$29)^('Assumptions'!$B$14/12)/J614)*(1-'Assumptions'!$B$42)-'Debt Schedule'!$F$9</x:f>
        <x:v>2838600.2071500244</x:v>
      </x:c>
      <x:c r="P614" s="132" t="n">
        <x:f>((O614+(L614-N614-'Assumptions'!$B$27-'Assumptions'!$B$28)*('Assumptions'!$B$14/12))/ABS('Monthly Cash Flow'!$S$5))^(1/('Assumptions'!$B$14/12))-1</x:f>
        <x:v>0.1674621287903615</x:v>
      </x:c>
      <x:c r="Q614" s="133" t="n">
        <x:f>-ABS('Monthly Cash Flow'!$S$5)+((L614-N614-'Assumptions'!$B$27-'Assumptions'!$B$28)*(1-(1+'Assumptions'!$B$43)^-('Assumptions'!$B$14/12))/'Assumptions'!$B$43)+(O614/(1+'Assumptions'!$B$43)^('Assumptions'!$B$14/12))</x:f>
        <x:v>444450.39652158576</x:v>
      </x:c>
    </x:row>
    <x:row r="615">
      <x:c r="A615" s="131" t="n">
        <x:f>608</x:f>
        <x:v>608</x:v>
      </x:c>
      <x:c r="B615" s="131" t="n">
        <x:f>MOD(ABS(SIN((A615+1)*12.9898+78.233)*43758.5453),1)</x:f>
        <x:v>0.7303426820399181</x:v>
      </x:c>
      <x:c r="C615" s="131" t="n">
        <x:f>MOD(ABS(SIN((A615+2)*12.9898+78.233)*43758.5453),1)</x:f>
        <x:v>0.6526994450923667</x:v>
      </x:c>
      <x:c r="D615" s="131" t="n">
        <x:f>MOD(ABS(SIN((A615+3)*12.9898+78.233)*43758.5453),1)</x:f>
        <x:v>0.6106384913582588</x:v>
      </x:c>
      <x:c r="E615" s="131" t="n">
        <x:f>MOD(ABS(SIN((A615+4)*12.9898+78.233)*43758.5453),1)</x:f>
        <x:v>0.18561365782807115</x:v>
      </x:c>
      <x:c r="F615" s="131" t="n">
        <x:f>MOD(ABS(SIN((A615+5)*12.9898+78.233)*43758.5453),1)</x:f>
        <x:v>0.7789179722676636</x:v>
      </x:c>
      <x:c r="G615" s="132" t="n">
        <x:f>IF(B615&lt;(('Assumptions'!$C$47-'Assumptions'!$B$47)/('Assumptions'!$D$47-'Assumptions'!$B$47)),'Assumptions'!$B$47+SQRT(B615*('Assumptions'!$D$47-'Assumptions'!$B$47)*('Assumptions'!$C$47-'Assumptions'!$B$47)),'Assumptions'!$D$47-SQRT((1-B615)*('Assumptions'!$D$47-'Assumptions'!$B$47)*('Assumptions'!$D$47-'Assumptions'!$C$47)))</x:f>
        <x:v>0.03431501627189584</x:v>
      </x:c>
      <x:c r="H615" s="132" t="n">
        <x:f>IF(C615&lt;(('Assumptions'!$C$48-'Assumptions'!$B$48)/('Assumptions'!$D$48-'Assumptions'!$B$48)),'Assumptions'!$B$48+SQRT(C615*('Assumptions'!$D$48-'Assumptions'!$B$48)*('Assumptions'!$C$48-'Assumptions'!$B$48)),'Assumptions'!$D$48-SQRT((1-C615)*('Assumptions'!$D$48-'Assumptions'!$B$48)*('Assumptions'!$D$48-'Assumptions'!$C$48)))</x:f>
        <x:v>0.08471668530933432</x:v>
      </x:c>
      <x:c r="I615" s="132" t="n">
        <x:f>IF(D615&lt;(('Assumptions'!$C$49-'Assumptions'!$B$49)/('Assumptions'!$D$49-'Assumptions'!$B$49)),'Assumptions'!$B$49+SQRT(D615*('Assumptions'!$D$49-'Assumptions'!$B$49)*('Assumptions'!$C$49-'Assumptions'!$B$49)),'Assumptions'!$D$49-SQRT((1-D615)*('Assumptions'!$D$49-'Assumptions'!$B$49)*('Assumptions'!$D$49-'Assumptions'!$C$49)))</x:f>
        <x:v>0.05829281060537504</x:v>
      </x:c>
      <x:c r="J615" s="132" t="n">
        <x:f>IF(E615&lt;(('Assumptions'!$C$50-'Assumptions'!$B$50)/('Assumptions'!$D$50-'Assumptions'!$B$50)),'Assumptions'!$B$50+SQRT(E615*('Assumptions'!$D$50-'Assumptions'!$B$50)*('Assumptions'!$C$50-'Assumptions'!$B$50)),'Assumptions'!$D$50-SQRT((1-E615)*('Assumptions'!$D$50-'Assumptions'!$B$50)*('Assumptions'!$D$50-'Assumptions'!$C$50)))</x:f>
        <x:v>0.06396243553246886</x:v>
      </x:c>
      <x:c r="K615" s="132" t="n">
        <x:f>IF(F615&lt;(('Assumptions'!$C$51-'Assumptions'!$B$51)/('Assumptions'!$D$51-'Assumptions'!$B$51)),'Assumptions'!$B$51+SQRT(F615*('Assumptions'!$D$51-'Assumptions'!$B$51)*('Assumptions'!$C$51-'Assumptions'!$B$51)),'Assumptions'!$D$51-SQRT((1-F615)*('Assumptions'!$D$51-'Assumptions'!$B$51)*('Assumptions'!$D$51-'Assumptions'!$C$51)))</x:f>
        <x:v>0.07468516961621827</x:v>
      </x:c>
      <x:c r="L615" s="133" t="n">
        <x:f>(('Assumptions'!$B$17*(1+G615)+'Assumptions'!$B$18)*(1-H615-'Assumptions'!$B$20)-SUM('Assumptions'!$B$21:$B$25)*(1+I615))-(('Assumptions'!$B$17*(1+G615)+'Assumptions'!$B$18)*(1-H615-'Assumptions'!$B$20)*'Assumptions'!$B$26)</x:f>
        <x:v>205900.31401330477</x:v>
      </x:c>
      <x:c r="M615" s="133" t="n">
        <x:f>'Assumptions'!$B$10*'Assumptions'!$B$33</x:f>
        <x:v>1950000</x:v>
      </x:c>
      <x:c r="N615" s="133" t="n">
        <x:f>-PMT(K615/12,'Assumptions'!$B$35*12,M615)*12</x:f>
        <x:v>163112.03230827212</x:v>
      </x:c>
      <x:c r="O615" s="133" t="n">
        <x:f>(L615*(1+'Assumptions'!$B$29)^('Assumptions'!$B$14/12)/J615)*(1-'Assumptions'!$B$42)-'Debt Schedule'!$F$9</x:f>
        <x:v>3507890.221853807</x:v>
      </x:c>
      <x:c r="P615" s="132" t="n">
        <x:f>((O615+(L615-N615-'Assumptions'!$B$27-'Assumptions'!$B$28)*('Assumptions'!$B$14/12))/ABS('Monthly Cash Flow'!$S$5))^(1/('Assumptions'!$B$14/12))-1</x:f>
        <x:v>0.22161204723275096</x:v>
      </x:c>
      <x:c r="Q615" s="133" t="n">
        <x:f>-ABS('Monthly Cash Flow'!$S$5)+((L615-N615-'Assumptions'!$B$27-'Assumptions'!$B$28)*(1-(1+'Assumptions'!$B$43)^-('Assumptions'!$B$14/12))/'Assumptions'!$B$43)+(O615/(1+'Assumptions'!$B$43)^('Assumptions'!$B$14/12))</x:f>
        <x:v>894193.6190965597</x:v>
      </x:c>
    </x:row>
    <x:row r="616">
      <x:c r="A616" s="131" t="n">
        <x:f>609</x:f>
        <x:v>609</x:v>
      </x:c>
      <x:c r="B616" s="131" t="n">
        <x:f>MOD(ABS(SIN((A616+1)*12.9898+78.233)*43758.5453),1)</x:f>
        <x:v>0.6526994450923667</x:v>
      </x:c>
      <x:c r="C616" s="131" t="n">
        <x:f>MOD(ABS(SIN((A616+2)*12.9898+78.233)*43758.5453),1)</x:f>
        <x:v>0.6106384913582588</x:v>
      </x:c>
      <x:c r="D616" s="131" t="n">
        <x:f>MOD(ABS(SIN((A616+3)*12.9898+78.233)*43758.5453),1)</x:f>
        <x:v>0.18561365782807115</x:v>
      </x:c>
      <x:c r="E616" s="131" t="n">
        <x:f>MOD(ABS(SIN((A616+4)*12.9898+78.233)*43758.5453),1)</x:f>
        <x:v>0.7789179722676636</x:v>
      </x:c>
      <x:c r="F616" s="131" t="n">
        <x:f>MOD(ABS(SIN((A616+5)*12.9898+78.233)*43758.5453),1)</x:f>
        <x:v>0.47267593222204596</x:v>
      </x:c>
      <x:c r="G616" s="132" t="n">
        <x:f>IF(B616&lt;(('Assumptions'!$C$47-'Assumptions'!$B$47)/('Assumptions'!$D$47-'Assumptions'!$B$47)),'Assumptions'!$B$47+SQRT(B616*('Assumptions'!$D$47-'Assumptions'!$B$47)*('Assumptions'!$C$47-'Assumptions'!$B$47)),'Assumptions'!$D$47-SQRT((1-B616)*('Assumptions'!$D$47-'Assumptions'!$B$47)*('Assumptions'!$D$47-'Assumptions'!$C$47)))</x:f>
        <x:v>0.02545599367808213</x:v>
      </x:c>
      <x:c r="H616" s="132" t="n">
        <x:f>IF(C616&lt;(('Assumptions'!$C$48-'Assumptions'!$B$48)/('Assumptions'!$D$48-'Assumptions'!$B$48)),'Assumptions'!$B$48+SQRT(C616*('Assumptions'!$D$48-'Assumptions'!$B$48)*('Assumptions'!$C$48-'Assumptions'!$B$48)),'Assumptions'!$D$48-SQRT((1-C616)*('Assumptions'!$D$48-'Assumptions'!$B$48)*('Assumptions'!$D$48-'Assumptions'!$C$48)))</x:f>
        <x:v>0.08146470059829435</x:v>
      </x:c>
      <x:c r="I616" s="132" t="n">
        <x:f>IF(D616&lt;(('Assumptions'!$C$49-'Assumptions'!$B$49)/('Assumptions'!$D$49-'Assumptions'!$B$49)),'Assumptions'!$B$49+SQRT(D616*('Assumptions'!$D$49-'Assumptions'!$B$49)*('Assumptions'!$C$49-'Assumptions'!$B$49)),'Assumptions'!$D$49-SQRT((1-D616)*('Assumptions'!$D$49-'Assumptions'!$B$49)*('Assumptions'!$D$49-'Assumptions'!$C$49)))</x:f>
        <x:v>0.014773066731497954</x:v>
      </x:c>
      <x:c r="J616" s="132" t="n">
        <x:f>IF(E616&lt;(('Assumptions'!$C$50-'Assumptions'!$B$50)/('Assumptions'!$D$50-'Assumptions'!$B$50)),'Assumptions'!$B$50+SQRT(E616*('Assumptions'!$D$50-'Assumptions'!$B$50)*('Assumptions'!$C$50-'Assumptions'!$B$50)),'Assumptions'!$D$50-SQRT((1-E616)*('Assumptions'!$D$50-'Assumptions'!$B$50)*('Assumptions'!$D$50-'Assumptions'!$C$50)))</x:f>
        <x:v>0.07211461349712522</x:v>
      </x:c>
      <x:c r="K616" s="132" t="n">
        <x:f>IF(F616&lt;(('Assumptions'!$C$51-'Assumptions'!$B$51)/('Assumptions'!$D$51-'Assumptions'!$B$51)),'Assumptions'!$B$51+SQRT(F616*('Assumptions'!$D$51-'Assumptions'!$B$51)*('Assumptions'!$C$51-'Assumptions'!$B$51)),'Assumptions'!$D$51-SQRT((1-F616)*('Assumptions'!$D$51-'Assumptions'!$B$51)*('Assumptions'!$D$51-'Assumptions'!$C$51)))</x:f>
        <x:v>0.06906969216812994</x:v>
      </x:c>
      <x:c r="L616" s="133" t="n">
        <x:f>(('Assumptions'!$B$17*(1+G616)+'Assumptions'!$B$18)*(1-H616-'Assumptions'!$B$20)-SUM('Assumptions'!$B$21:$B$25)*(1+I616))-(('Assumptions'!$B$17*(1+G616)+'Assumptions'!$B$18)*(1-H616-'Assumptions'!$B$20)*'Assumptions'!$B$26)</x:f>
        <x:v>209820.80538909495</x:v>
      </x:c>
      <x:c r="M616" s="133" t="n">
        <x:f>'Assumptions'!$B$10*'Assumptions'!$B$33</x:f>
        <x:v>1950000</x:v>
      </x:c>
      <x:c r="N616" s="133" t="n">
        <x:f>-PMT(K616/12,'Assumptions'!$B$35*12,M616)*12</x:f>
        <x:v>154221.52580476113</x:v>
      </x:c>
      <x:c r="O616" s="133" t="n">
        <x:f>(L616*(1+'Assumptions'!$B$29)^('Assumptions'!$B$14/12)/J616)*(1-'Assumptions'!$B$42)-'Debt Schedule'!$F$9</x:f>
        <x:v>3170583.8754756525</x:v>
      </x:c>
      <x:c r="P616" s="132" t="n">
        <x:f>((O616+(L616-N616-'Assumptions'!$B$27-'Assumptions'!$B$28)*('Assumptions'!$B$14/12))/ABS('Monthly Cash Flow'!$S$5))^(1/('Assumptions'!$B$14/12))-1</x:f>
        <x:v>0.2020383110359163</x:v>
      </x:c>
      <x:c r="Q616" s="133" t="n">
        <x:f>-ABS('Monthly Cash Flow'!$S$5)+((L616-N616-'Assumptions'!$B$27-'Assumptions'!$B$28)*(1-(1+'Assumptions'!$B$43)^-('Assumptions'!$B$14/12))/'Assumptions'!$B$43)+(O616/(1+'Assumptions'!$B$43)^('Assumptions'!$B$14/12))</x:f>
        <x:v>733316.6774909613</x:v>
      </x:c>
    </x:row>
    <x:row r="617">
      <x:c r="A617" s="131" t="n">
        <x:f>610</x:f>
        <x:v>610</x:v>
      </x:c>
      <x:c r="B617" s="131" t="n">
        <x:f>MOD(ABS(SIN((A617+1)*12.9898+78.233)*43758.5453),1)</x:f>
        <x:v>0.6106384913582588</x:v>
      </x:c>
      <x:c r="C617" s="131" t="n">
        <x:f>MOD(ABS(SIN((A617+2)*12.9898+78.233)*43758.5453),1)</x:f>
        <x:v>0.18561365782807115</x:v>
      </x:c>
      <x:c r="D617" s="131" t="n">
        <x:f>MOD(ABS(SIN((A617+3)*12.9898+78.233)*43758.5453),1)</x:f>
        <x:v>0.7789179722676636</x:v>
      </x:c>
      <x:c r="E617" s="131" t="n">
        <x:f>MOD(ABS(SIN((A617+4)*12.9898+78.233)*43758.5453),1)</x:f>
        <x:v>0.47267593222204596</x:v>
      </x:c>
      <x:c r="F617" s="131" t="n">
        <x:f>MOD(ABS(SIN((A617+5)*12.9898+78.233)*43758.5453),1)</x:f>
        <x:v>0.7921341586152266</x:v>
      </x:c>
      <x:c r="G617" s="132" t="n">
        <x:f>IF(B617&lt;(('Assumptions'!$C$47-'Assumptions'!$B$47)/('Assumptions'!$D$47-'Assumptions'!$B$47)),'Assumptions'!$B$47+SQRT(B617*('Assumptions'!$D$47-'Assumptions'!$B$47)*('Assumptions'!$C$47-'Assumptions'!$B$47)),'Assumptions'!$D$47-SQRT((1-B617)*('Assumptions'!$D$47-'Assumptions'!$B$47)*('Assumptions'!$D$47-'Assumptions'!$C$47)))</x:f>
        <x:v>0.021071018388250692</x:v>
      </x:c>
      <x:c r="H617" s="132" t="n">
        <x:f>IF(C617&lt;(('Assumptions'!$C$48-'Assumptions'!$B$48)/('Assumptions'!$D$48-'Assumptions'!$B$48)),'Assumptions'!$B$48+SQRT(C617*('Assumptions'!$D$48-'Assumptions'!$B$48)*('Assumptions'!$C$48-'Assumptions'!$B$48)),'Assumptions'!$D$48-SQRT((1-C617)*('Assumptions'!$D$48-'Assumptions'!$B$48)*('Assumptions'!$D$48-'Assumptions'!$C$48)))</x:f>
        <x:v>0.05474924384365379</x:v>
      </x:c>
      <x:c r="I617" s="132" t="n">
        <x:f>IF(D617&lt;(('Assumptions'!$C$49-'Assumptions'!$B$49)/('Assumptions'!$D$49-'Assumptions'!$B$49)),'Assumptions'!$B$49+SQRT(D617*('Assumptions'!$D$49-'Assumptions'!$B$49)*('Assumptions'!$C$49-'Assumptions'!$B$49)),'Assumptions'!$D$49-SQRT((1-D617)*('Assumptions'!$D$49-'Assumptions'!$B$49)*('Assumptions'!$D$49-'Assumptions'!$C$49)))</x:f>
        <x:v>0.0808959350036594</x:v>
      </x:c>
      <x:c r="J617" s="132" t="n">
        <x:f>IF(E617&lt;(('Assumptions'!$C$50-'Assumptions'!$B$50)/('Assumptions'!$D$50-'Assumptions'!$B$50)),'Assumptions'!$B$50+SQRT(E617*('Assumptions'!$D$50-'Assumptions'!$B$50)*('Assumptions'!$C$50-'Assumptions'!$B$50)),'Assumptions'!$D$50-SQRT((1-E617)*('Assumptions'!$D$50-'Assumptions'!$B$50)*('Assumptions'!$D$50-'Assumptions'!$C$50)))</x:f>
        <x:v>0.06782174503212593</x:v>
      </x:c>
      <x:c r="K617" s="132" t="n">
        <x:f>IF(F617&lt;(('Assumptions'!$C$51-'Assumptions'!$B$51)/('Assumptions'!$D$51-'Assumptions'!$B$51)),'Assumptions'!$B$51+SQRT(F617*('Assumptions'!$D$51-'Assumptions'!$B$51)*('Assumptions'!$C$51-'Assumptions'!$B$51)),'Assumptions'!$D$51-SQRT((1-F617)*('Assumptions'!$D$51-'Assumptions'!$B$51)*('Assumptions'!$D$51-'Assumptions'!$C$51)))</x:f>
        <x:v>0.07499822834861633</x:v>
      </x:c>
      <x:c r="L617" s="133" t="n">
        <x:f>(('Assumptions'!$B$17*(1+G617)+'Assumptions'!$B$18)*(1-H617-'Assumptions'!$B$20)-SUM('Assumptions'!$B$21:$B$25)*(1+I617))-(('Assumptions'!$B$17*(1+G617)+'Assumptions'!$B$18)*(1-H617-'Assumptions'!$B$20)*'Assumptions'!$B$26)</x:f>
        <x:v>210001.53722388772</x:v>
      </x:c>
      <x:c r="M617" s="133" t="n">
        <x:f>'Assumptions'!$B$10*'Assumptions'!$B$33</x:f>
        <x:v>1950000</x:v>
      </x:c>
      <x:c r="N617" s="133" t="n">
        <x:f>-PMT(K617/12,'Assumptions'!$B$35*12,M617)*12</x:f>
        <x:v>163613.3562581623</x:v>
      </x:c>
      <x:c r="O617" s="133" t="n">
        <x:f>(L617*(1+'Assumptions'!$B$29)^('Assumptions'!$B$14/12)/J617)*(1-'Assumptions'!$B$42)-'Debt Schedule'!$F$9</x:f>
        <x:v>3374174.12805278</x:v>
      </x:c>
      <x:c r="P617" s="132" t="n">
        <x:f>((O617+(L617-N617-'Assumptions'!$B$27-'Assumptions'!$B$28)*('Assumptions'!$B$14/12))/ABS('Monthly Cash Flow'!$S$5))^(1/('Assumptions'!$B$14/12))-1</x:f>
        <x:v>0.2134767262974966</x:v>
      </x:c>
      <x:c r="Q617" s="133" t="n">
        <x:f>-ABS('Monthly Cash Flow'!$S$5)+((L617-N617-'Assumptions'!$B$27-'Assumptions'!$B$28)*(1-(1+'Assumptions'!$B$43)^-('Assumptions'!$B$14/12))/'Assumptions'!$B$43)+(O617/(1+'Assumptions'!$B$43)^('Assumptions'!$B$14/12))</x:f>
        <x:v>824812.8957079614</x:v>
      </x:c>
    </x:row>
    <x:row r="618">
      <x:c r="A618" s="131" t="n">
        <x:f>611</x:f>
        <x:v>611</x:v>
      </x:c>
      <x:c r="B618" s="131" t="n">
        <x:f>MOD(ABS(SIN((A618+1)*12.9898+78.233)*43758.5453),1)</x:f>
        <x:v>0.18561365782807115</x:v>
      </x:c>
      <x:c r="C618" s="131" t="n">
        <x:f>MOD(ABS(SIN((A618+2)*12.9898+78.233)*43758.5453),1)</x:f>
        <x:v>0.7789179722676636</x:v>
      </x:c>
      <x:c r="D618" s="131" t="n">
        <x:f>MOD(ABS(SIN((A618+3)*12.9898+78.233)*43758.5453),1)</x:f>
        <x:v>0.47267593222204596</x:v>
      </x:c>
      <x:c r="E618" s="131" t="n">
        <x:f>MOD(ABS(SIN((A618+4)*12.9898+78.233)*43758.5453),1)</x:f>
        <x:v>0.7921341586152266</x:v>
      </x:c>
      <x:c r="F618" s="131" t="n">
        <x:f>MOD(ABS(SIN((A618+5)*12.9898+78.233)*43758.5453),1)</x:f>
        <x:v>0.9968142478082882</x:v>
      </x:c>
      <x:c r="G618" s="132" t="n">
        <x:f>IF(B618&lt;(('Assumptions'!$C$47-'Assumptions'!$B$47)/('Assumptions'!$D$47-'Assumptions'!$B$47)),'Assumptions'!$B$47+SQRT(B618*('Assumptions'!$D$47-'Assumptions'!$B$47)*('Assumptions'!$C$47-'Assumptions'!$B$47)),'Assumptions'!$D$47-SQRT((1-B618)*('Assumptions'!$D$47-'Assumptions'!$B$47)*('Assumptions'!$D$47-'Assumptions'!$C$47)))</x:f>
        <x:v>-0.033256252818157514</x:v>
      </x:c>
      <x:c r="H618" s="132" t="n">
        <x:f>IF(C618&lt;(('Assumptions'!$C$48-'Assumptions'!$B$48)/('Assumptions'!$D$48-'Assumptions'!$B$48)),'Assumptions'!$B$48+SQRT(C618*('Assumptions'!$D$48-'Assumptions'!$B$48)*('Assumptions'!$C$48-'Assumptions'!$B$48)),'Assumptions'!$D$48-SQRT((1-C618)*('Assumptions'!$D$48-'Assumptions'!$B$48)*('Assumptions'!$D$48-'Assumptions'!$C$48)))</x:f>
        <x:v>0.09589192994423175</x:v>
      </x:c>
      <x:c r="I618" s="132" t="n">
        <x:f>IF(D618&lt;(('Assumptions'!$C$49-'Assumptions'!$B$49)/('Assumptions'!$D$49-'Assumptions'!$B$49)),'Assumptions'!$B$49+SQRT(D618*('Assumptions'!$D$49-'Assumptions'!$B$49)*('Assumptions'!$C$49-'Assumptions'!$B$49)),'Assumptions'!$D$49-SQRT((1-D618)*('Assumptions'!$D$49-'Assumptions'!$B$49)*('Assumptions'!$D$49-'Assumptions'!$C$49)))</x:f>
        <x:v>0.04327512068873628</x:v>
      </x:c>
      <x:c r="J618" s="132" t="n">
        <x:f>IF(E618&lt;(('Assumptions'!$C$50-'Assumptions'!$B$50)/('Assumptions'!$D$50-'Assumptions'!$B$50)),'Assumptions'!$B$50+SQRT(E618*('Assumptions'!$D$50-'Assumptions'!$B$50)*('Assumptions'!$C$50-'Assumptions'!$B$50)),'Assumptions'!$D$50-SQRT((1-E618)*('Assumptions'!$D$50-'Assumptions'!$B$50)*('Assumptions'!$D$50-'Assumptions'!$C$50)))</x:f>
        <x:v>0.07235393775270778</x:v>
      </x:c>
      <x:c r="K618" s="132" t="n">
        <x:f>IF(F618&lt;(('Assumptions'!$C$51-'Assumptions'!$B$51)/('Assumptions'!$D$51-'Assumptions'!$B$51)),'Assumptions'!$B$51+SQRT(F618*('Assumptions'!$D$51-'Assumptions'!$B$51)*('Assumptions'!$C$51-'Assumptions'!$B$51)),'Assumptions'!$D$51-SQRT((1-F618)*('Assumptions'!$D$51-'Assumptions'!$B$51)*('Assumptions'!$D$51-'Assumptions'!$C$51)))</x:f>
        <x:v>0.08376179838383997</x:v>
      </x:c>
      <x:c r="L618" s="133" t="n">
        <x:f>(('Assumptions'!$B$17*(1+G618)+'Assumptions'!$B$18)*(1-H618-'Assumptions'!$B$20)-SUM('Assumptions'!$B$21:$B$25)*(1+I618))-(('Assumptions'!$B$17*(1+G618)+'Assumptions'!$B$18)*(1-H618-'Assumptions'!$B$20)*'Assumptions'!$B$26)</x:f>
        <x:v>182724.96445617898</x:v>
      </x:c>
      <x:c r="M618" s="133" t="n">
        <x:f>'Assumptions'!$B$10*'Assumptions'!$B$33</x:f>
        <x:v>1950000</x:v>
      </x:c>
      <x:c r="N618" s="133" t="n">
        <x:f>-PMT(K618/12,'Assumptions'!$B$35*12,M618)*12</x:f>
        <x:v>177876.39253127525</x:v>
      </x:c>
      <x:c r="O618" s="133" t="n">
        <x:f>(L618*(1+'Assumptions'!$B$29)^('Assumptions'!$B$14/12)/J618)*(1-'Assumptions'!$B$42)-'Debt Schedule'!$F$9</x:f>
        <x:v>2752007.9952068566</x:v>
      </x:c>
      <x:c r="P618" s="132" t="n">
        <x:f>((O618+(L618-N618-'Assumptions'!$B$27-'Assumptions'!$B$28)*('Assumptions'!$B$14/12))/ABS('Monthly Cash Flow'!$S$5))^(1/('Assumptions'!$B$14/12))-1</x:f>
        <x:v>0.14756480116898363</x:v>
      </x:c>
      <x:c r="Q618" s="133" t="n">
        <x:f>-ABS('Monthly Cash Flow'!$S$5)+((L618-N618-'Assumptions'!$B$27-'Assumptions'!$B$28)*(1-(1+'Assumptions'!$B$43)^-('Assumptions'!$B$14/12))/'Assumptions'!$B$43)+(O618/(1+'Assumptions'!$B$43)^('Assumptions'!$B$14/12))</x:f>
        <x:v>281028.87698032614</x:v>
      </x:c>
    </x:row>
    <x:row r="619">
      <x:c r="A619" s="131" t="n">
        <x:f>612</x:f>
        <x:v>612</x:v>
      </x:c>
      <x:c r="B619" s="131" t="n">
        <x:f>MOD(ABS(SIN((A619+1)*12.9898+78.233)*43758.5453),1)</x:f>
        <x:v>0.7789179722676636</x:v>
      </x:c>
      <x:c r="C619" s="131" t="n">
        <x:f>MOD(ABS(SIN((A619+2)*12.9898+78.233)*43758.5453),1)</x:f>
        <x:v>0.47267593222204596</x:v>
      </x:c>
      <x:c r="D619" s="131" t="n">
        <x:f>MOD(ABS(SIN((A619+3)*12.9898+78.233)*43758.5453),1)</x:f>
        <x:v>0.7921341586152266</x:v>
      </x:c>
      <x:c r="E619" s="131" t="n">
        <x:f>MOD(ABS(SIN((A619+4)*12.9898+78.233)*43758.5453),1)</x:f>
        <x:v>0.9968142478082882</x:v>
      </x:c>
      <x:c r="F619" s="131" t="n">
        <x:f>MOD(ABS(SIN((A619+5)*12.9898+78.233)*43758.5453),1)</x:f>
        <x:v>0.5369054578914074</x:v>
      </x:c>
      <x:c r="G619" s="132" t="n">
        <x:f>IF(B619&lt;(('Assumptions'!$C$47-'Assumptions'!$B$47)/('Assumptions'!$D$47-'Assumptions'!$B$47)),'Assumptions'!$B$47+SQRT(B619*('Assumptions'!$D$47-'Assumptions'!$B$47)*('Assumptions'!$C$47-'Assumptions'!$B$47)),'Assumptions'!$D$47-SQRT((1-B619)*('Assumptions'!$D$47-'Assumptions'!$B$47)*('Assumptions'!$D$47-'Assumptions'!$C$47)))</x:f>
        <x:v>0.04052469046976399</x:v>
      </x:c>
      <x:c r="H619" s="132" t="n">
        <x:f>IF(C619&lt;(('Assumptions'!$C$48-'Assumptions'!$B$48)/('Assumptions'!$D$48-'Assumptions'!$B$48)),'Assumptions'!$B$48+SQRT(C619*('Assumptions'!$D$48-'Assumptions'!$B$48)*('Assumptions'!$C$48-'Assumptions'!$B$48)),'Assumptions'!$D$48-SQRT((1-C619)*('Assumptions'!$D$48-'Assumptions'!$B$48)*('Assumptions'!$D$48-'Assumptions'!$C$48)))</x:f>
        <x:v>0.07187913831691502</x:v>
      </x:c>
      <x:c r="I619" s="132" t="n">
        <x:f>IF(D619&lt;(('Assumptions'!$C$49-'Assumptions'!$B$49)/('Assumptions'!$D$49-'Assumptions'!$B$49)),'Assumptions'!$B$49+SQRT(D619*('Assumptions'!$D$49-'Assumptions'!$B$49)*('Assumptions'!$C$49-'Assumptions'!$B$49)),'Assumptions'!$D$49-SQRT((1-D619)*('Assumptions'!$D$49-'Assumptions'!$B$49)*('Assumptions'!$D$49-'Assumptions'!$C$49)))</x:f>
        <x:v>0.08299326769711042</x:v>
      </x:c>
      <x:c r="J619" s="132" t="n">
        <x:f>IF(E619&lt;(('Assumptions'!$C$50-'Assumptions'!$B$50)/('Assumptions'!$D$50-'Assumptions'!$B$50)),'Assumptions'!$B$50+SQRT(E619*('Assumptions'!$D$50-'Assumptions'!$B$50)*('Assumptions'!$C$50-'Assumptions'!$B$50)),'Assumptions'!$D$50-SQRT((1-E619)*('Assumptions'!$D$50-'Assumptions'!$B$50)*('Assumptions'!$D$50-'Assumptions'!$C$50)))</x:f>
        <x:v>0.07905343103583577</x:v>
      </x:c>
      <x:c r="K619" s="132" t="n">
        <x:f>IF(F619&lt;(('Assumptions'!$C$51-'Assumptions'!$B$51)/('Assumptions'!$D$51-'Assumptions'!$B$51)),'Assumptions'!$B$51+SQRT(F619*('Assumptions'!$D$51-'Assumptions'!$B$51)*('Assumptions'!$C$51-'Assumptions'!$B$51)),'Assumptions'!$D$51-SQRT((1-F619)*('Assumptions'!$D$51-'Assumptions'!$B$51)*('Assumptions'!$D$51-'Assumptions'!$C$51)))</x:f>
        <x:v>0.07007136146898318</x:v>
      </x:c>
      <x:c r="L619" s="133" t="n">
        <x:f>(('Assumptions'!$B$17*(1+G619)+'Assumptions'!$B$18)*(1-H619-'Assumptions'!$B$20)-SUM('Assumptions'!$B$21:$B$25)*(1+I619))-(('Assumptions'!$B$17*(1+G619)+'Assumptions'!$B$18)*(1-H619-'Assumptions'!$B$20)*'Assumptions'!$B$26)</x:f>
        <x:v>209569.13498403342</x:v>
      </x:c>
      <x:c r="M619" s="133" t="n">
        <x:f>'Assumptions'!$B$10*'Assumptions'!$B$33</x:f>
        <x:v>1950000</x:v>
      </x:c>
      <x:c r="N619" s="133" t="n">
        <x:f>-PMT(K619/12,'Assumptions'!$B$35*12,M619)*12</x:f>
        <x:v>155792.94713993603</x:v>
      </x:c>
      <x:c r="O619" s="133" t="n">
        <x:f>(L619*(1+'Assumptions'!$B$29)^('Assumptions'!$B$14/12)/J619)*(1-'Assumptions'!$B$42)-'Debt Schedule'!$F$9</x:f>
        <x:v>2888820.6124705193</x:v>
      </x:c>
      <x:c r="P619" s="132" t="n">
        <x:f>((O619+(L619-N619-'Assumptions'!$B$27-'Assumptions'!$B$28)*('Assumptions'!$B$14/12))/ABS('Monthly Cash Flow'!$S$5))^(1/('Assumptions'!$B$14/12))-1</x:f>
        <x:v>0.17969695622613724</x:v>
      </x:c>
      <x:c r="Q619" s="133" t="n">
        <x:f>-ABS('Monthly Cash Flow'!$S$5)+((L619-N619-'Assumptions'!$B$27-'Assumptions'!$B$28)*(1-(1+'Assumptions'!$B$43)^-('Assumptions'!$B$14/12))/'Assumptions'!$B$43)+(O619/(1+'Assumptions'!$B$43)^('Assumptions'!$B$14/12))</x:f>
        <x:v>551452.9073880431</x:v>
      </x:c>
    </x:row>
    <x:row r="620">
      <x:c r="A620" s="131" t="n">
        <x:f>613</x:f>
        <x:v>613</x:v>
      </x:c>
      <x:c r="B620" s="131" t="n">
        <x:f>MOD(ABS(SIN((A620+1)*12.9898+78.233)*43758.5453),1)</x:f>
        <x:v>0.47267593222204596</x:v>
      </x:c>
      <x:c r="C620" s="131" t="n">
        <x:f>MOD(ABS(SIN((A620+2)*12.9898+78.233)*43758.5453),1)</x:f>
        <x:v>0.7921341586152266</x:v>
      </x:c>
      <x:c r="D620" s="131" t="n">
        <x:f>MOD(ABS(SIN((A620+3)*12.9898+78.233)*43758.5453),1)</x:f>
        <x:v>0.9968142478082882</x:v>
      </x:c>
      <x:c r="E620" s="131" t="n">
        <x:f>MOD(ABS(SIN((A620+4)*12.9898+78.233)*43758.5453),1)</x:f>
        <x:v>0.5369054578914074</x:v>
      </x:c>
      <x:c r="F620" s="131" t="n">
        <x:f>MOD(ABS(SIN((A620+5)*12.9898+78.233)*43758.5453),1)</x:f>
        <x:v>0.8498878731043078</x:v>
      </x:c>
      <x:c r="G620" s="132" t="n">
        <x:f>IF(B620&lt;(('Assumptions'!$C$47-'Assumptions'!$B$47)/('Assumptions'!$D$47-'Assumptions'!$B$47)),'Assumptions'!$B$47+SQRT(B620*('Assumptions'!$D$47-'Assumptions'!$B$47)*('Assumptions'!$C$47-'Assumptions'!$B$47)),'Assumptions'!$D$47-SQRT((1-B620)*('Assumptions'!$D$47-'Assumptions'!$B$47)*('Assumptions'!$D$47-'Assumptions'!$C$47)))</x:f>
        <x:v>0.006509259566148062</x:v>
      </x:c>
      <x:c r="H620" s="132" t="n">
        <x:f>IF(C620&lt;(('Assumptions'!$C$48-'Assumptions'!$B$48)/('Assumptions'!$D$48-'Assumptions'!$B$48)),'Assumptions'!$B$48+SQRT(C620*('Assumptions'!$D$48-'Assumptions'!$B$48)*('Assumptions'!$C$48-'Assumptions'!$B$48)),'Assumptions'!$D$48-SQRT((1-C620)*('Assumptions'!$D$48-'Assumptions'!$B$48)*('Assumptions'!$D$48-'Assumptions'!$C$48)))</x:f>
        <x:v>0.09723062539402749</x:v>
      </x:c>
      <x:c r="I620" s="132" t="n">
        <x:f>IF(D620&lt;(('Assumptions'!$C$49-'Assumptions'!$B$49)/('Assumptions'!$D$49-'Assumptions'!$B$49)),'Assumptions'!$B$49+SQRT(D620*('Assumptions'!$D$49-'Assumptions'!$B$49)*('Assumptions'!$C$49-'Assumptions'!$B$49)),'Assumptions'!$D$49-SQRT((1-D620)*('Assumptions'!$D$49-'Assumptions'!$B$49)*('Assumptions'!$D$49-'Assumptions'!$C$49)))</x:f>
        <x:v>0.14170468521748722</x:v>
      </x:c>
      <x:c r="J620" s="132" t="n">
        <x:f>IF(E620&lt;(('Assumptions'!$C$50-'Assumptions'!$B$50)/('Assumptions'!$D$50-'Assumptions'!$B$50)),'Assumptions'!$B$50+SQRT(E620*('Assumptions'!$D$50-'Assumptions'!$B$50)*('Assumptions'!$C$50-'Assumptions'!$B$50)),'Assumptions'!$D$50-SQRT((1-E620)*('Assumptions'!$D$50-'Assumptions'!$B$50)*('Assumptions'!$D$50-'Assumptions'!$C$50)))</x:f>
        <x:v>0.06858749195101964</x:v>
      </x:c>
      <x:c r="K620" s="132" t="n">
        <x:f>IF(F620&lt;(('Assumptions'!$C$51-'Assumptions'!$B$51)/('Assumptions'!$D$51-'Assumptions'!$B$51)),'Assumptions'!$B$51+SQRT(F620*('Assumptions'!$D$51-'Assumptions'!$B$51)*('Assumptions'!$C$51-'Assumptions'!$B$51)),'Assumptions'!$D$51-SQRT((1-F620)*('Assumptions'!$D$51-'Assumptions'!$B$51)*('Assumptions'!$D$51-'Assumptions'!$C$51)))</x:f>
        <x:v>0.07650050230492697</x:v>
      </x:c>
      <x:c r="L620" s="133" t="n">
        <x:f>(('Assumptions'!$B$17*(1+G620)+'Assumptions'!$B$18)*(1-H620-'Assumptions'!$B$20)-SUM('Assumptions'!$B$21:$B$25)*(1+I620))-(('Assumptions'!$B$17*(1+G620)+'Assumptions'!$B$18)*(1-H620-'Assumptions'!$B$20)*'Assumptions'!$B$26)</x:f>
        <x:v>182121.73439941328</x:v>
      </x:c>
      <x:c r="M620" s="133" t="n">
        <x:f>'Assumptions'!$B$10*'Assumptions'!$B$33</x:f>
        <x:v>1950000</x:v>
      </x:c>
      <x:c r="N620" s="133" t="n">
        <x:f>-PMT(K620/12,'Assumptions'!$B$35*12,M620)*12</x:f>
        <x:v>166027.16135121122</x:v>
      </x:c>
      <x:c r="O620" s="133" t="n">
        <x:f>(L620*(1+'Assumptions'!$B$29)^('Assumptions'!$B$14/12)/J620)*(1-'Assumptions'!$B$42)-'Debt Schedule'!$F$9</x:f>
        <x:v>2893548.941754131</x:v>
      </x:c>
      <x:c r="P620" s="132" t="n">
        <x:f>((O620+(L620-N620-'Assumptions'!$B$27-'Assumptions'!$B$28)*('Assumptions'!$B$14/12))/ABS('Monthly Cash Flow'!$S$5))^(1/('Assumptions'!$B$14/12))-1</x:f>
        <x:v>0.16466644483099846</x:v>
      </x:c>
      <x:c r="Q620" s="133" t="n">
        <x:f>-ABS('Monthly Cash Flow'!$S$5)+((L620-N620-'Assumptions'!$B$27-'Assumptions'!$B$28)*(1-(1+'Assumptions'!$B$43)^-('Assumptions'!$B$14/12))/'Assumptions'!$B$43)+(O620/(1+'Assumptions'!$B$43)^('Assumptions'!$B$14/12))</x:f>
        <x:v>411545.86104445695</x:v>
      </x:c>
    </x:row>
    <x:row r="621">
      <x:c r="A621" s="131" t="n">
        <x:f>614</x:f>
        <x:v>614</x:v>
      </x:c>
      <x:c r="B621" s="131" t="n">
        <x:f>MOD(ABS(SIN((A621+1)*12.9898+78.233)*43758.5453),1)</x:f>
        <x:v>0.7921341586152266</x:v>
      </x:c>
      <x:c r="C621" s="131" t="n">
        <x:f>MOD(ABS(SIN((A621+2)*12.9898+78.233)*43758.5453),1)</x:f>
        <x:v>0.9968142478082882</x:v>
      </x:c>
      <x:c r="D621" s="131" t="n">
        <x:f>MOD(ABS(SIN((A621+3)*12.9898+78.233)*43758.5453),1)</x:f>
        <x:v>0.5369054578914074</x:v>
      </x:c>
      <x:c r="E621" s="131" t="n">
        <x:f>MOD(ABS(SIN((A621+4)*12.9898+78.233)*43758.5453),1)</x:f>
        <x:v>0.8498878731043078</x:v>
      </x:c>
      <x:c r="F621" s="131" t="n">
        <x:f>MOD(ABS(SIN((A621+5)*12.9898+78.233)*43758.5453),1)</x:f>
        <x:v>0.08592189918272197</x:v>
      </x:c>
      <x:c r="G621" s="132" t="n">
        <x:f>IF(B621&lt;(('Assumptions'!$C$47-'Assumptions'!$B$47)/('Assumptions'!$D$47-'Assumptions'!$B$47)),'Assumptions'!$B$47+SQRT(B621*('Assumptions'!$D$47-'Assumptions'!$B$47)*('Assumptions'!$C$47-'Assumptions'!$B$47)),'Assumptions'!$D$47-SQRT((1-B621)*('Assumptions'!$D$47-'Assumptions'!$B$47)*('Assumptions'!$D$47-'Assumptions'!$C$47)))</x:f>
        <x:v>0.042329787046028924</x:v>
      </x:c>
      <x:c r="H621" s="132" t="n">
        <x:f>IF(C621&lt;(('Assumptions'!$C$48-'Assumptions'!$B$48)/('Assumptions'!$D$48-'Assumptions'!$B$48)),'Assumptions'!$B$48+SQRT(C621*('Assumptions'!$D$48-'Assumptions'!$B$48)*('Assumptions'!$C$48-'Assumptions'!$B$48)),'Assumptions'!$D$48-SQRT((1-C621)*('Assumptions'!$D$48-'Assumptions'!$B$48)*('Assumptions'!$D$48-'Assumptions'!$C$48)))</x:f>
        <x:v>0.1347052271732336</x:v>
      </x:c>
      <x:c r="I621" s="132" t="n">
        <x:f>IF(D621&lt;(('Assumptions'!$C$49-'Assumptions'!$B$49)/('Assumptions'!$D$49-'Assumptions'!$B$49)),'Assumptions'!$B$49+SQRT(D621*('Assumptions'!$D$49-'Assumptions'!$B$49)*('Assumptions'!$C$49-'Assumptions'!$B$49)),'Assumptions'!$D$49-SQRT((1-D621)*('Assumptions'!$D$49-'Assumptions'!$B$49)*('Assumptions'!$D$49-'Assumptions'!$C$49)))</x:f>
        <x:v>0.04998579046182687</x:v>
      </x:c>
      <x:c r="J621" s="132" t="n">
        <x:f>IF(E621&lt;(('Assumptions'!$C$50-'Assumptions'!$B$50)/('Assumptions'!$D$50-'Assumptions'!$B$50)),'Assumptions'!$B$50+SQRT(E621*('Assumptions'!$D$50-'Assumptions'!$B$50)*('Assumptions'!$C$50-'Assumptions'!$B$50)),'Assumptions'!$D$50-SQRT((1-E621)*('Assumptions'!$D$50-'Assumptions'!$B$50)*('Assumptions'!$D$50-'Assumptions'!$C$50)))</x:f>
        <x:v>0.07350238230661318</x:v>
      </x:c>
      <x:c r="K621" s="132" t="n">
        <x:f>IF(F621&lt;(('Assumptions'!$C$51-'Assumptions'!$B$51)/('Assumptions'!$D$51-'Assumptions'!$B$51)),'Assumptions'!$B$51+SQRT(F621*('Assumptions'!$D$51-'Assumptions'!$B$51)*('Assumptions'!$C$51-'Assumptions'!$B$51)),'Assumptions'!$D$51-SQRT((1-F621)*('Assumptions'!$D$51-'Assumptions'!$B$51)*('Assumptions'!$D$51-'Assumptions'!$C$51)))</x:f>
        <x:v>0.062360917842881995</x:v>
      </x:c>
      <x:c r="L621" s="133" t="n">
        <x:f>(('Assumptions'!$B$17*(1+G621)+'Assumptions'!$B$18)*(1-H621-'Assumptions'!$B$20)-SUM('Assumptions'!$B$21:$B$25)*(1+I621))-(('Assumptions'!$B$17*(1+G621)+'Assumptions'!$B$18)*(1-H621-'Assumptions'!$B$20)*'Assumptions'!$B$26)</x:f>
        <x:v>190583.4139629358</x:v>
      </x:c>
      <x:c r="M621" s="133" t="n">
        <x:f>'Assumptions'!$B$10*'Assumptions'!$B$33</x:f>
        <x:v>1950000</x:v>
      </x:c>
      <x:c r="N621" s="133" t="n">
        <x:f>-PMT(K621/12,'Assumptions'!$B$35*12,M621)*12</x:f>
        <x:v>143866.22316853204</x:v>
      </x:c>
      <x:c r="O621" s="133" t="n">
        <x:f>(L621*(1+'Assumptions'!$B$29)^('Assumptions'!$B$14/12)/J621)*(1-'Assumptions'!$B$42)-'Debt Schedule'!$F$9</x:f>
        <x:v>2825515.304858377</x:v>
      </x:c>
      <x:c r="P621" s="132" t="n">
        <x:f>((O621+(L621-N621-'Assumptions'!$B$27-'Assumptions'!$B$28)*('Assumptions'!$B$14/12))/ABS('Monthly Cash Flow'!$S$5))^(1/('Assumptions'!$B$14/12))-1</x:f>
        <x:v>0.17172446104249128</x:v>
      </x:c>
      <x:c r="Q621" s="133" t="n">
        <x:f>-ABS('Monthly Cash Flow'!$S$5)+((L621-N621-'Assumptions'!$B$27-'Assumptions'!$B$28)*(1-(1+'Assumptions'!$B$43)^-('Assumptions'!$B$14/12))/'Assumptions'!$B$43)+(O621/(1+'Assumptions'!$B$43)^('Assumptions'!$B$14/12))</x:f>
        <x:v>485386.13940757303</x:v>
      </x:c>
    </x:row>
    <x:row r="622">
      <x:c r="A622" s="131" t="n">
        <x:f>615</x:f>
        <x:v>615</x:v>
      </x:c>
      <x:c r="B622" s="131" t="n">
        <x:f>MOD(ABS(SIN((A622+1)*12.9898+78.233)*43758.5453),1)</x:f>
        <x:v>0.9968142478082882</x:v>
      </x:c>
      <x:c r="C622" s="131" t="n">
        <x:f>MOD(ABS(SIN((A622+2)*12.9898+78.233)*43758.5453),1)</x:f>
        <x:v>0.5369054578914074</x:v>
      </x:c>
      <x:c r="D622" s="131" t="n">
        <x:f>MOD(ABS(SIN((A622+3)*12.9898+78.233)*43758.5453),1)</x:f>
        <x:v>0.8498878731043078</x:v>
      </x:c>
      <x:c r="E622" s="131" t="n">
        <x:f>MOD(ABS(SIN((A622+4)*12.9898+78.233)*43758.5453),1)</x:f>
        <x:v>0.08592189918272197</x:v>
      </x:c>
      <x:c r="F622" s="131" t="n">
        <x:f>MOD(ABS(SIN((A622+5)*12.9898+78.233)*43758.5453),1)</x:f>
        <x:v>0.9991272981278598</x:v>
      </x:c>
      <x:c r="G622" s="132" t="n">
        <x:f>IF(B622&lt;(('Assumptions'!$C$47-'Assumptions'!$B$47)/('Assumptions'!$D$47-'Assumptions'!$B$47)),'Assumptions'!$B$47+SQRT(B622*('Assumptions'!$D$47-'Assumptions'!$B$47)*('Assumptions'!$C$47-'Assumptions'!$B$47)),'Assumptions'!$D$47-SQRT((1-B622)*('Assumptions'!$D$47-'Assumptions'!$B$47)*('Assumptions'!$D$47-'Assumptions'!$C$47)))</x:f>
        <x:v>0.09286052977683998</x:v>
      </x:c>
      <x:c r="H622" s="132" t="n">
        <x:f>IF(C622&lt;(('Assumptions'!$C$48-'Assumptions'!$B$48)/('Assumptions'!$D$48-'Assumptions'!$B$48)),'Assumptions'!$B$48+SQRT(C622*('Assumptions'!$D$48-'Assumptions'!$B$48)*('Assumptions'!$C$48-'Assumptions'!$B$48)),'Assumptions'!$D$48-SQRT((1-C622)*('Assumptions'!$D$48-'Assumptions'!$B$48)*('Assumptions'!$D$48-'Assumptions'!$C$48)))</x:f>
        <x:v>0.07616245641822036</x:v>
      </x:c>
      <x:c r="I622" s="132" t="n">
        <x:f>IF(D622&lt;(('Assumptions'!$C$49-'Assumptions'!$B$49)/('Assumptions'!$D$49-'Assumptions'!$B$49)),'Assumptions'!$B$49+SQRT(D622*('Assumptions'!$D$49-'Assumptions'!$B$49)*('Assumptions'!$C$49-'Assumptions'!$B$49)),'Assumptions'!$D$49-SQRT((1-D622)*('Assumptions'!$D$49-'Assumptions'!$B$49)*('Assumptions'!$D$49-'Assumptions'!$C$49)))</x:f>
        <x:v>0.09305773150859767</x:v>
      </x:c>
      <x:c r="J622" s="132" t="n">
        <x:f>IF(E622&lt;(('Assumptions'!$C$50-'Assumptions'!$B$50)/('Assumptions'!$D$50-'Assumptions'!$B$50)),'Assumptions'!$B$50+SQRT(E622*('Assumptions'!$D$50-'Assumptions'!$B$50)*('Assumptions'!$C$50-'Assumptions'!$B$50)),'Assumptions'!$D$50-SQRT((1-E622)*('Assumptions'!$D$50-'Assumptions'!$B$50)*('Assumptions'!$D$50-'Assumptions'!$C$50)))</x:f>
        <x:v>0.06189686562406818</x:v>
      </x:c>
      <x:c r="K622" s="132" t="n">
        <x:f>IF(F622&lt;(('Assumptions'!$C$51-'Assumptions'!$B$51)/('Assumptions'!$D$51-'Assumptions'!$B$51)),'Assumptions'!$B$51+SQRT(F622*('Assumptions'!$D$51-'Assumptions'!$B$51)*('Assumptions'!$C$51-'Assumptions'!$B$51)),'Assumptions'!$D$51-SQRT((1-F622)*('Assumptions'!$D$51-'Assumptions'!$B$51)*('Assumptions'!$D$51-'Assumptions'!$C$51)))</x:f>
        <x:v>0.0843519353612737</x:v>
      </x:c>
      <x:c r="L622" s="133" t="n">
        <x:f>(('Assumptions'!$B$17*(1+G622)+'Assumptions'!$B$18)*(1-H622-'Assumptions'!$B$20)-SUM('Assumptions'!$B$21:$B$25)*(1+I622))-(('Assumptions'!$B$17*(1+G622)+'Assumptions'!$B$18)*(1-H622-'Assumptions'!$B$20)*'Assumptions'!$B$26)</x:f>
        <x:v>223215.51556523377</x:v>
      </x:c>
      <x:c r="M622" s="133" t="n">
        <x:f>'Assumptions'!$B$10*'Assumptions'!$B$33</x:f>
        <x:v>1950000</x:v>
      </x:c>
      <x:c r="N622" s="133" t="n">
        <x:f>-PMT(K622/12,'Assumptions'!$B$35*12,M622)*12</x:f>
        <x:v>178852.12424153206</x:v>
      </x:c>
      <x:c r="O622" s="133" t="n">
        <x:f>(L622*(1+'Assumptions'!$B$29)^('Assumptions'!$B$14/12)/J622)*(1-'Assumptions'!$B$42)-'Debt Schedule'!$F$9</x:f>
        <x:v>3929793.215104637</x:v>
      </x:c>
      <x:c r="P622" s="132" t="n">
        <x:f>((O622+(L622-N622-'Assumptions'!$B$27-'Assumptions'!$B$28)*('Assumptions'!$B$14/12))/ABS('Monthly Cash Flow'!$S$5))^(1/('Assumptions'!$B$14/12))-1</x:f>
        <x:v>0.2500702163424313</x:v>
      </x:c>
      <x:c r="Q622" s="133" t="n">
        <x:f>-ABS('Monthly Cash Flow'!$S$5)+((L622-N622-'Assumptions'!$B$27-'Assumptions'!$B$28)*(1-(1+'Assumptions'!$B$43)^-('Assumptions'!$B$14/12))/'Assumptions'!$B$43)+(O622/(1+'Assumptions'!$B$43)^('Assumptions'!$B$14/12))</x:f>
        <x:v>1162133.0885713017</x:v>
      </x:c>
    </x:row>
    <x:row r="623">
      <x:c r="A623" s="131" t="n">
        <x:f>616</x:f>
        <x:v>616</x:v>
      </x:c>
      <x:c r="B623" s="131" t="n">
        <x:f>MOD(ABS(SIN((A623+1)*12.9898+78.233)*43758.5453),1)</x:f>
        <x:v>0.5369054578914074</x:v>
      </x:c>
      <x:c r="C623" s="131" t="n">
        <x:f>MOD(ABS(SIN((A623+2)*12.9898+78.233)*43758.5453),1)</x:f>
        <x:v>0.8498878731043078</x:v>
      </x:c>
      <x:c r="D623" s="131" t="n">
        <x:f>MOD(ABS(SIN((A623+3)*12.9898+78.233)*43758.5453),1)</x:f>
        <x:v>0.08592189918272197</x:v>
      </x:c>
      <x:c r="E623" s="131" t="n">
        <x:f>MOD(ABS(SIN((A623+4)*12.9898+78.233)*43758.5453),1)</x:f>
        <x:v>0.9991272981278598</x:v>
      </x:c>
      <x:c r="F623" s="131" t="n">
        <x:f>MOD(ABS(SIN((A623+5)*12.9898+78.233)*43758.5453),1)</x:f>
        <x:v>0.28629348030517576</x:v>
      </x:c>
      <x:c r="G623" s="132" t="n">
        <x:f>IF(B623&lt;(('Assumptions'!$C$47-'Assumptions'!$B$47)/('Assumptions'!$D$47-'Assumptions'!$B$47)),'Assumptions'!$B$47+SQRT(B623*('Assumptions'!$D$47-'Assumptions'!$B$47)*('Assumptions'!$C$47-'Assumptions'!$B$47)),'Assumptions'!$D$47-SQRT((1-B623)*('Assumptions'!$D$47-'Assumptions'!$B$47)*('Assumptions'!$D$47-'Assumptions'!$C$47)))</x:f>
        <x:v>0.013515333719254771</x:v>
      </x:c>
      <x:c r="H623" s="132" t="n">
        <x:f>IF(C623&lt;(('Assumptions'!$C$48-'Assumptions'!$B$48)/('Assumptions'!$D$48-'Assumptions'!$B$48)),'Assumptions'!$B$48+SQRT(C623*('Assumptions'!$D$48-'Assumptions'!$B$48)*('Assumptions'!$C$48-'Assumptions'!$B$48)),'Assumptions'!$D$48-SQRT((1-C623)*('Assumptions'!$D$48-'Assumptions'!$B$48)*('Assumptions'!$D$48-'Assumptions'!$C$48)))</x:f>
        <x:v>0.10365461904612787</x:v>
      </x:c>
      <x:c r="I623" s="132" t="n">
        <x:f>IF(D623&lt;(('Assumptions'!$C$49-'Assumptions'!$B$49)/('Assumptions'!$D$49-'Assumptions'!$B$49)),'Assumptions'!$B$49+SQRT(D623*('Assumptions'!$D$49-'Assumptions'!$B$49)*('Assumptions'!$C$49-'Assumptions'!$B$49)),'Assumptions'!$D$49-SQRT((1-D623)*('Assumptions'!$D$49-'Assumptions'!$B$49)*('Assumptions'!$D$49-'Assumptions'!$C$49)))</x:f>
        <x:v>0.00046237861975649205</x:v>
      </x:c>
      <x:c r="J623" s="132" t="n">
        <x:f>IF(E623&lt;(('Assumptions'!$C$50-'Assumptions'!$B$50)/('Assumptions'!$D$50-'Assumptions'!$B$50)),'Assumptions'!$B$50+SQRT(E623*('Assumptions'!$D$50-'Assumptions'!$B$50)*('Assumptions'!$C$50-'Assumptions'!$B$50)),'Assumptions'!$D$50-SQRT((1-E623)*('Assumptions'!$D$50-'Assumptions'!$B$50)*('Assumptions'!$D$50-'Assumptions'!$C$50)))</x:f>
        <x:v>0.07950457351550465</x:v>
      </x:c>
      <x:c r="K623" s="132" t="n">
        <x:f>IF(F623&lt;(('Assumptions'!$C$51-'Assumptions'!$B$51)/('Assumptions'!$D$51-'Assumptions'!$B$51)),'Assumptions'!$B$51+SQRT(F623*('Assumptions'!$D$51-'Assumptions'!$B$51)*('Assumptions'!$C$51-'Assumptions'!$B$51)),'Assumptions'!$D$51-SQRT((1-F623)*('Assumptions'!$D$51-'Assumptions'!$B$51)*('Assumptions'!$D$51-'Assumptions'!$C$51)))</x:f>
        <x:v>0.06637303257538951</x:v>
      </x:c>
      <x:c r="L623" s="133" t="n">
        <x:f>(('Assumptions'!$B$17*(1+G623)+'Assumptions'!$B$18)*(1-H623-'Assumptions'!$B$20)-SUM('Assumptions'!$B$21:$B$25)*(1+I623))-(('Assumptions'!$B$17*(1+G623)+'Assumptions'!$B$18)*(1-H623-'Assumptions'!$B$20)*'Assumptions'!$B$26)</x:f>
        <x:v>199718.78218348883</x:v>
      </x:c>
      <x:c r="M623" s="133" t="n">
        <x:f>'Assumptions'!$B$10*'Assumptions'!$B$33</x:f>
        <x:v>1950000</x:v>
      </x:c>
      <x:c r="N623" s="133" t="n">
        <x:f>-PMT(K623/12,'Assumptions'!$B$35*12,M623)*12</x:f>
        <x:v>150023.17515531406</x:v>
      </x:c>
      <x:c r="O623" s="133" t="n">
        <x:f>(L623*(1+'Assumptions'!$B$29)^('Assumptions'!$B$14/12)/J623)*(1-'Assumptions'!$B$42)-'Debt Schedule'!$F$9</x:f>
        <x:v>2737415.8282036367</x:v>
      </x:c>
      <x:c r="P623" s="132" t="n">
        <x:f>((O623+(L623-N623-'Assumptions'!$B$27-'Assumptions'!$B$28)*('Assumptions'!$B$14/12))/ABS('Monthly Cash Flow'!$S$5))^(1/('Assumptions'!$B$14/12))-1</x:f>
        <x:v>0.16566163354481378</x:v>
      </x:c>
      <x:c r="Q623" s="133" t="n">
        <x:f>-ABS('Monthly Cash Flow'!$S$5)+((L623-N623-'Assumptions'!$B$27-'Assumptions'!$B$28)*(1-(1+'Assumptions'!$B$43)^-('Assumptions'!$B$14/12))/'Assumptions'!$B$43)+(O623/(1+'Assumptions'!$B$43)^('Assumptions'!$B$14/12))</x:f>
        <x:v>441973.83665506286</x:v>
      </x:c>
    </x:row>
    <x:row r="624">
      <x:c r="A624" s="131" t="n">
        <x:f>617</x:f>
        <x:v>617</x:v>
      </x:c>
      <x:c r="B624" s="131" t="n">
        <x:f>MOD(ABS(SIN((A624+1)*12.9898+78.233)*43758.5453),1)</x:f>
        <x:v>0.8498878731043078</x:v>
      </x:c>
      <x:c r="C624" s="131" t="n">
        <x:f>MOD(ABS(SIN((A624+2)*12.9898+78.233)*43758.5453),1)</x:f>
        <x:v>0.08592189918272197</x:v>
      </x:c>
      <x:c r="D624" s="131" t="n">
        <x:f>MOD(ABS(SIN((A624+3)*12.9898+78.233)*43758.5453),1)</x:f>
        <x:v>0.9991272981278598</x:v>
      </x:c>
      <x:c r="E624" s="131" t="n">
        <x:f>MOD(ABS(SIN((A624+4)*12.9898+78.233)*43758.5453),1)</x:f>
        <x:v>0.28629348030517576</x:v>
      </x:c>
      <x:c r="F624" s="131" t="n">
        <x:f>MOD(ABS(SIN((A624+5)*12.9898+78.233)*43758.5453),1)</x:f>
        <x:v>0.5064308475994039</x:v>
      </x:c>
      <x:c r="G624" s="132" t="n">
        <x:f>IF(B624&lt;(('Assumptions'!$C$47-'Assumptions'!$B$47)/('Assumptions'!$D$47-'Assumptions'!$B$47)),'Assumptions'!$B$47+SQRT(B624*('Assumptions'!$D$47-'Assumptions'!$B$47)*('Assumptions'!$C$47-'Assumptions'!$B$47)),'Assumptions'!$D$47-SQRT((1-B624)*('Assumptions'!$D$47-'Assumptions'!$B$47)*('Assumptions'!$D$47-'Assumptions'!$C$47)))</x:f>
        <x:v>0.050991898319450536</x:v>
      </x:c>
      <x:c r="H624" s="132" t="n">
        <x:f>IF(C624&lt;(('Assumptions'!$C$48-'Assumptions'!$B$48)/('Assumptions'!$D$48-'Assumptions'!$B$48)),'Assumptions'!$B$48+SQRT(C624*('Assumptions'!$D$48-'Assumptions'!$B$48)*('Assumptions'!$C$48-'Assumptions'!$B$48)),'Assumptions'!$D$48-SQRT((1-C624)*('Assumptions'!$D$48-'Assumptions'!$B$48)*('Assumptions'!$D$48-'Assumptions'!$C$48)))</x:f>
        <x:v>0.046838713350579445</x:v>
      </x:c>
      <x:c r="I624" s="132" t="n">
        <x:f>IF(D624&lt;(('Assumptions'!$C$49-'Assumptions'!$B$49)/('Assumptions'!$D$49-'Assumptions'!$B$49)),'Assumptions'!$B$49+SQRT(D624*('Assumptions'!$D$49-'Assumptions'!$B$49)*('Assumptions'!$C$49-'Assumptions'!$B$49)),'Assumptions'!$D$49-SQRT((1-D624)*('Assumptions'!$D$49-'Assumptions'!$B$49)*('Assumptions'!$D$49-'Assumptions'!$C$49)))</x:f>
        <x:v>0.14565829982170259</x:v>
      </x:c>
      <x:c r="J624" s="132" t="n">
        <x:f>IF(E624&lt;(('Assumptions'!$C$50-'Assumptions'!$B$50)/('Assumptions'!$D$50-'Assumptions'!$B$50)),'Assumptions'!$B$50+SQRT(E624*('Assumptions'!$D$50-'Assumptions'!$B$50)*('Assumptions'!$C$50-'Assumptions'!$B$50)),'Assumptions'!$D$50-SQRT((1-E624)*('Assumptions'!$D$50-'Assumptions'!$B$50)*('Assumptions'!$D$50-'Assumptions'!$C$50)))</x:f>
        <x:v>0.06552595994686397</x:v>
      </x:c>
      <x:c r="K624" s="132" t="n">
        <x:f>IF(F624&lt;(('Assumptions'!$C$51-'Assumptions'!$B$51)/('Assumptions'!$D$51-'Assumptions'!$B$51)),'Assumptions'!$B$51+SQRT(F624*('Assumptions'!$D$51-'Assumptions'!$B$51)*('Assumptions'!$C$51-'Assumptions'!$B$51)),'Assumptions'!$D$51-SQRT((1-F624)*('Assumptions'!$D$51-'Assumptions'!$B$51)*('Assumptions'!$D$51-'Assumptions'!$C$51)))</x:f>
        <x:v>0.06958798667945078</x:v>
      </x:c>
      <x:c r="L624" s="133" t="n">
        <x:f>(('Assumptions'!$B$17*(1+G624)+'Assumptions'!$B$18)*(1-H624-'Assumptions'!$B$20)-SUM('Assumptions'!$B$21:$B$25)*(1+I624))-(('Assumptions'!$B$17*(1+G624)+'Assumptions'!$B$18)*(1-H624-'Assumptions'!$B$20)*'Assumptions'!$B$26)</x:f>
        <x:v>214522.56470000977</x:v>
      </x:c>
      <x:c r="M624" s="133" t="n">
        <x:f>'Assumptions'!$B$10*'Assumptions'!$B$33</x:f>
        <x:v>1950000</x:v>
      </x:c>
      <x:c r="N624" s="133" t="n">
        <x:f>-PMT(K624/12,'Assumptions'!$B$35*12,M624)*12</x:f>
        <x:v>155033.82920637744</x:v>
      </x:c>
      <x:c r="O624" s="133" t="n">
        <x:f>(L624*(1+'Assumptions'!$B$29)^('Assumptions'!$B$14/12)/J624)*(1-'Assumptions'!$B$42)-'Debt Schedule'!$F$9</x:f>
        <x:v>3567578.7266922714</x:v>
      </x:c>
      <x:c r="P624" s="132" t="n">
        <x:f>((O624+(L624-N624-'Assumptions'!$B$27-'Assumptions'!$B$28)*('Assumptions'!$B$14/12))/ABS('Monthly Cash Flow'!$S$5))^(1/('Assumptions'!$B$14/12))-1</x:f>
        <x:v>0.23138799652887965</x:v>
      </x:c>
      <x:c r="Q624" s="133" t="n">
        <x:f>-ABS('Monthly Cash Flow'!$S$5)+((L624-N624-'Assumptions'!$B$27-'Assumptions'!$B$28)*(1-(1+'Assumptions'!$B$43)^-('Assumptions'!$B$14/12))/'Assumptions'!$B$43)+(O624/(1+'Assumptions'!$B$43)^('Assumptions'!$B$14/12))</x:f>
        <x:v>994563.3437572231</x:v>
      </x:c>
    </x:row>
    <x:row r="625">
      <x:c r="A625" s="131" t="n">
        <x:f>618</x:f>
        <x:v>618</x:v>
      </x:c>
      <x:c r="B625" s="131" t="n">
        <x:f>MOD(ABS(SIN((A625+1)*12.9898+78.233)*43758.5453),1)</x:f>
        <x:v>0.08592189918272197</x:v>
      </x:c>
      <x:c r="C625" s="131" t="n">
        <x:f>MOD(ABS(SIN((A625+2)*12.9898+78.233)*43758.5453),1)</x:f>
        <x:v>0.9991272981278598</x:v>
      </x:c>
      <x:c r="D625" s="131" t="n">
        <x:f>MOD(ABS(SIN((A625+3)*12.9898+78.233)*43758.5453),1)</x:f>
        <x:v>0.28629348030517576</x:v>
      </x:c>
      <x:c r="E625" s="131" t="n">
        <x:f>MOD(ABS(SIN((A625+4)*12.9898+78.233)*43758.5453),1)</x:f>
        <x:v>0.5064308475994039</x:v>
      </x:c>
      <x:c r="F625" s="131" t="n">
        <x:f>MOD(ABS(SIN((A625+5)*12.9898+78.233)*43758.5453),1)</x:f>
        <x:v>0.1616770484324661</x:v>
      </x:c>
      <x:c r="G625" s="132" t="n">
        <x:f>IF(B625&lt;(('Assumptions'!$C$47-'Assumptions'!$B$47)/('Assumptions'!$D$47-'Assumptions'!$B$47)),'Assumptions'!$B$47+SQRT(B625*('Assumptions'!$D$47-'Assumptions'!$B$47)*('Assumptions'!$C$47-'Assumptions'!$B$47)),'Assumptions'!$D$47-SQRT((1-B625)*('Assumptions'!$D$47-'Assumptions'!$B$47)*('Assumptions'!$D$47-'Assumptions'!$C$47)))</x:f>
        <x:v>-0.05458936709992552</x:v>
      </x:c>
      <x:c r="H625" s="132" t="n">
        <x:f>IF(C625&lt;(('Assumptions'!$C$48-'Assumptions'!$B$48)/('Assumptions'!$D$48-'Assumptions'!$B$48)),'Assumptions'!$B$48+SQRT(C625*('Assumptions'!$D$48-'Assumptions'!$B$48)*('Assumptions'!$C$48-'Assumptions'!$B$48)),'Assumptions'!$D$48-SQRT((1-C625)*('Assumptions'!$D$48-'Assumptions'!$B$48)*('Assumptions'!$D$48-'Assumptions'!$C$48)))</x:f>
        <x:v>0.13722875903703172</x:v>
      </x:c>
      <x:c r="I625" s="132" t="n">
        <x:f>IF(D625&lt;(('Assumptions'!$C$49-'Assumptions'!$B$49)/('Assumptions'!$D$49-'Assumptions'!$B$49)),'Assumptions'!$B$49+SQRT(D625*('Assumptions'!$D$49-'Assumptions'!$B$49)*('Assumptions'!$C$49-'Assumptions'!$B$49)),'Assumptions'!$D$49-SQRT((1-D625)*('Assumptions'!$D$49-'Assumptions'!$B$49)*('Assumptions'!$D$49-'Assumptions'!$C$49)))</x:f>
        <x:v>0.025605481629924744</x:v>
      </x:c>
      <x:c r="J625" s="132" t="n">
        <x:f>IF(E625&lt;(('Assumptions'!$C$50-'Assumptions'!$B$50)/('Assumptions'!$D$50-'Assumptions'!$B$50)),'Assumptions'!$B$50+SQRT(E625*('Assumptions'!$D$50-'Assumptions'!$B$50)*('Assumptions'!$C$50-'Assumptions'!$B$50)),'Assumptions'!$D$50-SQRT((1-E625)*('Assumptions'!$D$50-'Assumptions'!$B$50)*('Assumptions'!$D$50-'Assumptions'!$C$50)))</x:f>
        <x:v>0.06821796604517422</x:v>
      </x:c>
      <x:c r="K625" s="132" t="n">
        <x:f>IF(F625&lt;(('Assumptions'!$C$51-'Assumptions'!$B$51)/('Assumptions'!$D$51-'Assumptions'!$B$51)),'Assumptions'!$B$51+SQRT(F625*('Assumptions'!$D$51-'Assumptions'!$B$51)*('Assumptions'!$C$51-'Assumptions'!$B$51)),'Assumptions'!$D$51-SQRT((1-F625)*('Assumptions'!$D$51-'Assumptions'!$B$51)*('Assumptions'!$D$51-'Assumptions'!$C$51)))</x:f>
        <x:v>0.06416792233899947</x:v>
      </x:c>
      <x:c r="L625" s="133" t="n">
        <x:f>(('Assumptions'!$B$17*(1+G625)+'Assumptions'!$B$18)*(1-H625-'Assumptions'!$B$20)-SUM('Assumptions'!$B$21:$B$25)*(1+I625))-(('Assumptions'!$B$17*(1+G625)+'Assumptions'!$B$18)*(1-H625-'Assumptions'!$B$20)*'Assumptions'!$B$26)</x:f>
        <x:v>164138.88228768698</x:v>
      </x:c>
      <x:c r="M625" s="133" t="n">
        <x:f>'Assumptions'!$B$10*'Assumptions'!$B$33</x:f>
        <x:v>1950000</x:v>
      </x:c>
      <x:c r="N625" s="133" t="n">
        <x:f>-PMT(K625/12,'Assumptions'!$B$35*12,M625)*12</x:f>
        <x:v>146625.76135365394</x:v>
      </x:c>
      <x:c r="O625" s="133" t="n">
        <x:f>(L625*(1+'Assumptions'!$B$29)^('Assumptions'!$B$14/12)/J625)*(1-'Assumptions'!$B$42)-'Debt Schedule'!$F$9</x:f>
        <x:v>2621963.7456356897</x:v>
      </x:c>
      <x:c r="P625" s="132" t="n">
        <x:f>((O625+(L625-N625-'Assumptions'!$B$27-'Assumptions'!$B$28)*('Assumptions'!$B$14/12))/ABS('Monthly Cash Flow'!$S$5))^(1/('Assumptions'!$B$14/12))-1</x:f>
        <x:v>0.14155816560419376</x:v>
      </x:c>
      <x:c r="Q625" s="133" t="n">
        <x:f>-ABS('Monthly Cash Flow'!$S$5)+((L625-N625-'Assumptions'!$B$27-'Assumptions'!$B$28)*(1-(1+'Assumptions'!$B$43)^-('Assumptions'!$B$14/12))/'Assumptions'!$B$43)+(O625/(1+'Assumptions'!$B$43)^('Assumptions'!$B$14/12))</x:f>
        <x:v>248290.2343046947</x:v>
      </x:c>
    </x:row>
    <x:row r="626">
      <x:c r="A626" s="131" t="n">
        <x:f>619</x:f>
        <x:v>619</x:v>
      </x:c>
      <x:c r="B626" s="131" t="n">
        <x:f>MOD(ABS(SIN((A626+1)*12.9898+78.233)*43758.5453),1)</x:f>
        <x:v>0.9991272981278598</x:v>
      </x:c>
      <x:c r="C626" s="131" t="n">
        <x:f>MOD(ABS(SIN((A626+2)*12.9898+78.233)*43758.5453),1)</x:f>
        <x:v>0.28629348030517576</x:v>
      </x:c>
      <x:c r="D626" s="131" t="n">
        <x:f>MOD(ABS(SIN((A626+3)*12.9898+78.233)*43758.5453),1)</x:f>
        <x:v>0.5064308475994039</x:v>
      </x:c>
      <x:c r="E626" s="131" t="n">
        <x:f>MOD(ABS(SIN((A626+4)*12.9898+78.233)*43758.5453),1)</x:f>
        <x:v>0.1616770484324661</x:v>
      </x:c>
      <x:c r="F626" s="131" t="n">
        <x:f>MOD(ABS(SIN((A626+5)*12.9898+78.233)*43758.5453),1)</x:f>
        <x:v>0.12369731642229453</x:v>
      </x:c>
      <x:c r="G626" s="132" t="n">
        <x:f>IF(B626&lt;(('Assumptions'!$C$47-'Assumptions'!$B$47)/('Assumptions'!$D$47-'Assumptions'!$B$47)),'Assumptions'!$B$47+SQRT(B626*('Assumptions'!$D$47-'Assumptions'!$B$47)*('Assumptions'!$C$47-'Assumptions'!$B$47)),'Assumptions'!$D$47-SQRT((1-B626)*('Assumptions'!$D$47-'Assumptions'!$B$47)*('Assumptions'!$D$47-'Assumptions'!$C$47)))</x:f>
        <x:v>0.09626325944782854</x:v>
      </x:c>
      <x:c r="H626" s="132" t="n">
        <x:f>IF(C626&lt;(('Assumptions'!$C$48-'Assumptions'!$B$48)/('Assumptions'!$D$48-'Assumptions'!$B$48)),'Assumptions'!$B$48+SQRT(C626*('Assumptions'!$D$48-'Assumptions'!$B$48)*('Assumptions'!$C$48-'Assumptions'!$B$48)),'Assumptions'!$D$48-SQRT((1-C626)*('Assumptions'!$D$48-'Assumptions'!$B$48)*('Assumptions'!$D$48-'Assumptions'!$C$48)))</x:f>
        <x:v>0.06074965379687952</x:v>
      </x:c>
      <x:c r="I626" s="132" t="n">
        <x:f>IF(D626&lt;(('Assumptions'!$C$49-'Assumptions'!$B$49)/('Assumptions'!$D$49-'Assumptions'!$B$49)),'Assumptions'!$B$49+SQRT(D626*('Assumptions'!$D$49-'Assumptions'!$B$49)*('Assumptions'!$C$49-'Assumptions'!$B$49)),'Assumptions'!$D$49-SQRT((1-D626)*('Assumptions'!$D$49-'Assumptions'!$B$49)*('Assumptions'!$D$49-'Assumptions'!$C$49)))</x:f>
        <x:v>0.04674742767440186</x:v>
      </x:c>
      <x:c r="J626" s="132" t="n">
        <x:f>IF(E626&lt;(('Assumptions'!$C$50-'Assumptions'!$B$50)/('Assumptions'!$D$50-'Assumptions'!$B$50)),'Assumptions'!$B$50+SQRT(E626*('Assumptions'!$D$50-'Assumptions'!$B$50)*('Assumptions'!$C$50-'Assumptions'!$B$50)),'Assumptions'!$D$50-SQRT((1-E626)*('Assumptions'!$D$50-'Assumptions'!$B$50)*('Assumptions'!$D$50-'Assumptions'!$C$50)))</x:f>
        <x:v>0.06353136268991552</x:v>
      </x:c>
      <x:c r="K626" s="132" t="n">
        <x:f>IF(F626&lt;(('Assumptions'!$C$51-'Assumptions'!$B$51)/('Assumptions'!$D$51-'Assumptions'!$B$51)),'Assumptions'!$B$51+SQRT(F626*('Assumptions'!$D$51-'Assumptions'!$B$51)*('Assumptions'!$C$51-'Assumptions'!$B$51)),'Assumptions'!$D$51-SQRT((1-F626)*('Assumptions'!$D$51-'Assumptions'!$B$51)*('Assumptions'!$D$51-'Assumptions'!$C$51)))</x:f>
        <x:v>0.06333238904876304</x:v>
      </x:c>
      <x:c r="L626" s="133" t="n">
        <x:f>(('Assumptions'!$B$17*(1+G626)+'Assumptions'!$B$18)*(1-H626-'Assumptions'!$B$20)-SUM('Assumptions'!$B$21:$B$25)*(1+I626))-(('Assumptions'!$B$17*(1+G626)+'Assumptions'!$B$18)*(1-H626-'Assumptions'!$B$20)*'Assumptions'!$B$26)</x:f>
        <x:v>236231.03151665963</x:v>
      </x:c>
      <x:c r="M626" s="133" t="n">
        <x:f>'Assumptions'!$B$10*'Assumptions'!$B$33</x:f>
        <x:v>1950000</x:v>
      </x:c>
      <x:c r="N626" s="133" t="n">
        <x:f>-PMT(K626/12,'Assumptions'!$B$35*12,M626)*12</x:f>
        <x:v>145347.0151928433</x:v>
      </x:c>
      <x:c r="O626" s="133" t="n">
        <x:f>(L626*(1+'Assumptions'!$B$29)^('Assumptions'!$B$14/12)/J626)*(1-'Assumptions'!$B$42)-'Debt Schedule'!$F$9</x:f>
        <x:v>4051937.6393027822</x:v>
      </x:c>
      <x:c r="P626" s="132" t="n">
        <x:f>((O626+(L626-N626-'Assumptions'!$B$27-'Assumptions'!$B$28)*('Assumptions'!$B$14/12))/ABS('Monthly Cash Flow'!$S$5))^(1/('Assumptions'!$B$14/12))-1</x:f>
        <x:v>0.27174959982407576</x:v>
      </x:c>
      <x:c r="Q626" s="133" t="n">
        <x:f>-ABS('Monthly Cash Flow'!$S$5)+((L626-N626-'Assumptions'!$B$27-'Assumptions'!$B$28)*(1-(1+'Assumptions'!$B$43)^-('Assumptions'!$B$14/12))/'Assumptions'!$B$43)+(O626/(1+'Assumptions'!$B$43)^('Assumptions'!$B$14/12))</x:f>
        <x:v>1414324.935803759</x:v>
      </x:c>
    </x:row>
    <x:row r="627">
      <x:c r="A627" s="131" t="n">
        <x:f>620</x:f>
        <x:v>620</x:v>
      </x:c>
      <x:c r="B627" s="131" t="n">
        <x:f>MOD(ABS(SIN((A627+1)*12.9898+78.233)*43758.5453),1)</x:f>
        <x:v>0.28629348030517576</x:v>
      </x:c>
      <x:c r="C627" s="131" t="n">
        <x:f>MOD(ABS(SIN((A627+2)*12.9898+78.233)*43758.5453),1)</x:f>
        <x:v>0.5064308475994039</x:v>
      </x:c>
      <x:c r="D627" s="131" t="n">
        <x:f>MOD(ABS(SIN((A627+3)*12.9898+78.233)*43758.5453),1)</x:f>
        <x:v>0.1616770484324661</x:v>
      </x:c>
      <x:c r="E627" s="131" t="n">
        <x:f>MOD(ABS(SIN((A627+4)*12.9898+78.233)*43758.5453),1)</x:f>
        <x:v>0.12369731642229453</x:v>
      </x:c>
      <x:c r="F627" s="131" t="n">
        <x:f>MOD(ABS(SIN((A627+5)*12.9898+78.233)*43758.5453),1)</x:f>
        <x:v>0.9585914892231813</x:v>
      </x:c>
      <x:c r="G627" s="132" t="n">
        <x:f>IF(B627&lt;(('Assumptions'!$C$47-'Assumptions'!$B$47)/('Assumptions'!$D$47-'Assumptions'!$B$47)),'Assumptions'!$B$47+SQRT(B627*('Assumptions'!$D$47-'Assumptions'!$B$47)*('Assumptions'!$C$47-'Assumptions'!$B$47)),'Assumptions'!$D$47-SQRT((1-B627)*('Assumptions'!$D$47-'Assumptions'!$B$47)*('Assumptions'!$D$47-'Assumptions'!$C$47)))</x:f>
        <x:v>-0.017108242102581647</x:v>
      </x:c>
      <x:c r="H627" s="132" t="n">
        <x:f>IF(C627&lt;(('Assumptions'!$C$48-'Assumptions'!$B$48)/('Assumptions'!$D$48-'Assumptions'!$B$48)),'Assumptions'!$B$48+SQRT(C627*('Assumptions'!$D$48-'Assumptions'!$B$48)*('Assumptions'!$C$48-'Assumptions'!$B$48)),'Assumptions'!$D$48-SQRT((1-C627)*('Assumptions'!$D$48-'Assumptions'!$B$48)*('Assumptions'!$D$48-'Assumptions'!$C$48)))</x:f>
        <x:v>0.07409545887326698</x:v>
      </x:c>
      <x:c r="I627" s="132" t="n">
        <x:f>IF(D627&lt;(('Assumptions'!$C$49-'Assumptions'!$B$49)/('Assumptions'!$D$49-'Assumptions'!$B$49)),'Assumptions'!$B$49+SQRT(D627*('Assumptions'!$D$49-'Assumptions'!$B$49)*('Assumptions'!$C$49-'Assumptions'!$B$49)),'Assumptions'!$D$49-SQRT((1-D627)*('Assumptions'!$D$49-'Assumptions'!$B$49)*('Assumptions'!$D$49-'Assumptions'!$C$49)))</x:f>
        <x:v>0.01178650647123583</x:v>
      </x:c>
      <x:c r="J627" s="132" t="n">
        <x:f>IF(E627&lt;(('Assumptions'!$C$50-'Assumptions'!$B$50)/('Assumptions'!$D$50-'Assumptions'!$B$50)),'Assumptions'!$B$50+SQRT(E627*('Assumptions'!$D$50-'Assumptions'!$B$50)*('Assumptions'!$C$50-'Assumptions'!$B$50)),'Assumptions'!$D$50-SQRT((1-E627)*('Assumptions'!$D$50-'Assumptions'!$B$50)*('Assumptions'!$D$50-'Assumptions'!$C$50)))</x:f>
        <x:v>0.0627755943925795</x:v>
      </x:c>
      <x:c r="K627" s="132" t="n">
        <x:f>IF(F627&lt;(('Assumptions'!$C$51-'Assumptions'!$B$51)/('Assumptions'!$D$51-'Assumptions'!$B$51)),'Assumptions'!$B$51+SQRT(F627*('Assumptions'!$D$51-'Assumptions'!$B$51)*('Assumptions'!$C$51-'Assumptions'!$B$51)),'Assumptions'!$D$51-SQRT((1-F627)*('Assumptions'!$D$51-'Assumptions'!$B$51)*('Assumptions'!$D$51-'Assumptions'!$C$51)))</x:f>
        <x:v>0.08053593841761295</x:v>
      </x:c>
      <x:c r="L627" s="133" t="n">
        <x:f>(('Assumptions'!$B$17*(1+G627)+'Assumptions'!$B$18)*(1-H627-'Assumptions'!$B$20)-SUM('Assumptions'!$B$21:$B$25)*(1+I627))-(('Assumptions'!$B$17*(1+G627)+'Assumptions'!$B$18)*(1-H627-'Assumptions'!$B$20)*'Assumptions'!$B$26)</x:f>
        <x:v>199462.95512051843</x:v>
      </x:c>
      <x:c r="M627" s="133" t="n">
        <x:f>'Assumptions'!$B$10*'Assumptions'!$B$33</x:f>
        <x:v>1950000</x:v>
      </x:c>
      <x:c r="N627" s="133" t="n">
        <x:f>-PMT(K627/12,'Assumptions'!$B$35*12,M627)*12</x:f>
        <x:v>172575.96823732185</x:v>
      </x:c>
      <x:c r="O627" s="133" t="n">
        <x:f>(L627*(1+'Assumptions'!$B$29)^('Assumptions'!$B$14/12)/J627)*(1-'Assumptions'!$B$42)-'Debt Schedule'!$F$9</x:f>
        <x:v>3462465.0040893243</x:v>
      </x:c>
      <x:c r="P627" s="132" t="n">
        <x:f>((O627+(L627-N627-'Assumptions'!$B$27-'Assumptions'!$B$28)*('Assumptions'!$B$14/12))/ABS('Monthly Cash Flow'!$S$5))^(1/('Assumptions'!$B$14/12))-1</x:f>
        <x:v>0.2128194129995018</x:v>
      </x:c>
      <x:c r="Q627" s="133" t="n">
        <x:f>-ABS('Monthly Cash Flow'!$S$5)+((L627-N627-'Assumptions'!$B$27-'Assumptions'!$B$28)*(1-(1+'Assumptions'!$B$43)^-('Assumptions'!$B$14/12))/'Assumptions'!$B$43)+(O627/(1+'Assumptions'!$B$43)^('Assumptions'!$B$14/12))</x:f>
        <x:v>805709.7147549076</x:v>
      </x:c>
    </x:row>
    <x:row r="628">
      <x:c r="A628" s="131" t="n">
        <x:f>621</x:f>
        <x:v>621</x:v>
      </x:c>
      <x:c r="B628" s="131" t="n">
        <x:f>MOD(ABS(SIN((A628+1)*12.9898+78.233)*43758.5453),1)</x:f>
        <x:v>0.5064308475994039</x:v>
      </x:c>
      <x:c r="C628" s="131" t="n">
        <x:f>MOD(ABS(SIN((A628+2)*12.9898+78.233)*43758.5453),1)</x:f>
        <x:v>0.1616770484324661</x:v>
      </x:c>
      <x:c r="D628" s="131" t="n">
        <x:f>MOD(ABS(SIN((A628+3)*12.9898+78.233)*43758.5453),1)</x:f>
        <x:v>0.12369731642229453</x:v>
      </x:c>
      <x:c r="E628" s="131" t="n">
        <x:f>MOD(ABS(SIN((A628+4)*12.9898+78.233)*43758.5453),1)</x:f>
        <x:v>0.9585914892231813</x:v>
      </x:c>
      <x:c r="F628" s="131" t="n">
        <x:f>MOD(ABS(SIN((A628+5)*12.9898+78.233)*43758.5453),1)</x:f>
        <x:v>0.34928155891248025</x:v>
      </x:c>
      <x:c r="G628" s="132" t="n">
        <x:f>IF(B628&lt;(('Assumptions'!$C$47-'Assumptions'!$B$47)/('Assumptions'!$D$47-'Assumptions'!$B$47)),'Assumptions'!$B$47+SQRT(B628*('Assumptions'!$D$47-'Assumptions'!$B$47)*('Assumptions'!$C$47-'Assumptions'!$B$47)),'Assumptions'!$D$47-SQRT((1-B628)*('Assumptions'!$D$47-'Assumptions'!$B$47)*('Assumptions'!$D$47-'Assumptions'!$C$47)))</x:f>
        <x:v>0.010246724860132214</x:v>
      </x:c>
      <x:c r="H628" s="132" t="n">
        <x:f>IF(C628&lt;(('Assumptions'!$C$48-'Assumptions'!$B$48)/('Assumptions'!$D$48-'Assumptions'!$B$48)),'Assumptions'!$B$48+SQRT(C628*('Assumptions'!$D$48-'Assumptions'!$B$48)*('Assumptions'!$C$48-'Assumptions'!$B$48)),'Assumptions'!$D$48-SQRT((1-C628)*('Assumptions'!$D$48-'Assumptions'!$B$48)*('Assumptions'!$D$48-'Assumptions'!$C$48)))</x:f>
        <x:v>0.05309836054414119</x:v>
      </x:c>
      <x:c r="I628" s="132" t="n">
        <x:f>IF(D628&lt;(('Assumptions'!$C$49-'Assumptions'!$B$49)/('Assumptions'!$D$49-'Assumptions'!$B$49)),'Assumptions'!$B$49+SQRT(D628*('Assumptions'!$D$49-'Assumptions'!$B$49)*('Assumptions'!$C$49-'Assumptions'!$B$49)),'Assumptions'!$D$49-SQRT((1-D628)*('Assumptions'!$D$49-'Assumptions'!$B$49)*('Assumptions'!$D$49-'Assumptions'!$C$49)))</x:f>
        <x:v>0.0065503901122926575</x:v>
      </x:c>
      <x:c r="J628" s="132" t="n">
        <x:f>IF(E628&lt;(('Assumptions'!$C$50-'Assumptions'!$B$50)/('Assumptions'!$D$50-'Assumptions'!$B$50)),'Assumptions'!$B$50+SQRT(E628*('Assumptions'!$D$50-'Assumptions'!$B$50)*('Assumptions'!$C$50-'Assumptions'!$B$50)),'Assumptions'!$D$50-SQRT((1-E628)*('Assumptions'!$D$50-'Assumptions'!$B$50)*('Assumptions'!$D$50-'Assumptions'!$C$50)))</x:f>
        <x:v>0.07658735532819776</x:v>
      </x:c>
      <x:c r="K628" s="132" t="n">
        <x:f>IF(F628&lt;(('Assumptions'!$C$51-'Assumptions'!$B$51)/('Assumptions'!$D$51-'Assumptions'!$B$51)),'Assumptions'!$B$51+SQRT(F628*('Assumptions'!$D$51-'Assumptions'!$B$51)*('Assumptions'!$C$51-'Assumptions'!$B$51)),'Assumptions'!$D$51-SQRT((1-F628)*('Assumptions'!$D$51-'Assumptions'!$B$51)*('Assumptions'!$D$51-'Assumptions'!$C$51)))</x:f>
        <x:v>0.06730063409688027</x:v>
      </x:c>
      <x:c r="L628" s="133" t="n">
        <x:f>(('Assumptions'!$B$17*(1+G628)+'Assumptions'!$B$18)*(1-H628-'Assumptions'!$B$20)-SUM('Assumptions'!$B$21:$B$25)*(1+I628))-(('Assumptions'!$B$17*(1+G628)+'Assumptions'!$B$18)*(1-H628-'Assumptions'!$B$20)*'Assumptions'!$B$26)</x:f>
        <x:v>216475.33767116172</x:v>
      </x:c>
      <x:c r="M628" s="133" t="n">
        <x:f>'Assumptions'!$B$10*'Assumptions'!$B$33</x:f>
        <x:v>1950000</x:v>
      </x:c>
      <x:c r="N628" s="133" t="n">
        <x:f>-PMT(K628/12,'Assumptions'!$B$35*12,M628)*12</x:f>
        <x:v>151461.9806604789</x:v>
      </x:c>
      <x:c r="O628" s="133" t="n">
        <x:f>(L628*(1+'Assumptions'!$B$29)^('Assumptions'!$B$14/12)/J628)*(1-'Assumptions'!$B$42)-'Debt Schedule'!$F$9</x:f>
        <x:v>3080103.639502655</x:v>
      </x:c>
      <x:c r="P628" s="132" t="n">
        <x:f>((O628+(L628-N628-'Assumptions'!$B$27-'Assumptions'!$B$28)*('Assumptions'!$B$14/12))/ABS('Monthly Cash Flow'!$S$5))^(1/('Assumptions'!$B$14/12))-1</x:f>
        <x:v>0.19880850216816048</x:v>
      </x:c>
      <x:c r="Q628" s="133" t="n">
        <x:f>-ABS('Monthly Cash Flow'!$S$5)+((L628-N628-'Assumptions'!$B$27-'Assumptions'!$B$28)*(1-(1+'Assumptions'!$B$43)^-('Assumptions'!$B$14/12))/'Assumptions'!$B$43)+(O628/(1+'Assumptions'!$B$43)^('Assumptions'!$B$14/12))</x:f>
        <x:v>712822.3298138934</x:v>
      </x:c>
    </x:row>
    <x:row r="629">
      <x:c r="A629" s="131" t="n">
        <x:f>622</x:f>
        <x:v>622</x:v>
      </x:c>
      <x:c r="B629" s="131" t="n">
        <x:f>MOD(ABS(SIN((A629+1)*12.9898+78.233)*43758.5453),1)</x:f>
        <x:v>0.1616770484324661</x:v>
      </x:c>
      <x:c r="C629" s="131" t="n">
        <x:f>MOD(ABS(SIN((A629+2)*12.9898+78.233)*43758.5453),1)</x:f>
        <x:v>0.12369731642229453</x:v>
      </x:c>
      <x:c r="D629" s="131" t="n">
        <x:f>MOD(ABS(SIN((A629+3)*12.9898+78.233)*43758.5453),1)</x:f>
        <x:v>0.9585914892231813</x:v>
      </x:c>
      <x:c r="E629" s="131" t="n">
        <x:f>MOD(ABS(SIN((A629+4)*12.9898+78.233)*43758.5453),1)</x:f>
        <x:v>0.34928155891248025</x:v>
      </x:c>
      <x:c r="F629" s="131" t="n">
        <x:f>MOD(ABS(SIN((A629+5)*12.9898+78.233)*43758.5453),1)</x:f>
        <x:v>0.2010694525888539</x:v>
      </x:c>
      <x:c r="G629" s="132" t="n">
        <x:f>IF(B629&lt;(('Assumptions'!$C$47-'Assumptions'!$B$47)/('Assumptions'!$D$47-'Assumptions'!$B$47)),'Assumptions'!$B$47+SQRT(B629*('Assumptions'!$D$47-'Assumptions'!$B$47)*('Assumptions'!$C$47-'Assumptions'!$B$47)),'Assumptions'!$D$47-SQRT((1-B629)*('Assumptions'!$D$47-'Assumptions'!$B$47)*('Assumptions'!$D$47-'Assumptions'!$C$47)))</x:f>
        <x:v>-0.03770835399205455</x:v>
      </x:c>
      <x:c r="H629" s="132" t="n">
        <x:f>IF(C629&lt;(('Assumptions'!$C$48-'Assumptions'!$B$48)/('Assumptions'!$D$48-'Assumptions'!$B$48)),'Assumptions'!$B$48+SQRT(C629*('Assumptions'!$D$48-'Assumptions'!$B$48)*('Assumptions'!$C$48-'Assumptions'!$B$48)),'Assumptions'!$D$48-SQRT((1-C629)*('Assumptions'!$D$48-'Assumptions'!$B$48)*('Assumptions'!$D$48-'Assumptions'!$C$48)))</x:f>
        <x:v>0.05020398832393179</x:v>
      </x:c>
      <x:c r="I629" s="132" t="n">
        <x:f>IF(D629&lt;(('Assumptions'!$C$49-'Assumptions'!$B$49)/('Assumptions'!$D$49-'Assumptions'!$B$49)),'Assumptions'!$B$49+SQRT(D629*('Assumptions'!$D$49-'Assumptions'!$B$49)*('Assumptions'!$C$49-'Assumptions'!$B$49)),'Assumptions'!$D$49-SQRT((1-D629)*('Assumptions'!$D$49-'Assumptions'!$B$49)*('Assumptions'!$D$49-'Assumptions'!$C$49)))</x:f>
        <x:v>0.12009308052006551</x:v>
      </x:c>
      <x:c r="J629" s="132" t="n">
        <x:f>IF(E629&lt;(('Assumptions'!$C$50-'Assumptions'!$B$50)/('Assumptions'!$D$50-'Assumptions'!$B$50)),'Assumptions'!$B$50+SQRT(E629*('Assumptions'!$D$50-'Assumptions'!$B$50)*('Assumptions'!$C$50-'Assumptions'!$B$50)),'Assumptions'!$D$50-SQRT((1-E629)*('Assumptions'!$D$50-'Assumptions'!$B$50)*('Assumptions'!$D$50-'Assumptions'!$C$50)))</x:f>
        <x:v>0.06636500709279514</x:v>
      </x:c>
      <x:c r="K629" s="132" t="n">
        <x:f>IF(F629&lt;(('Assumptions'!$C$51-'Assumptions'!$B$51)/('Assumptions'!$D$51-'Assumptions'!$B$51)),'Assumptions'!$B$51+SQRT(F629*('Assumptions'!$D$51-'Assumptions'!$B$51)*('Assumptions'!$C$51-'Assumptions'!$B$51)),'Assumptions'!$D$51-SQRT((1-F629)*('Assumptions'!$D$51-'Assumptions'!$B$51)*('Assumptions'!$D$51-'Assumptions'!$C$51)))</x:f>
        <x:v>0.06493600023278207</x:v>
      </x:c>
      <x:c r="L629" s="133" t="n">
        <x:f>(('Assumptions'!$B$17*(1+G629)+'Assumptions'!$B$18)*(1-H629-'Assumptions'!$B$20)-SUM('Assumptions'!$B$21:$B$25)*(1+I629))-(('Assumptions'!$B$17*(1+G629)+'Assumptions'!$B$18)*(1-H629-'Assumptions'!$B$20)*'Assumptions'!$B$26)</x:f>
        <x:v>187654.0202375024</x:v>
      </x:c>
      <x:c r="M629" s="133" t="n">
        <x:f>'Assumptions'!$B$10*'Assumptions'!$B$33</x:f>
        <x:v>1950000</x:v>
      </x:c>
      <x:c r="N629" s="133" t="n">
        <x:f>-PMT(K629/12,'Assumptions'!$B$35*12,M629)*12</x:f>
        <x:v>147805.44183742793</x:v>
      </x:c>
      <x:c r="O629" s="133" t="n">
        <x:f>(L629*(1+'Assumptions'!$B$29)^('Assumptions'!$B$14/12)/J629)*(1-'Assumptions'!$B$42)-'Debt Schedule'!$F$9</x:f>
        <x:v>3081290.92606899</x:v>
      </x:c>
      <x:c r="P629" s="132" t="n">
        <x:f>((O629+(L629-N629-'Assumptions'!$B$27-'Assumptions'!$B$28)*('Assumptions'!$B$14/12))/ABS('Monthly Cash Flow'!$S$5))^(1/('Assumptions'!$B$14/12))-1</x:f>
        <x:v>0.1893366037820905</x:v>
      </x:c>
      <x:c r="Q629" s="133" t="n">
        <x:f>-ABS('Monthly Cash Flow'!$S$5)+((L629-N629-'Assumptions'!$B$27-'Assumptions'!$B$28)*(1-(1+'Assumptions'!$B$43)^-('Assumptions'!$B$14/12))/'Assumptions'!$B$43)+(O629/(1+'Assumptions'!$B$43)^('Assumptions'!$B$14/12))</x:f>
        <x:v>618165.2315473256</x:v>
      </x:c>
    </x:row>
    <x:row r="630">
      <x:c r="A630" s="131" t="n">
        <x:f>623</x:f>
        <x:v>623</x:v>
      </x:c>
      <x:c r="B630" s="131" t="n">
        <x:f>MOD(ABS(SIN((A630+1)*12.9898+78.233)*43758.5453),1)</x:f>
        <x:v>0.12369731642229453</x:v>
      </x:c>
      <x:c r="C630" s="131" t="n">
        <x:f>MOD(ABS(SIN((A630+2)*12.9898+78.233)*43758.5453),1)</x:f>
        <x:v>0.9585914892231813</x:v>
      </x:c>
      <x:c r="D630" s="131" t="n">
        <x:f>MOD(ABS(SIN((A630+3)*12.9898+78.233)*43758.5453),1)</x:f>
        <x:v>0.34928155891248025</x:v>
      </x:c>
      <x:c r="E630" s="131" t="n">
        <x:f>MOD(ABS(SIN((A630+4)*12.9898+78.233)*43758.5453),1)</x:f>
        <x:v>0.2010694525888539</x:v>
      </x:c>
      <x:c r="F630" s="131" t="n">
        <x:f>MOD(ABS(SIN((A630+5)*12.9898+78.233)*43758.5453),1)</x:f>
        <x:v>0.5094579207870993</x:v>
      </x:c>
      <x:c r="G630" s="132" t="n">
        <x:f>IF(B630&lt;(('Assumptions'!$C$47-'Assumptions'!$B$47)/('Assumptions'!$D$47-'Assumptions'!$B$47)),'Assumptions'!$B$47+SQRT(B630*('Assumptions'!$D$47-'Assumptions'!$B$47)*('Assumptions'!$C$47-'Assumptions'!$B$47)),'Assumptions'!$D$47-SQRT((1-B630)*('Assumptions'!$D$47-'Assumptions'!$B$47)*('Assumptions'!$D$47-'Assumptions'!$C$47)))</x:f>
        <x:v>-0.04551389540318496</x:v>
      </x:c>
      <x:c r="H630" s="132" t="n">
        <x:f>IF(C630&lt;(('Assumptions'!$C$48-'Assumptions'!$B$48)/('Assumptions'!$D$48-'Assumptions'!$B$48)),'Assumptions'!$B$48+SQRT(C630*('Assumptions'!$D$48-'Assumptions'!$B$48)*('Assumptions'!$C$48-'Assumptions'!$B$48)),'Assumptions'!$D$48-SQRT((1-C630)*('Assumptions'!$D$48-'Assumptions'!$B$48)*('Assumptions'!$D$48-'Assumptions'!$C$48)))</x:f>
        <x:v>0.1209108697202831</x:v>
      </x:c>
      <x:c r="I630" s="132" t="n">
        <x:f>IF(D630&lt;(('Assumptions'!$C$49-'Assumptions'!$B$49)/('Assumptions'!$D$49-'Assumptions'!$B$49)),'Assumptions'!$B$49+SQRT(D630*('Assumptions'!$D$49-'Assumptions'!$B$49)*('Assumptions'!$C$49-'Assumptions'!$B$49)),'Assumptions'!$D$49-SQRT((1-D630)*('Assumptions'!$D$49-'Assumptions'!$B$49)*('Assumptions'!$D$49-'Assumptions'!$C$49)))</x:f>
        <x:v>0.031444028714322336</x:v>
      </x:c>
      <x:c r="J630" s="132" t="n">
        <x:f>IF(E630&lt;(('Assumptions'!$C$50-'Assumptions'!$B$50)/('Assumptions'!$D$50-'Assumptions'!$B$50)),'Assumptions'!$B$50+SQRT(E630*('Assumptions'!$D$50-'Assumptions'!$B$50)*('Assumptions'!$C$50-'Assumptions'!$B$50)),'Assumptions'!$D$50-SQRT((1-E630)*('Assumptions'!$D$50-'Assumptions'!$B$50)*('Assumptions'!$D$50-'Assumptions'!$C$50)))</x:f>
        <x:v>0.06422611528540005</x:v>
      </x:c>
      <x:c r="K630" s="132" t="n">
        <x:f>IF(F630&lt;(('Assumptions'!$C$51-'Assumptions'!$B$51)/('Assumptions'!$D$51-'Assumptions'!$B$51)),'Assumptions'!$B$51+SQRT(F630*('Assumptions'!$D$51-'Assumptions'!$B$51)*('Assumptions'!$C$51-'Assumptions'!$B$51)),'Assumptions'!$D$51-SQRT((1-F630)*('Assumptions'!$D$51-'Assumptions'!$B$51)*('Assumptions'!$D$51-'Assumptions'!$C$51)))</x:f>
        <x:v>0.06963532051680842</x:v>
      </x:c>
      <x:c r="L630" s="133" t="n">
        <x:f>(('Assumptions'!$B$17*(1+G630)+'Assumptions'!$B$18)*(1-H630-'Assumptions'!$B$20)-SUM('Assumptions'!$B$21:$B$25)*(1+I630))-(('Assumptions'!$B$17*(1+G630)+'Assumptions'!$B$18)*(1-H630-'Assumptions'!$B$20)*'Assumptions'!$B$26)</x:f>
        <x:v>171742.68963763549</x:v>
      </x:c>
      <x:c r="M630" s="133" t="n">
        <x:f>'Assumptions'!$B$10*'Assumptions'!$B$33</x:f>
        <x:v>1950000</x:v>
      </x:c>
      <x:c r="N630" s="133" t="n">
        <x:f>-PMT(K630/12,'Assumptions'!$B$35*12,M630)*12</x:f>
        <x:v>155108.0992009231</x:v>
      </x:c>
      <x:c r="O630" s="133" t="n">
        <x:f>(L630*(1+'Assumptions'!$B$29)^('Assumptions'!$B$14/12)/J630)*(1-'Assumptions'!$B$42)-'Debt Schedule'!$F$9</x:f>
        <x:v>2913939.8492805576</x:v>
      </x:c>
      <x:c r="P630" s="132" t="n">
        <x:f>((O630+(L630-N630-'Assumptions'!$B$27-'Assumptions'!$B$28)*('Assumptions'!$B$14/12))/ABS('Monthly Cash Flow'!$S$5))^(1/('Assumptions'!$B$14/12))-1</x:f>
        <x:v>0.1665989607832583</x:v>
      </x:c>
      <x:c r="Q630" s="133" t="n">
        <x:f>-ABS('Monthly Cash Flow'!$S$5)+((L630-N630-'Assumptions'!$B$27-'Assumptions'!$B$28)*(1-(1+'Assumptions'!$B$43)^-('Assumptions'!$B$14/12))/'Assumptions'!$B$43)+(O630/(1+'Assumptions'!$B$43)^('Assumptions'!$B$14/12))</x:f>
        <x:v>426254.10109575815</x:v>
      </x:c>
    </x:row>
    <x:row r="631">
      <x:c r="A631" s="131" t="n">
        <x:f>624</x:f>
        <x:v>624</x:v>
      </x:c>
      <x:c r="B631" s="131" t="n">
        <x:f>MOD(ABS(SIN((A631+1)*12.9898+78.233)*43758.5453),1)</x:f>
        <x:v>0.9585914892231813</x:v>
      </x:c>
      <x:c r="C631" s="131" t="n">
        <x:f>MOD(ABS(SIN((A631+2)*12.9898+78.233)*43758.5453),1)</x:f>
        <x:v>0.34928155891248025</x:v>
      </x:c>
      <x:c r="D631" s="131" t="n">
        <x:f>MOD(ABS(SIN((A631+3)*12.9898+78.233)*43758.5453),1)</x:f>
        <x:v>0.2010694525888539</x:v>
      </x:c>
      <x:c r="E631" s="131" t="n">
        <x:f>MOD(ABS(SIN((A631+4)*12.9898+78.233)*43758.5453),1)</x:f>
        <x:v>0.5094579207870993</x:v>
      </x:c>
      <x:c r="F631" s="131" t="n">
        <x:f>MOD(ABS(SIN((A631+5)*12.9898+78.233)*43758.5453),1)</x:f>
        <x:v>0.840622046001954</x:v>
      </x:c>
      <x:c r="G631" s="132" t="n">
        <x:f>IF(B631&lt;(('Assumptions'!$C$47-'Assumptions'!$B$47)/('Assumptions'!$D$47-'Assumptions'!$B$47)),'Assumptions'!$B$47+SQRT(B631*('Assumptions'!$D$47-'Assumptions'!$B$47)*('Assumptions'!$C$47-'Assumptions'!$B$47)),'Assumptions'!$D$47-SQRT((1-B631)*('Assumptions'!$D$47-'Assumptions'!$B$47)*('Assumptions'!$D$47-'Assumptions'!$C$47)))</x:f>
        <x:v>0.07426022198174391</x:v>
      </x:c>
      <x:c r="H631" s="132" t="n">
        <x:f>IF(C631&lt;(('Assumptions'!$C$48-'Assumptions'!$B$48)/('Assumptions'!$D$48-'Assumptions'!$B$48)),'Assumptions'!$B$48+SQRT(C631*('Assumptions'!$D$48-'Assumptions'!$B$48)*('Assumptions'!$C$48-'Assumptions'!$B$48)),'Assumptions'!$D$48-SQRT((1-C631)*('Assumptions'!$D$48-'Assumptions'!$B$48)*('Assumptions'!$D$48-'Assumptions'!$C$48)))</x:f>
        <x:v>0.06432753286980679</x:v>
      </x:c>
      <x:c r="I631" s="132" t="n">
        <x:f>IF(D631&lt;(('Assumptions'!$C$49-'Assumptions'!$B$49)/('Assumptions'!$D$49-'Assumptions'!$B$49)),'Assumptions'!$B$49+SQRT(D631*('Assumptions'!$D$49-'Assumptions'!$B$49)*('Assumptions'!$C$49-'Assumptions'!$B$49)),'Assumptions'!$D$49-SQRT((1-D631)*('Assumptions'!$D$49-'Assumptions'!$B$49)*('Assumptions'!$D$49-'Assumptions'!$C$49)))</x:f>
        <x:v>0.016599893647514068</x:v>
      </x:c>
      <x:c r="J631" s="132" t="n">
        <x:f>IF(E631&lt;(('Assumptions'!$C$50-'Assumptions'!$B$50)/('Assumptions'!$D$50-'Assumptions'!$B$50)),'Assumptions'!$B$50+SQRT(E631*('Assumptions'!$D$50-'Assumptions'!$B$50)*('Assumptions'!$C$50-'Assumptions'!$B$50)),'Assumptions'!$D$50-SQRT((1-E631)*('Assumptions'!$D$50-'Assumptions'!$B$50)*('Assumptions'!$D$50-'Assumptions'!$C$50)))</x:f>
        <x:v>0.06825415138107815</x:v>
      </x:c>
      <x:c r="K631" s="132" t="n">
        <x:f>IF(F631&lt;(('Assumptions'!$C$51-'Assumptions'!$B$51)/('Assumptions'!$D$51-'Assumptions'!$B$51)),'Assumptions'!$B$51+SQRT(F631*('Assumptions'!$D$51-'Assumptions'!$B$51)*('Assumptions'!$C$51-'Assumptions'!$B$51)),'Assumptions'!$D$51-SQRT((1-F631)*('Assumptions'!$D$51-'Assumptions'!$B$51)*('Assumptions'!$D$51-'Assumptions'!$C$51)))</x:f>
        <x:v>0.07624210982247667</x:v>
      </x:c>
      <x:c r="L631" s="133" t="n">
        <x:f>(('Assumptions'!$B$17*(1+G631)+'Assumptions'!$B$18)*(1-H631-'Assumptions'!$B$20)-SUM('Assumptions'!$B$21:$B$25)*(1+I631))-(('Assumptions'!$B$17*(1+G631)+'Assumptions'!$B$18)*(1-H631-'Assumptions'!$B$20)*'Assumptions'!$B$26)</x:f>
        <x:v>231573.2044559121</x:v>
      </x:c>
      <x:c r="M631" s="133" t="n">
        <x:f>'Assumptions'!$B$10*'Assumptions'!$B$33</x:f>
        <x:v>1950000</x:v>
      </x:c>
      <x:c r="N631" s="133" t="n">
        <x:f>-PMT(K631/12,'Assumptions'!$B$35*12,M631)*12</x:f>
        <x:v>165611.03579533758</x:v>
      </x:c>
      <x:c r="O631" s="133" t="n">
        <x:f>(L631*(1+'Assumptions'!$B$29)^('Assumptions'!$B$14/12)/J631)*(1-'Assumptions'!$B$42)-'Debt Schedule'!$F$9</x:f>
        <x:v>3697202.271048547</x:v>
      </x:c>
      <x:c r="P631" s="132" t="n">
        <x:f>((O631+(L631-N631-'Assumptions'!$B$27-'Assumptions'!$B$28)*('Assumptions'!$B$14/12))/ABS('Monthly Cash Flow'!$S$5))^(1/('Assumptions'!$B$14/12))-1</x:f>
        <x:v>0.24208574951440576</x:v>
      </x:c>
      <x:c r="Q631" s="133" t="n">
        <x:f>-ABS('Monthly Cash Flow'!$S$5)+((L631-N631-'Assumptions'!$B$27-'Assumptions'!$B$28)*(1-(1+'Assumptions'!$B$43)^-('Assumptions'!$B$14/12))/'Assumptions'!$B$43)+(O631/(1+'Assumptions'!$B$43)^('Assumptions'!$B$14/12))</x:f>
        <x:v>1099588.7712204326</x:v>
      </x:c>
    </x:row>
    <x:row r="632">
      <x:c r="A632" s="131" t="n">
        <x:f>625</x:f>
        <x:v>625</x:v>
      </x:c>
      <x:c r="B632" s="131" t="n">
        <x:f>MOD(ABS(SIN((A632+1)*12.9898+78.233)*43758.5453),1)</x:f>
        <x:v>0.34928155891248025</x:v>
      </x:c>
      <x:c r="C632" s="131" t="n">
        <x:f>MOD(ABS(SIN((A632+2)*12.9898+78.233)*43758.5453),1)</x:f>
        <x:v>0.2010694525888539</x:v>
      </x:c>
      <x:c r="D632" s="131" t="n">
        <x:f>MOD(ABS(SIN((A632+3)*12.9898+78.233)*43758.5453),1)</x:f>
        <x:v>0.5094579207870993</x:v>
      </x:c>
      <x:c r="E632" s="131" t="n">
        <x:f>MOD(ABS(SIN((A632+4)*12.9898+78.233)*43758.5453),1)</x:f>
        <x:v>0.840622046001954</x:v>
      </x:c>
      <x:c r="F632" s="131" t="n">
        <x:f>MOD(ABS(SIN((A632+5)*12.9898+78.233)*43758.5453),1)</x:f>
        <x:v>0.14969264285537065</x:v>
      </x:c>
      <x:c r="G632" s="132" t="n">
        <x:f>IF(B632&lt;(('Assumptions'!$C$47-'Assumptions'!$B$47)/('Assumptions'!$D$47-'Assumptions'!$B$47)),'Assumptions'!$B$47+SQRT(B632*('Assumptions'!$D$47-'Assumptions'!$B$47)*('Assumptions'!$C$47-'Assumptions'!$B$47)),'Assumptions'!$D$47-SQRT((1-B632)*('Assumptions'!$D$47-'Assumptions'!$B$47)*('Assumptions'!$D$47-'Assumptions'!$C$47)))</x:f>
        <x:v>-0.0084426004415835</x:v>
      </x:c>
      <x:c r="H632" s="132" t="n">
        <x:f>IF(C632&lt;(('Assumptions'!$C$48-'Assumptions'!$B$48)/('Assumptions'!$D$48-'Assumptions'!$B$48)),'Assumptions'!$B$48+SQRT(C632*('Assumptions'!$D$48-'Assumptions'!$B$48)*('Assumptions'!$C$48-'Assumptions'!$B$48)),'Assumptions'!$D$48-SQRT((1-C632)*('Assumptions'!$D$48-'Assumptions'!$B$48)*('Assumptions'!$D$48-'Assumptions'!$C$48)))</x:f>
        <x:v>0.05575906041654505</x:v>
      </x:c>
      <x:c r="I632" s="132" t="n">
        <x:f>IF(D632&lt;(('Assumptions'!$C$49-'Assumptions'!$B$49)/('Assumptions'!$D$49-'Assumptions'!$B$49)),'Assumptions'!$B$49+SQRT(D632*('Assumptions'!$D$49-'Assumptions'!$B$49)*('Assumptions'!$C$49-'Assumptions'!$B$49)),'Assumptions'!$D$49-SQRT((1-D632)*('Assumptions'!$D$49-'Assumptions'!$B$49)*('Assumptions'!$D$49-'Assumptions'!$C$49)))</x:f>
        <x:v>0.04706454007000961</x:v>
      </x:c>
      <x:c r="J632" s="132" t="n">
        <x:f>IF(E632&lt;(('Assumptions'!$C$50-'Assumptions'!$B$50)/('Assumptions'!$D$50-'Assumptions'!$B$50)),'Assumptions'!$B$50+SQRT(E632*('Assumptions'!$D$50-'Assumptions'!$B$50)*('Assumptions'!$C$50-'Assumptions'!$B$50)),'Assumptions'!$D$50-SQRT((1-E632)*('Assumptions'!$D$50-'Assumptions'!$B$50)*('Assumptions'!$D$50-'Assumptions'!$C$50)))</x:f>
        <x:v>0.07330484880215911</x:v>
      </x:c>
      <x:c r="K632" s="132" t="n">
        <x:f>IF(F632&lt;(('Assumptions'!$C$51-'Assumptions'!$B$51)/('Assumptions'!$D$51-'Assumptions'!$B$51)),'Assumptions'!$B$51+SQRT(F632*('Assumptions'!$D$51-'Assumptions'!$B$51)*('Assumptions'!$C$51-'Assumptions'!$B$51)),'Assumptions'!$D$51-SQRT((1-F632)*('Assumptions'!$D$51-'Assumptions'!$B$51)*('Assumptions'!$D$51-'Assumptions'!$C$51)))</x:f>
        <x:v>0.06391603279178239</x:v>
      </x:c>
      <x:c r="L632" s="133" t="n">
        <x:f>(('Assumptions'!$B$17*(1+G632)+'Assumptions'!$B$18)*(1-H632-'Assumptions'!$B$20)-SUM('Assumptions'!$B$21:$B$25)*(1+I632))-(('Assumptions'!$B$17*(1+G632)+'Assumptions'!$B$18)*(1-H632-'Assumptions'!$B$20)*'Assumptions'!$B$26)</x:f>
        <x:v>204361.3267291114</x:v>
      </x:c>
      <x:c r="M632" s="133" t="n">
        <x:f>'Assumptions'!$B$10*'Assumptions'!$B$33</x:f>
        <x:v>1950000</x:v>
      </x:c>
      <x:c r="N632" s="133" t="n">
        <x:f>-PMT(K632/12,'Assumptions'!$B$35*12,M632)*12</x:f>
        <x:v>146239.75594625916</x:v>
      </x:c>
      <x:c r="O632" s="133" t="n">
        <x:f>(L632*(1+'Assumptions'!$B$29)^('Assumptions'!$B$14/12)/J632)*(1-'Assumptions'!$B$42)-'Debt Schedule'!$F$9</x:f>
        <x:v>3037945.568861941</x:v>
      </x:c>
      <x:c r="P632" s="132" t="n">
        <x:f>((O632+(L632-N632-'Assumptions'!$B$27-'Assumptions'!$B$28)*('Assumptions'!$B$14/12))/ABS('Monthly Cash Flow'!$S$5))^(1/('Assumptions'!$B$14/12))-1</x:f>
        <x:v>0.19302159270449892</x:v>
      </x:c>
      <x:c r="Q632" s="133" t="n">
        <x:f>-ABS('Monthly Cash Flow'!$S$5)+((L632-N632-'Assumptions'!$B$27-'Assumptions'!$B$28)*(1-(1+'Assumptions'!$B$43)^-('Assumptions'!$B$14/12))/'Assumptions'!$B$43)+(O632/(1+'Assumptions'!$B$43)^('Assumptions'!$B$14/12))</x:f>
        <x:v>660520.1927639886</x:v>
      </x:c>
    </x:row>
    <x:row r="633">
      <x:c r="A633" s="131" t="n">
        <x:f>626</x:f>
        <x:v>626</x:v>
      </x:c>
      <x:c r="B633" s="131" t="n">
        <x:f>MOD(ABS(SIN((A633+1)*12.9898+78.233)*43758.5453),1)</x:f>
        <x:v>0.2010694525888539</x:v>
      </x:c>
      <x:c r="C633" s="131" t="n">
        <x:f>MOD(ABS(SIN((A633+2)*12.9898+78.233)*43758.5453),1)</x:f>
        <x:v>0.5094579207870993</x:v>
      </x:c>
      <x:c r="D633" s="131" t="n">
        <x:f>MOD(ABS(SIN((A633+3)*12.9898+78.233)*43758.5453),1)</x:f>
        <x:v>0.840622046001954</x:v>
      </x:c>
      <x:c r="E633" s="131" t="n">
        <x:f>MOD(ABS(SIN((A633+4)*12.9898+78.233)*43758.5453),1)</x:f>
        <x:v>0.14969264285537065</x:v>
      </x:c>
      <x:c r="F633" s="131" t="n">
        <x:f>MOD(ABS(SIN((A633+5)*12.9898+78.233)*43758.5453),1)</x:f>
        <x:v>0.9037655546135284</x:v>
      </x:c>
      <x:c r="G633" s="132" t="n">
        <x:f>IF(B633&lt;(('Assumptions'!$C$47-'Assumptions'!$B$47)/('Assumptions'!$D$47-'Assumptions'!$B$47)),'Assumptions'!$B$47+SQRT(B633*('Assumptions'!$D$47-'Assumptions'!$B$47)*('Assumptions'!$C$47-'Assumptions'!$B$47)),'Assumptions'!$D$47-SQRT((1-B633)*('Assumptions'!$D$47-'Assumptions'!$B$47)*('Assumptions'!$D$47-'Assumptions'!$C$47)))</x:f>
        <x:v>-0.030532980039931948</x:v>
      </x:c>
      <x:c r="H633" s="132" t="n">
        <x:f>IF(C633&lt;(('Assumptions'!$C$48-'Assumptions'!$B$48)/('Assumptions'!$D$48-'Assumptions'!$B$48)),'Assumptions'!$B$48+SQRT(C633*('Assumptions'!$D$48-'Assumptions'!$B$48)*('Assumptions'!$C$48-'Assumptions'!$B$48)),'Assumptions'!$D$48-SQRT((1-C633)*('Assumptions'!$D$48-'Assumptions'!$B$48)*('Assumptions'!$D$48-'Assumptions'!$C$48)))</x:f>
        <x:v>0.07429786687577392</x:v>
      </x:c>
      <x:c r="I633" s="132" t="n">
        <x:f>IF(D633&lt;(('Assumptions'!$C$49-'Assumptions'!$B$49)/('Assumptions'!$D$49-'Assumptions'!$B$49)),'Assumptions'!$B$49+SQRT(D633*('Assumptions'!$D$49-'Assumptions'!$B$49)*('Assumptions'!$C$49-'Assumptions'!$B$49)),'Assumptions'!$D$49-SQRT((1-D633)*('Assumptions'!$D$49-'Assumptions'!$B$49)*('Assumptions'!$D$49-'Assumptions'!$C$49)))</x:f>
        <x:v>0.09132663460855689</x:v>
      </x:c>
      <x:c r="J633" s="132" t="n">
        <x:f>IF(E633&lt;(('Assumptions'!$C$50-'Assumptions'!$B$50)/('Assumptions'!$D$50-'Assumptions'!$B$50)),'Assumptions'!$B$50+SQRT(E633*('Assumptions'!$D$50-'Assumptions'!$B$50)*('Assumptions'!$C$50-'Assumptions'!$B$50)),'Assumptions'!$D$50-SQRT((1-E633)*('Assumptions'!$D$50-'Assumptions'!$B$50)*('Assumptions'!$D$50-'Assumptions'!$C$50)))</x:f>
        <x:v>0.06330352002171599</x:v>
      </x:c>
      <x:c r="K633" s="132" t="n">
        <x:f>IF(F633&lt;(('Assumptions'!$C$51-'Assumptions'!$B$51)/('Assumptions'!$D$51-'Assumptions'!$B$51)),'Assumptions'!$B$51+SQRT(F633*('Assumptions'!$D$51-'Assumptions'!$B$51)*('Assumptions'!$C$51-'Assumptions'!$B$51)),'Assumptions'!$D$51-SQRT((1-F633)*('Assumptions'!$D$51-'Assumptions'!$B$51)*('Assumptions'!$D$51-'Assumptions'!$C$51)))</x:f>
        <x:v>0.0781946471919349</x:v>
      </x:c>
      <x:c r="L633" s="133" t="n">
        <x:f>(('Assumptions'!$B$17*(1+G633)+'Assumptions'!$B$18)*(1-H633-'Assumptions'!$B$20)-SUM('Assumptions'!$B$21:$B$25)*(1+I633))-(('Assumptions'!$B$17*(1+G633)+'Assumptions'!$B$18)*(1-H633-'Assumptions'!$B$20)*'Assumptions'!$B$26)</x:f>
        <x:v>185120.16397961337</x:v>
      </x:c>
      <x:c r="M633" s="133" t="n">
        <x:f>'Assumptions'!$B$10*'Assumptions'!$B$33</x:f>
        <x:v>1950000</x:v>
      </x:c>
      <x:c r="N633" s="133" t="n">
        <x:f>-PMT(K633/12,'Assumptions'!$B$35*12,M633)*12</x:f>
        <x:v>168765.11587812373</x:v>
      </x:c>
      <x:c r="O633" s="133" t="n">
        <x:f>(L633*(1+'Assumptions'!$B$29)^('Assumptions'!$B$14/12)/J633)*(1-'Assumptions'!$B$42)-'Debt Schedule'!$F$9</x:f>
        <x:v>3186690.191297807</x:v>
      </x:c>
      <x:c r="P633" s="132" t="n">
        <x:f>((O633+(L633-N633-'Assumptions'!$B$27-'Assumptions'!$B$28)*('Assumptions'!$B$14/12))/ABS('Monthly Cash Flow'!$S$5))^(1/('Assumptions'!$B$14/12))-1</x:f>
        <x:v>0.18840326431109133</x:v>
      </x:c>
      <x:c r="Q633" s="133" t="n">
        <x:f>-ABS('Monthly Cash Flow'!$S$5)+((L633-N633-'Assumptions'!$B$27-'Assumptions'!$B$28)*(1-(1+'Assumptions'!$B$43)^-('Assumptions'!$B$14/12))/'Assumptions'!$B$43)+(O633/(1+'Assumptions'!$B$43)^('Assumptions'!$B$14/12))</x:f>
        <x:v>594550.9189400936</x:v>
      </x:c>
    </x:row>
    <x:row r="634">
      <x:c r="A634" s="131" t="n">
        <x:f>627</x:f>
        <x:v>627</x:v>
      </x:c>
      <x:c r="B634" s="131" t="n">
        <x:f>MOD(ABS(SIN((A634+1)*12.9898+78.233)*43758.5453),1)</x:f>
        <x:v>0.5094579207870993</x:v>
      </x:c>
      <x:c r="C634" s="131" t="n">
        <x:f>MOD(ABS(SIN((A634+2)*12.9898+78.233)*43758.5453),1)</x:f>
        <x:v>0.840622046001954</x:v>
      </x:c>
      <x:c r="D634" s="131" t="n">
        <x:f>MOD(ABS(SIN((A634+3)*12.9898+78.233)*43758.5453),1)</x:f>
        <x:v>0.14969264285537065</x:v>
      </x:c>
      <x:c r="E634" s="131" t="n">
        <x:f>MOD(ABS(SIN((A634+4)*12.9898+78.233)*43758.5453),1)</x:f>
        <x:v>0.9037655546135284</x:v>
      </x:c>
      <x:c r="F634" s="131" t="n">
        <x:f>MOD(ABS(SIN((A634+5)*12.9898+78.233)*43758.5453),1)</x:f>
        <x:v>0.3628034346111235</x:v>
      </x:c>
      <x:c r="G634" s="132" t="n">
        <x:f>IF(B634&lt;(('Assumptions'!$C$47-'Assumptions'!$B$47)/('Assumptions'!$D$47-'Assumptions'!$B$47)),'Assumptions'!$B$47+SQRT(B634*('Assumptions'!$D$47-'Assumptions'!$B$47)*('Assumptions'!$C$47-'Assumptions'!$B$47)),'Assumptions'!$D$47-SQRT((1-B634)*('Assumptions'!$D$47-'Assumptions'!$B$47)*('Assumptions'!$D$47-'Assumptions'!$C$47)))</x:f>
        <x:v>0.010575721109520167</x:v>
      </x:c>
      <x:c r="H634" s="132" t="n">
        <x:f>IF(C634&lt;(('Assumptions'!$C$48-'Assumptions'!$B$48)/('Assumptions'!$D$48-'Assumptions'!$B$48)),'Assumptions'!$B$48+SQRT(C634*('Assumptions'!$D$48-'Assumptions'!$B$48)*('Assumptions'!$C$48-'Assumptions'!$B$48)),'Assumptions'!$D$48-SQRT((1-C634)*('Assumptions'!$D$48-'Assumptions'!$B$48)*('Assumptions'!$D$48-'Assumptions'!$C$48)))</x:f>
        <x:v>0.10254968631395987</x:v>
      </x:c>
      <x:c r="I634" s="132" t="n">
        <x:f>IF(D634&lt;(('Assumptions'!$C$49-'Assumptions'!$B$49)/('Assumptions'!$D$49-'Assumptions'!$B$49)),'Assumptions'!$B$49+SQRT(D634*('Assumptions'!$D$49-'Assumptions'!$B$49)*('Assumptions'!$C$49-'Assumptions'!$B$49)),'Assumptions'!$D$49-SQRT((1-D634)*('Assumptions'!$D$49-'Assumptions'!$B$49)*('Assumptions'!$D$49-'Assumptions'!$C$49)))</x:f>
        <x:v>0.010207966161421334</x:v>
      </x:c>
      <x:c r="J634" s="132" t="n">
        <x:f>IF(E634&lt;(('Assumptions'!$C$50-'Assumptions'!$B$50)/('Assumptions'!$D$50-'Assumptions'!$B$50)),'Assumptions'!$B$50+SQRT(E634*('Assumptions'!$D$50-'Assumptions'!$B$50)*('Assumptions'!$C$50-'Assumptions'!$B$50)),'Assumptions'!$D$50-SQRT((1-E634)*('Assumptions'!$D$50-'Assumptions'!$B$50)*('Assumptions'!$D$50-'Assumptions'!$C$50)))</x:f>
        <x:v>0.0747975065819412</x:v>
      </x:c>
      <x:c r="K634" s="132" t="n">
        <x:f>IF(F634&lt;(('Assumptions'!$C$51-'Assumptions'!$B$51)/('Assumptions'!$D$51-'Assumptions'!$B$51)),'Assumptions'!$B$51+SQRT(F634*('Assumptions'!$D$51-'Assumptions'!$B$51)*('Assumptions'!$C$51-'Assumptions'!$B$51)),'Assumptions'!$D$51-SQRT((1-F634)*('Assumptions'!$D$51-'Assumptions'!$B$51)*('Assumptions'!$D$51-'Assumptions'!$C$51)))</x:f>
        <x:v>0.06748854066007938</x:v>
      </x:c>
      <x:c r="L634" s="133" t="n">
        <x:f>(('Assumptions'!$B$17*(1+G634)+'Assumptions'!$B$18)*(1-H634-'Assumptions'!$B$20)-SUM('Assumptions'!$B$21:$B$25)*(1+I634))-(('Assumptions'!$B$17*(1+G634)+'Assumptions'!$B$18)*(1-H634-'Assumptions'!$B$20)*'Assumptions'!$B$26)</x:f>
        <x:v>197995.36967081518</x:v>
      </x:c>
      <x:c r="M634" s="133" t="n">
        <x:f>'Assumptions'!$B$10*'Assumptions'!$B$33</x:f>
        <x:v>1950000</x:v>
      </x:c>
      <x:c r="N634" s="133" t="n">
        <x:f>-PMT(K634/12,'Assumptions'!$B$35*12,M634)*12</x:f>
        <x:v>151754.1305923915</x:v>
      </x:c>
      <x:c r="O634" s="133" t="n">
        <x:f>(L634*(1+'Assumptions'!$B$29)^('Assumptions'!$B$14/12)/J634)*(1-'Assumptions'!$B$42)-'Debt Schedule'!$F$9</x:f>
        <x:v>2884575.3664395986</x:v>
      </x:c>
      <x:c r="P634" s="132" t="n">
        <x:f>((O634+(L634-N634-'Assumptions'!$B$27-'Assumptions'!$B$28)*('Assumptions'!$B$14/12))/ABS('Monthly Cash Flow'!$S$5))^(1/('Assumptions'!$B$14/12))-1</x:f>
        <x:v>0.176333827581022</x:v>
      </x:c>
      <x:c r="Q634" s="133" t="n">
        <x:f>-ABS('Monthly Cash Flow'!$S$5)+((L634-N634-'Assumptions'!$B$27-'Assumptions'!$B$28)*(1-(1+'Assumptions'!$B$43)^-('Assumptions'!$B$14/12))/'Assumptions'!$B$43)+(O634/(1+'Assumptions'!$B$43)^('Assumptions'!$B$14/12))</x:f>
        <x:v>520253.5595167258</x:v>
      </x:c>
    </x:row>
    <x:row r="635">
      <x:c r="A635" s="131" t="n">
        <x:f>628</x:f>
        <x:v>628</x:v>
      </x:c>
      <x:c r="B635" s="131" t="n">
        <x:f>MOD(ABS(SIN((A635+1)*12.9898+78.233)*43758.5453),1)</x:f>
        <x:v>0.840622046001954</x:v>
      </x:c>
      <x:c r="C635" s="131" t="n">
        <x:f>MOD(ABS(SIN((A635+2)*12.9898+78.233)*43758.5453),1)</x:f>
        <x:v>0.14969264285537065</x:v>
      </x:c>
      <x:c r="D635" s="131" t="n">
        <x:f>MOD(ABS(SIN((A635+3)*12.9898+78.233)*43758.5453),1)</x:f>
        <x:v>0.9037655546135284</x:v>
      </x:c>
      <x:c r="E635" s="131" t="n">
        <x:f>MOD(ABS(SIN((A635+4)*12.9898+78.233)*43758.5453),1)</x:f>
        <x:v>0.3628034346111235</x:v>
      </x:c>
      <x:c r="F635" s="131" t="n">
        <x:f>MOD(ABS(SIN((A635+5)*12.9898+78.233)*43758.5453),1)</x:f>
        <x:v>0.9771739653442637</x:v>
      </x:c>
      <x:c r="G635" s="132" t="n">
        <x:f>IF(B635&lt;(('Assumptions'!$C$47-'Assumptions'!$B$47)/('Assumptions'!$D$47-'Assumptions'!$B$47)),'Assumptions'!$B$47+SQRT(B635*('Assumptions'!$D$47-'Assumptions'!$B$47)*('Assumptions'!$C$47-'Assumptions'!$B$47)),'Assumptions'!$D$47-SQRT((1-B635)*('Assumptions'!$D$47-'Assumptions'!$B$47)*('Assumptions'!$D$47-'Assumptions'!$C$47)))</x:f>
        <x:v>0.049502007327332946</x:v>
      </x:c>
      <x:c r="H635" s="132" t="n">
        <x:f>IF(C635&lt;(('Assumptions'!$C$48-'Assumptions'!$B$48)/('Assumptions'!$D$48-'Assumptions'!$B$48)),'Assumptions'!$B$48+SQRT(C635*('Assumptions'!$D$48-'Assumptions'!$B$48)*('Assumptions'!$C$48-'Assumptions'!$B$48)),'Assumptions'!$D$48-SQRT((1-C635)*('Assumptions'!$D$48-'Assumptions'!$B$48)*('Assumptions'!$D$48-'Assumptions'!$C$48)))</x:f>
        <x:v>0.05222578955679018</x:v>
      </x:c>
      <x:c r="I635" s="132" t="n">
        <x:f>IF(D635&lt;(('Assumptions'!$C$49-'Assumptions'!$B$49)/('Assumptions'!$D$49-'Assumptions'!$B$49)),'Assumptions'!$B$49+SQRT(D635*('Assumptions'!$D$49-'Assumptions'!$B$49)*('Assumptions'!$C$49-'Assumptions'!$B$49)),'Assumptions'!$D$49-SQRT((1-D635)*('Assumptions'!$D$49-'Assumptions'!$B$49)*('Assumptions'!$D$49-'Assumptions'!$C$49)))</x:f>
        <x:v>0.10440763199451264</x:v>
      </x:c>
      <x:c r="J635" s="132" t="n">
        <x:f>IF(E635&lt;(('Assumptions'!$C$50-'Assumptions'!$B$50)/('Assumptions'!$D$50-'Assumptions'!$B$50)),'Assumptions'!$B$50+SQRT(E635*('Assumptions'!$D$50-'Assumptions'!$B$50)*('Assumptions'!$C$50-'Assumptions'!$B$50)),'Assumptions'!$D$50-SQRT((1-E635)*('Assumptions'!$D$50-'Assumptions'!$B$50)*('Assumptions'!$D$50-'Assumptions'!$C$50)))</x:f>
        <x:v>0.0665349749743706</x:v>
      </x:c>
      <x:c r="K635" s="132" t="n">
        <x:f>IF(F635&lt;(('Assumptions'!$C$51-'Assumptions'!$B$51)/('Assumptions'!$D$51-'Assumptions'!$B$51)),'Assumptions'!$B$51+SQRT(F635*('Assumptions'!$D$51-'Assumptions'!$B$51)*('Assumptions'!$C$51-'Assumptions'!$B$51)),'Assumptions'!$D$51-SQRT((1-F635)*('Assumptions'!$D$51-'Assumptions'!$B$51)*('Assumptions'!$D$51-'Assumptions'!$C$51)))</x:f>
        <x:v>0.08168563291440537</x:v>
      </x:c>
      <x:c r="L635" s="133" t="n">
        <x:f>(('Assumptions'!$B$17*(1+G635)+'Assumptions'!$B$18)*(1-H635-'Assumptions'!$B$20)-SUM('Assumptions'!$B$21:$B$25)*(1+I635))-(('Assumptions'!$B$17*(1+G635)+'Assumptions'!$B$18)*(1-H635-'Assumptions'!$B$20)*'Assumptions'!$B$26)</x:f>
        <x:v>217187.48539150198</x:v>
      </x:c>
      <x:c r="M635" s="133" t="n">
        <x:f>'Assumptions'!$B$10*'Assumptions'!$B$33</x:f>
        <x:v>1950000</x:v>
      </x:c>
      <x:c r="N635" s="133" t="n">
        <x:f>-PMT(K635/12,'Assumptions'!$B$35*12,M635)*12</x:f>
        <x:v>174458.52015452384</x:v>
      </x:c>
      <x:c r="O635" s="133" t="n">
        <x:f>(L635*(1+'Assumptions'!$B$29)^('Assumptions'!$B$14/12)/J635)*(1-'Assumptions'!$B$42)-'Debt Schedule'!$F$9</x:f>
        <x:v>3557122.1286750077</x:v>
      </x:c>
      <x:c r="P635" s="132" t="n">
        <x:f>((O635+(L635-N635-'Assumptions'!$B$27-'Assumptions'!$B$28)*('Assumptions'!$B$14/12))/ABS('Monthly Cash Flow'!$S$5))^(1/('Assumptions'!$B$14/12))-1</x:f>
        <x:v>0.22498815818298046</x:v>
      </x:c>
      <x:c r="Q635" s="133" t="n">
        <x:f>-ABS('Monthly Cash Flow'!$S$5)+((L635-N635-'Assumptions'!$B$27-'Assumptions'!$B$28)*(1-(1+'Assumptions'!$B$43)^-('Assumptions'!$B$14/12))/'Assumptions'!$B$43)+(O635/(1+'Assumptions'!$B$43)^('Assumptions'!$B$14/12))</x:f>
        <x:v>924537.903734396</x:v>
      </x:c>
    </x:row>
    <x:row r="636">
      <x:c r="A636" s="131" t="n">
        <x:f>629</x:f>
        <x:v>629</x:v>
      </x:c>
      <x:c r="B636" s="131" t="n">
        <x:f>MOD(ABS(SIN((A636+1)*12.9898+78.233)*43758.5453),1)</x:f>
        <x:v>0.14969264285537065</x:v>
      </x:c>
      <x:c r="C636" s="131" t="n">
        <x:f>MOD(ABS(SIN((A636+2)*12.9898+78.233)*43758.5453),1)</x:f>
        <x:v>0.9037655546135284</x:v>
      </x:c>
      <x:c r="D636" s="131" t="n">
        <x:f>MOD(ABS(SIN((A636+3)*12.9898+78.233)*43758.5453),1)</x:f>
        <x:v>0.3628034346111235</x:v>
      </x:c>
      <x:c r="E636" s="131" t="n">
        <x:f>MOD(ABS(SIN((A636+4)*12.9898+78.233)*43758.5453),1)</x:f>
        <x:v>0.9771739653442637</x:v>
      </x:c>
      <x:c r="F636" s="131" t="n">
        <x:f>MOD(ABS(SIN((A636+5)*12.9898+78.233)*43758.5453),1)</x:f>
        <x:v>0.05661939996207366</x:v>
      </x:c>
      <x:c r="G636" s="132" t="n">
        <x:f>IF(B636&lt;(('Assumptions'!$C$47-'Assumptions'!$B$47)/('Assumptions'!$D$47-'Assumptions'!$B$47)),'Assumptions'!$B$47+SQRT(B636*('Assumptions'!$D$47-'Assumptions'!$B$47)*('Assumptions'!$C$47-'Assumptions'!$B$47)),'Assumptions'!$D$47-SQRT((1-B636)*('Assumptions'!$D$47-'Assumptions'!$B$47)*('Assumptions'!$D$47-'Assumptions'!$C$47)))</x:f>
        <x:v>-0.04006150295070041</x:v>
      </x:c>
      <x:c r="H636" s="132" t="n">
        <x:f>IF(C636&lt;(('Assumptions'!$C$48-'Assumptions'!$B$48)/('Assumptions'!$D$48-'Assumptions'!$B$48)),'Assumptions'!$B$48+SQRT(C636*('Assumptions'!$D$48-'Assumptions'!$B$48)*('Assumptions'!$C$48-'Assumptions'!$B$48)),'Assumptions'!$D$48-SQRT((1-C636)*('Assumptions'!$D$48-'Assumptions'!$B$48)*('Assumptions'!$D$48-'Assumptions'!$C$48)))</x:f>
        <x:v>0.1108990873098291</x:v>
      </x:c>
      <x:c r="I636" s="132" t="n">
        <x:f>IF(D636&lt;(('Assumptions'!$C$49-'Assumptions'!$B$49)/('Assumptions'!$D$49-'Assumptions'!$B$49)),'Assumptions'!$B$49+SQRT(D636*('Assumptions'!$D$49-'Assumptions'!$B$49)*('Assumptions'!$C$49-'Assumptions'!$B$49)),'Assumptions'!$D$49-SQRT((1-D636)*('Assumptions'!$D$49-'Assumptions'!$B$49)*('Assumptions'!$D$49-'Assumptions'!$C$49)))</x:f>
        <x:v>0.03268228687704601</x:v>
      </x:c>
      <x:c r="J636" s="132" t="n">
        <x:f>IF(E636&lt;(('Assumptions'!$C$50-'Assumptions'!$B$50)/('Assumptions'!$D$50-'Assumptions'!$B$50)),'Assumptions'!$B$50+SQRT(E636*('Assumptions'!$D$50-'Assumptions'!$B$50)*('Assumptions'!$C$50-'Assumptions'!$B$50)),'Assumptions'!$D$50-SQRT((1-E636)*('Assumptions'!$D$50-'Assumptions'!$B$50)*('Assumptions'!$D$50-'Assumptions'!$C$50)))</x:f>
        <x:v>0.07746626318515008</x:v>
      </x:c>
      <x:c r="K636" s="132" t="n">
        <x:f>IF(F636&lt;(('Assumptions'!$C$51-'Assumptions'!$B$51)/('Assumptions'!$D$51-'Assumptions'!$B$51)),'Assumptions'!$B$51+SQRT(F636*('Assumptions'!$D$51-'Assumptions'!$B$51)*('Assumptions'!$C$51-'Assumptions'!$B$51)),'Assumptions'!$D$51-SQRT((1-F636)*('Assumptions'!$D$51-'Assumptions'!$B$51)*('Assumptions'!$D$51-'Assumptions'!$C$51)))</x:f>
        <x:v>0.061445926379137136</x:v>
      </x:c>
      <x:c r="L636" s="133" t="n">
        <x:f>(('Assumptions'!$B$17*(1+G636)+'Assumptions'!$B$18)*(1-H636-'Assumptions'!$B$20)-SUM('Assumptions'!$B$21:$B$25)*(1+I636))-(('Assumptions'!$B$17*(1+G636)+'Assumptions'!$B$18)*(1-H636-'Assumptions'!$B$20)*'Assumptions'!$B$26)</x:f>
        <x:v>176718.79437456</x:v>
      </x:c>
      <x:c r="M636" s="133" t="n">
        <x:f>'Assumptions'!$B$10*'Assumptions'!$B$33</x:f>
        <x:v>1950000</x:v>
      </x:c>
      <x:c r="N636" s="133" t="n">
        <x:f>-PMT(K636/12,'Assumptions'!$B$35*12,M636)*12</x:f>
        <x:v>142477.47992163492</x:v>
      </x:c>
      <x:c r="O636" s="133" t="n">
        <x:f>(L636*(1+'Assumptions'!$B$29)^('Assumptions'!$B$14/12)/J636)*(1-'Assumptions'!$B$42)-'Debt Schedule'!$F$9</x:f>
        <x:v>2485902.6089088125</x:v>
      </x:c>
      <x:c r="P636" s="132" t="n">
        <x:f>((O636+(L636-N636-'Assumptions'!$B$27-'Assumptions'!$B$28)*('Assumptions'!$B$14/12))/ABS('Monthly Cash Flow'!$S$5))^(1/('Assumptions'!$B$14/12))-1</x:f>
        <x:v>0.13674873605051796</x:v>
      </x:c>
      <x:c r="Q636" s="133" t="n">
        <x:f>-ABS('Monthly Cash Flow'!$S$5)+((L636-N636-'Assumptions'!$B$27-'Assumptions'!$B$28)*(1-(1+'Assumptions'!$B$43)^-('Assumptions'!$B$14/12))/'Assumptions'!$B$43)+(O636/(1+'Assumptions'!$B$43)^('Assumptions'!$B$14/12))</x:f>
        <x:v>227219.9879388297</x:v>
      </x:c>
    </x:row>
    <x:row r="637">
      <x:c r="A637" s="131" t="n">
        <x:f>630</x:f>
        <x:v>630</x:v>
      </x:c>
      <x:c r="B637" s="131" t="n">
        <x:f>MOD(ABS(SIN((A637+1)*12.9898+78.233)*43758.5453),1)</x:f>
        <x:v>0.9037655546135284</x:v>
      </x:c>
      <x:c r="C637" s="131" t="n">
        <x:f>MOD(ABS(SIN((A637+2)*12.9898+78.233)*43758.5453),1)</x:f>
        <x:v>0.3628034346111235</x:v>
      </x:c>
      <x:c r="D637" s="131" t="n">
        <x:f>MOD(ABS(SIN((A637+3)*12.9898+78.233)*43758.5453),1)</x:f>
        <x:v>0.9771739653442637</x:v>
      </x:c>
      <x:c r="E637" s="131" t="n">
        <x:f>MOD(ABS(SIN((A637+4)*12.9898+78.233)*43758.5453),1)</x:f>
        <x:v>0.05661939996207366</x:v>
      </x:c>
      <x:c r="F637" s="131" t="n">
        <x:f>MOD(ABS(SIN((A637+5)*12.9898+78.233)*43758.5453),1)</x:f>
        <x:v>0.24080388112633955</x:v>
      </x:c>
      <x:c r="G637" s="132" t="n">
        <x:f>IF(B637&lt;(('Assumptions'!$C$47-'Assumptions'!$B$47)/('Assumptions'!$D$47-'Assumptions'!$B$47)),'Assumptions'!$B$47+SQRT(B637*('Assumptions'!$D$47-'Assumptions'!$B$47)*('Assumptions'!$C$47-'Assumptions'!$B$47)),'Assumptions'!$D$47-SQRT((1-B637)*('Assumptions'!$D$47-'Assumptions'!$B$47)*('Assumptions'!$D$47-'Assumptions'!$C$47)))</x:f>
        <x:v>0.060760337333463914</x:v>
      </x:c>
      <x:c r="H637" s="132" t="n">
        <x:f>IF(C637&lt;(('Assumptions'!$C$48-'Assumptions'!$B$48)/('Assumptions'!$D$48-'Assumptions'!$B$48)),'Assumptions'!$B$48+SQRT(C637*('Assumptions'!$D$48-'Assumptions'!$B$48)*('Assumptions'!$C$48-'Assumptions'!$B$48)),'Assumptions'!$D$48-SQRT((1-C637)*('Assumptions'!$D$48-'Assumptions'!$B$48)*('Assumptions'!$D$48-'Assumptions'!$C$48)))</x:f>
        <x:v>0.06511789415740157</x:v>
      </x:c>
      <x:c r="I637" s="132" t="n">
        <x:f>IF(D637&lt;(('Assumptions'!$C$49-'Assumptions'!$B$49)/('Assumptions'!$D$49-'Assumptions'!$B$49)),'Assumptions'!$B$49+SQRT(D637*('Assumptions'!$D$49-'Assumptions'!$B$49)*('Assumptions'!$C$49-'Assumptions'!$B$49)),'Assumptions'!$D$49-SQRT((1-D637)*('Assumptions'!$D$49-'Assumptions'!$B$49)*('Assumptions'!$D$49-'Assumptions'!$C$49)))</x:f>
        <x:v>0.1277954430676065</x:v>
      </x:c>
      <x:c r="J637" s="132" t="n">
        <x:f>IF(E637&lt;(('Assumptions'!$C$50-'Assumptions'!$B$50)/('Assumptions'!$D$50-'Assumptions'!$B$50)),'Assumptions'!$B$50+SQRT(E637*('Assumptions'!$D$50-'Assumptions'!$B$50)*('Assumptions'!$C$50-'Assumptions'!$B$50)),'Assumptions'!$D$50-SQRT((1-E637)*('Assumptions'!$D$50-'Assumptions'!$B$50)*('Assumptions'!$D$50-'Assumptions'!$C$50)))</x:f>
        <x:v>0.06106922470453551</x:v>
      </x:c>
      <x:c r="K637" s="132" t="n">
        <x:f>IF(F637&lt;(('Assumptions'!$C$51-'Assumptions'!$B$51)/('Assumptions'!$D$51-'Assumptions'!$B$51)),'Assumptions'!$B$51+SQRT(F637*('Assumptions'!$D$51-'Assumptions'!$B$51)*('Assumptions'!$C$51-'Assumptions'!$B$51)),'Assumptions'!$D$51-SQRT((1-F637)*('Assumptions'!$D$51-'Assumptions'!$B$51)*('Assumptions'!$D$51-'Assumptions'!$C$51)))</x:f>
        <x:v>0.06563763278292548</x:v>
      </x:c>
      <x:c r="L637" s="133" t="n">
        <x:f>(('Assumptions'!$B$17*(1+G637)+'Assumptions'!$B$18)*(1-H637-'Assumptions'!$B$20)-SUM('Assumptions'!$B$21:$B$25)*(1+I637))-(('Assumptions'!$B$17*(1+G637)+'Assumptions'!$B$18)*(1-H637-'Assumptions'!$B$20)*'Assumptions'!$B$26)</x:f>
        <x:v>212940.3817478054</x:v>
      </x:c>
      <x:c r="M637" s="133" t="n">
        <x:f>'Assumptions'!$B$10*'Assumptions'!$B$33</x:f>
        <x:v>1950000</x:v>
      </x:c>
      <x:c r="N637" s="133" t="n">
        <x:f>-PMT(K637/12,'Assumptions'!$B$35*12,M637)*12</x:f>
        <x:v>148886.5333637554</x:v>
      </x:c>
      <x:c r="O637" s="133" t="n">
        <x:f>(L637*(1+'Assumptions'!$B$29)^('Assumptions'!$B$14/12)/J637)*(1-'Assumptions'!$B$42)-'Debt Schedule'!$F$9</x:f>
        <x:v>3799702.537874786</x:v>
      </x:c>
      <x:c r="P637" s="132" t="n">
        <x:f>((O637+(L637-N637-'Assumptions'!$B$27-'Assumptions'!$B$28)*('Assumptions'!$B$14/12))/ABS('Monthly Cash Flow'!$S$5))^(1/('Assumptions'!$B$14/12))-1</x:f>
        <x:v>0.2480620483082303</x:v>
      </x:c>
      <x:c r="Q637" s="133" t="n">
        <x:f>-ABS('Monthly Cash Flow'!$S$5)+((L637-N637-'Assumptions'!$B$27-'Assumptions'!$B$28)*(1-(1+'Assumptions'!$B$43)^-('Assumptions'!$B$14/12))/'Assumptions'!$B$43)+(O637/(1+'Assumptions'!$B$43)^('Assumptions'!$B$14/12))</x:f>
        <x:v>1155999.3372560544</x:v>
      </x:c>
    </x:row>
    <x:row r="638">
      <x:c r="A638" s="131" t="n">
        <x:f>631</x:f>
        <x:v>631</x:v>
      </x:c>
      <x:c r="B638" s="131" t="n">
        <x:f>MOD(ABS(SIN((A638+1)*12.9898+78.233)*43758.5453),1)</x:f>
        <x:v>0.3628034346111235</x:v>
      </x:c>
      <x:c r="C638" s="131" t="n">
        <x:f>MOD(ABS(SIN((A638+2)*12.9898+78.233)*43758.5453),1)</x:f>
        <x:v>0.9771739653442637</x:v>
      </x:c>
      <x:c r="D638" s="131" t="n">
        <x:f>MOD(ABS(SIN((A638+3)*12.9898+78.233)*43758.5453),1)</x:f>
        <x:v>0.05661939996207366</x:v>
      </x:c>
      <x:c r="E638" s="131" t="n">
        <x:f>MOD(ABS(SIN((A638+4)*12.9898+78.233)*43758.5453),1)</x:f>
        <x:v>0.24080388112633955</x:v>
      </x:c>
      <x:c r="F638" s="131" t="n">
        <x:f>MOD(ABS(SIN((A638+5)*12.9898+78.233)*43758.5453),1)</x:f>
        <x:v>0.19393716668855632</x:v>
      </x:c>
      <x:c r="G638" s="132" t="n">
        <x:f>IF(B638&lt;(('Assumptions'!$C$47-'Assumptions'!$B$47)/('Assumptions'!$D$47-'Assumptions'!$B$47)),'Assumptions'!$B$47+SQRT(B638*('Assumptions'!$D$47-'Assumptions'!$B$47)*('Assumptions'!$C$47-'Assumptions'!$B$47)),'Assumptions'!$D$47-SQRT((1-B638)*('Assumptions'!$D$47-'Assumptions'!$B$47)*('Assumptions'!$D$47-'Assumptions'!$C$47)))</x:f>
        <x:v>-0.006687179708965152</x:v>
      </x:c>
      <x:c r="H638" s="132" t="n">
        <x:f>IF(C638&lt;(('Assumptions'!$C$48-'Assumptions'!$B$48)/('Assumptions'!$D$48-'Assumptions'!$B$48)),'Assumptions'!$B$48+SQRT(C638*('Assumptions'!$D$48-'Assumptions'!$B$48)*('Assumptions'!$C$48-'Assumptions'!$B$48)),'Assumptions'!$D$48-SQRT((1-C638)*('Assumptions'!$D$48-'Assumptions'!$B$48)*('Assumptions'!$D$48-'Assumptions'!$C$48)))</x:f>
        <x:v>0.12582717018480505</x:v>
      </x:c>
      <x:c r="I638" s="132" t="n">
        <x:f>IF(D638&lt;(('Assumptions'!$C$49-'Assumptions'!$B$49)/('Assumptions'!$D$49-'Assumptions'!$B$49)),'Assumptions'!$B$49+SQRT(D638*('Assumptions'!$D$49-'Assumptions'!$B$49)*('Assumptions'!$C$49-'Assumptions'!$B$49)),'Assumptions'!$D$49-SQRT((1-D638)*('Assumptions'!$D$49-'Assumptions'!$B$49)*('Assumptions'!$D$49-'Assumptions'!$C$49)))</x:f>
        <x:v>-0.005271685872457955</x:v>
      </x:c>
      <x:c r="J638" s="132" t="n">
        <x:f>IF(E638&lt;(('Assumptions'!$C$50-'Assumptions'!$B$50)/('Assumptions'!$D$50-'Assumptions'!$B$50)),'Assumptions'!$B$50+SQRT(E638*('Assumptions'!$D$50-'Assumptions'!$B$50)*('Assumptions'!$C$50-'Assumptions'!$B$50)),'Assumptions'!$D$50-SQRT((1-E638)*('Assumptions'!$D$50-'Assumptions'!$B$50)*('Assumptions'!$D$50-'Assumptions'!$C$50)))</x:f>
        <x:v>0.06486076580617985</x:v>
      </x:c>
      <x:c r="K638" s="132" t="n">
        <x:f>IF(F638&lt;(('Assumptions'!$C$51-'Assumptions'!$B$51)/('Assumptions'!$D$51-'Assumptions'!$B$51)),'Assumptions'!$B$51+SQRT(F638*('Assumptions'!$D$51-'Assumptions'!$B$51)*('Assumptions'!$C$51-'Assumptions'!$B$51)),'Assumptions'!$D$51-SQRT((1-F638)*('Assumptions'!$D$51-'Assumptions'!$B$51)*('Assumptions'!$D$51-'Assumptions'!$C$51)))</x:f>
        <x:v>0.06480292549868565</x:v>
      </x:c>
      <x:c r="L638" s="133" t="n">
        <x:f>(('Assumptions'!$B$17*(1+G638)+'Assumptions'!$B$18)*(1-H638-'Assumptions'!$B$20)-SUM('Assumptions'!$B$21:$B$25)*(1+I638))-(('Assumptions'!$B$17*(1+G638)+'Assumptions'!$B$18)*(1-H638-'Assumptions'!$B$20)*'Assumptions'!$B$26)</x:f>
        <x:v>186258.08831652027</x:v>
      </x:c>
      <x:c r="M638" s="133" t="n">
        <x:f>'Assumptions'!$B$10*'Assumptions'!$B$33</x:f>
        <x:v>1950000</x:v>
      </x:c>
      <x:c r="N638" s="133" t="n">
        <x:f>-PMT(K638/12,'Assumptions'!$B$35*12,M638)*12</x:f>
        <x:v>147600.769456627</x:v>
      </x:c>
      <x:c r="O638" s="133" t="n">
        <x:f>(L638*(1+'Assumptions'!$B$29)^('Assumptions'!$B$14/12)/J638)*(1-'Assumptions'!$B$42)-'Debt Schedule'!$F$9</x:f>
        <x:v>3129298.891500936</x:v>
      </x:c>
      <x:c r="P638" s="132" t="n">
        <x:f>((O638+(L638-N638-'Assumptions'!$B$27-'Assumptions'!$B$28)*('Assumptions'!$B$14/12))/ABS('Monthly Cash Flow'!$S$5))^(1/('Assumptions'!$B$14/12))-1</x:f>
        <x:v>0.1925660903935249</x:v>
      </x:c>
      <x:c r="Q638" s="133" t="n">
        <x:f>-ABS('Monthly Cash Flow'!$S$5)+((L638-N638-'Assumptions'!$B$27-'Assumptions'!$B$28)*(1-(1+'Assumptions'!$B$43)^-('Assumptions'!$B$14/12))/'Assumptions'!$B$43)+(O638/(1+'Assumptions'!$B$43)^('Assumptions'!$B$14/12))</x:f>
        <x:v>643458.5900568573</x:v>
      </x:c>
    </x:row>
    <x:row r="639">
      <x:c r="A639" s="131" t="n">
        <x:f>632</x:f>
        <x:v>632</x:v>
      </x:c>
      <x:c r="B639" s="131" t="n">
        <x:f>MOD(ABS(SIN((A639+1)*12.9898+78.233)*43758.5453),1)</x:f>
        <x:v>0.9771739653442637</x:v>
      </x:c>
      <x:c r="C639" s="131" t="n">
        <x:f>MOD(ABS(SIN((A639+2)*12.9898+78.233)*43758.5453),1)</x:f>
        <x:v>0.05661939996207366</x:v>
      </x:c>
      <x:c r="D639" s="131" t="n">
        <x:f>MOD(ABS(SIN((A639+3)*12.9898+78.233)*43758.5453),1)</x:f>
        <x:v>0.24080388112633955</x:v>
      </x:c>
      <x:c r="E639" s="131" t="n">
        <x:f>MOD(ABS(SIN((A639+4)*12.9898+78.233)*43758.5453),1)</x:f>
        <x:v>0.19393716668855632</x:v>
      </x:c>
      <x:c r="F639" s="131" t="n">
        <x:f>MOD(ABS(SIN((A639+5)*12.9898+78.233)*43758.5453),1)</x:f>
        <x:v>0.9079782031731156</x:v>
      </x:c>
      <x:c r="G639" s="132" t="n">
        <x:f>IF(B639&lt;(('Assumptions'!$C$47-'Assumptions'!$B$47)/('Assumptions'!$D$47-'Assumptions'!$B$47)),'Assumptions'!$B$47+SQRT(B639*('Assumptions'!$D$47-'Assumptions'!$B$47)*('Assumptions'!$C$47-'Assumptions'!$B$47)),'Assumptions'!$D$47-SQRT((1-B639)*('Assumptions'!$D$47-'Assumptions'!$B$47)*('Assumptions'!$D$47-'Assumptions'!$C$47)))</x:f>
        <x:v>0.08088936017576123</x:v>
      </x:c>
      <x:c r="H639" s="132" t="n">
        <x:f>IF(C639&lt;(('Assumptions'!$C$48-'Assumptions'!$B$48)/('Assumptions'!$D$48-'Assumptions'!$B$48)),'Assumptions'!$B$48+SQRT(C639*('Assumptions'!$D$48-'Assumptions'!$B$48)*('Assumptions'!$C$48-'Assumptions'!$B$48)),'Assumptions'!$D$48-SQRT((1-C639)*('Assumptions'!$D$48-'Assumptions'!$B$48)*('Assumptions'!$D$48-'Assumptions'!$C$48)))</x:f>
        <x:v>0.0436690899431836</x:v>
      </x:c>
      <x:c r="I639" s="132" t="n">
        <x:f>IF(D639&lt;(('Assumptions'!$C$49-'Assumptions'!$B$49)/('Assumptions'!$D$49-'Assumptions'!$B$49)),'Assumptions'!$B$49+SQRT(D639*('Assumptions'!$D$49-'Assumptions'!$B$49)*('Assumptions'!$C$49-'Assumptions'!$B$49)),'Assumptions'!$D$49-SQRT((1-D639)*('Assumptions'!$D$49-'Assumptions'!$B$49)*('Assumptions'!$D$49-'Assumptions'!$C$49)))</x:f>
        <x:v>0.020996881435676698</x:v>
      </x:c>
      <x:c r="J639" s="132" t="n">
        <x:f>IF(E639&lt;(('Assumptions'!$C$50-'Assumptions'!$B$50)/('Assumptions'!$D$50-'Assumptions'!$B$50)),'Assumptions'!$B$50+SQRT(E639*('Assumptions'!$D$50-'Assumptions'!$B$50)*('Assumptions'!$C$50-'Assumptions'!$B$50)),'Assumptions'!$D$50-SQRT((1-E639)*('Assumptions'!$D$50-'Assumptions'!$B$50)*('Assumptions'!$D$50-'Assumptions'!$C$50)))</x:f>
        <x:v>0.06410574465937983</x:v>
      </x:c>
      <x:c r="K639" s="132" t="n">
        <x:f>IF(F639&lt;(('Assumptions'!$C$51-'Assumptions'!$B$51)/('Assumptions'!$D$51-'Assumptions'!$B$51)),'Assumptions'!$B$51+SQRT(F639*('Assumptions'!$D$51-'Assumptions'!$B$51)*('Assumptions'!$C$51-'Assumptions'!$B$51)),'Assumptions'!$D$51-SQRT((1-F639)*('Assumptions'!$D$51-'Assumptions'!$B$51)*('Assumptions'!$D$51-'Assumptions'!$C$51)))</x:f>
        <x:v>0.07834526561589886</x:v>
      </x:c>
      <x:c r="L639" s="133" t="n">
        <x:f>(('Assumptions'!$B$17*(1+G639)+'Assumptions'!$B$18)*(1-H639-'Assumptions'!$B$20)-SUM('Assumptions'!$B$21:$B$25)*(1+I639))-(('Assumptions'!$B$17*(1+G639)+'Assumptions'!$B$18)*(1-H639-'Assumptions'!$B$20)*'Assumptions'!$B$26)</x:f>
        <x:v>241213.9775726391</x:v>
      </x:c>
      <x:c r="M639" s="133" t="n">
        <x:f>'Assumptions'!$B$10*'Assumptions'!$B$33</x:f>
        <x:v>1950000</x:v>
      </x:c>
      <x:c r="N639" s="133" t="n">
        <x:f>-PMT(K639/12,'Assumptions'!$B$35*12,M639)*12</x:f>
        <x:v>169009.33674047474</x:v>
      </x:c>
      <x:c r="O639" s="133" t="n">
        <x:f>(L639*(1+'Assumptions'!$B$29)^('Assumptions'!$B$14/12)/J639)*(1-'Assumptions'!$B$42)-'Debt Schedule'!$F$9</x:f>
        <x:v>4100336.488124035</x:v>
      </x:c>
      <x:c r="P639" s="132" t="n">
        <x:f>((O639+(L639-N639-'Assumptions'!$B$27-'Assumptions'!$B$28)*('Assumptions'!$B$14/12))/ABS('Monthly Cash Flow'!$S$5))^(1/('Assumptions'!$B$14/12))-1</x:f>
        <x:v>0.2690806658069158</x:v>
      </x:c>
      <x:c r="Q639" s="133" t="n">
        <x:f>-ABS('Monthly Cash Flow'!$S$5)+((L639-N639-'Assumptions'!$B$27-'Assumptions'!$B$28)*(1-(1+'Assumptions'!$B$43)^-('Assumptions'!$B$14/12))/'Assumptions'!$B$43)+(O639/(1+'Assumptions'!$B$43)^('Assumptions'!$B$14/12))</x:f>
        <x:v>1373567.2835738244</x:v>
      </x:c>
    </x:row>
    <x:row r="640">
      <x:c r="A640" s="131" t="n">
        <x:f>633</x:f>
        <x:v>633</x:v>
      </x:c>
      <x:c r="B640" s="131" t="n">
        <x:f>MOD(ABS(SIN((A640+1)*12.9898+78.233)*43758.5453),1)</x:f>
        <x:v>0.05661939996207366</x:v>
      </x:c>
      <x:c r="C640" s="131" t="n">
        <x:f>MOD(ABS(SIN((A640+2)*12.9898+78.233)*43758.5453),1)</x:f>
        <x:v>0.24080388112633955</x:v>
      </x:c>
      <x:c r="D640" s="131" t="n">
        <x:f>MOD(ABS(SIN((A640+3)*12.9898+78.233)*43758.5453),1)</x:f>
        <x:v>0.19393716668855632</x:v>
      </x:c>
      <x:c r="E640" s="131" t="n">
        <x:f>MOD(ABS(SIN((A640+4)*12.9898+78.233)*43758.5453),1)</x:f>
        <x:v>0.9079782031731156</x:v>
      </x:c>
      <x:c r="F640" s="131" t="n">
        <x:f>MOD(ABS(SIN((A640+5)*12.9898+78.233)*43758.5453),1)</x:f>
        <x:v>0.025190001748342183</x:v>
      </x:c>
      <x:c r="G640" s="132" t="n">
        <x:f>IF(B640&lt;(('Assumptions'!$C$47-'Assumptions'!$B$47)/('Assumptions'!$D$47-'Assumptions'!$B$47)),'Assumptions'!$B$47+SQRT(B640*('Assumptions'!$D$47-'Assumptions'!$B$47)*('Assumptions'!$C$47-'Assumptions'!$B$47)),'Assumptions'!$D$47-SQRT((1-B640)*('Assumptions'!$D$47-'Assumptions'!$B$47)*('Assumptions'!$D$47-'Assumptions'!$C$47)))</x:f>
        <x:v>-0.06313720576123172</x:v>
      </x:c>
      <x:c r="H640" s="132" t="n">
        <x:f>IF(C640&lt;(('Assumptions'!$C$48-'Assumptions'!$B$48)/('Assumptions'!$D$48-'Assumptions'!$B$48)),'Assumptions'!$B$48+SQRT(C640*('Assumptions'!$D$48-'Assumptions'!$B$48)*('Assumptions'!$C$48-'Assumptions'!$B$48)),'Assumptions'!$D$48-SQRT((1-C640)*('Assumptions'!$D$48-'Assumptions'!$B$48)*('Assumptions'!$D$48-'Assumptions'!$C$48)))</x:f>
        <x:v>0.05818958686673007</x:v>
      </x:c>
      <x:c r="I640" s="132" t="n">
        <x:f>IF(D640&lt;(('Assumptions'!$C$49-'Assumptions'!$B$49)/('Assumptions'!$D$49-'Assumptions'!$B$49)),'Assumptions'!$B$49+SQRT(D640*('Assumptions'!$D$49-'Assumptions'!$B$49)*('Assumptions'!$C$49-'Assumptions'!$B$49)),'Assumptions'!$D$49-SQRT((1-D640)*('Assumptions'!$D$49-'Assumptions'!$B$49)*('Assumptions'!$D$49-'Assumptions'!$C$49)))</x:f>
        <x:v>0.015765941487490547</x:v>
      </x:c>
      <x:c r="J640" s="132" t="n">
        <x:f>IF(E640&lt;(('Assumptions'!$C$50-'Assumptions'!$B$50)/('Assumptions'!$D$50-'Assumptions'!$B$50)),'Assumptions'!$B$50+SQRT(E640*('Assumptions'!$D$50-'Assumptions'!$B$50)*('Assumptions'!$C$50-'Assumptions'!$B$50)),'Assumptions'!$D$50-SQRT((1-E640)*('Assumptions'!$D$50-'Assumptions'!$B$50)*('Assumptions'!$D$50-'Assumptions'!$C$50)))</x:f>
        <x:v>0.07491264996706919</x:v>
      </x:c>
      <x:c r="K640" s="132" t="n">
        <x:f>IF(F640&lt;(('Assumptions'!$C$51-'Assumptions'!$B$51)/('Assumptions'!$D$51-'Assumptions'!$B$51)),'Assumptions'!$B$51+SQRT(F640*('Assumptions'!$D$51-'Assumptions'!$B$51)*('Assumptions'!$C$51-'Assumptions'!$B$51)),'Assumptions'!$D$51-SQRT((1-F640)*('Assumptions'!$D$51-'Assumptions'!$B$51)*('Assumptions'!$D$51-'Assumptions'!$C$51)))</x:f>
        <x:v>0.0601319670364186</x:v>
      </x:c>
      <x:c r="L640" s="133" t="n">
        <x:f>(('Assumptions'!$B$17*(1+G640)+'Assumptions'!$B$18)*(1-H640-'Assumptions'!$B$20)-SUM('Assumptions'!$B$21:$B$25)*(1+I640))-(('Assumptions'!$B$17*(1+G640)+'Assumptions'!$B$18)*(1-H640-'Assumptions'!$B$20)*'Assumptions'!$B$26)</x:f>
        <x:v>189816.54745127002</x:v>
      </x:c>
      <x:c r="M640" s="133" t="n">
        <x:f>'Assumptions'!$B$10*'Assumptions'!$B$33</x:f>
        <x:v>1950000</x:v>
      </x:c>
      <x:c r="N640" s="133" t="n">
        <x:f>-PMT(K640/12,'Assumptions'!$B$35*12,M640)*12</x:f>
        <x:v>140493.4197434622</x:v>
      </x:c>
      <x:c r="O640" s="133" t="n">
        <x:f>(L640*(1+'Assumptions'!$B$29)^('Assumptions'!$B$14/12)/J640)*(1-'Assumptions'!$B$42)-'Debt Schedule'!$F$9</x:f>
        <x:v>2761168.3511972544</x:v>
      </x:c>
      <x:c r="P640" s="132" t="n">
        <x:f>((O640+(L640-N640-'Assumptions'!$B$27-'Assumptions'!$B$28)*('Assumptions'!$B$14/12))/ABS('Monthly Cash Flow'!$S$5))^(1/('Assumptions'!$B$14/12))-1</x:f>
        <x:v>0.16748773745194234</x:v>
      </x:c>
      <x:c r="Q640" s="133" t="n">
        <x:f>-ABS('Monthly Cash Flow'!$S$5)+((L640-N640-'Assumptions'!$B$27-'Assumptions'!$B$28)*(1-(1+'Assumptions'!$B$43)^-('Assumptions'!$B$14/12))/'Assumptions'!$B$43)+(O640/(1+'Assumptions'!$B$43)^('Assumptions'!$B$14/12))</x:f>
        <x:v>455310.2949787278</x:v>
      </x:c>
    </x:row>
    <x:row r="641">
      <x:c r="A641" s="131" t="n">
        <x:f>634</x:f>
        <x:v>634</x:v>
      </x:c>
      <x:c r="B641" s="131" t="n">
        <x:f>MOD(ABS(SIN((A641+1)*12.9898+78.233)*43758.5453),1)</x:f>
        <x:v>0.24080388112633955</x:v>
      </x:c>
      <x:c r="C641" s="131" t="n">
        <x:f>MOD(ABS(SIN((A641+2)*12.9898+78.233)*43758.5453),1)</x:f>
        <x:v>0.19393716668855632</x:v>
      </x:c>
      <x:c r="D641" s="131" t="n">
        <x:f>MOD(ABS(SIN((A641+3)*12.9898+78.233)*43758.5453),1)</x:f>
        <x:v>0.9079782031731156</x:v>
      </x:c>
      <x:c r="E641" s="131" t="n">
        <x:f>MOD(ABS(SIN((A641+4)*12.9898+78.233)*43758.5453),1)</x:f>
        <x:v>0.025190001748342183</x:v>
      </x:c>
      <x:c r="F641" s="131" t="n">
        <x:f>MOD(ABS(SIN((A641+5)*12.9898+78.233)*43758.5453),1)</x:f>
        <x:v>0.037337718218623195</x:v>
      </x:c>
      <x:c r="G641" s="132" t="n">
        <x:f>IF(B641&lt;(('Assumptions'!$C$47-'Assumptions'!$B$47)/('Assumptions'!$D$47-'Assumptions'!$B$47)),'Assumptions'!$B$47+SQRT(B641*('Assumptions'!$D$47-'Assumptions'!$B$47)*('Assumptions'!$C$47-'Assumptions'!$B$47)),'Assumptions'!$D$47-SQRT((1-B641)*('Assumptions'!$D$47-'Assumptions'!$B$47)*('Assumptions'!$D$47-'Assumptions'!$C$47)))</x:f>
        <x:v>-0.023978337646219886</x:v>
      </x:c>
      <x:c r="H641" s="132" t="n">
        <x:f>IF(C641&lt;(('Assumptions'!$C$48-'Assumptions'!$B$48)/('Assumptions'!$D$48-'Assumptions'!$B$48)),'Assumptions'!$B$48+SQRT(C641*('Assumptions'!$D$48-'Assumptions'!$B$48)*('Assumptions'!$C$48-'Assumptions'!$B$48)),'Assumptions'!$D$48-SQRT((1-C641)*('Assumptions'!$D$48-'Assumptions'!$B$48)*('Assumptions'!$D$48-'Assumptions'!$C$48)))</x:f>
        <x:v>0.05529807601522764</x:v>
      </x:c>
      <x:c r="I641" s="132" t="n">
        <x:f>IF(D641&lt;(('Assumptions'!$C$49-'Assumptions'!$B$49)/('Assumptions'!$D$49-'Assumptions'!$B$49)),'Assumptions'!$B$49+SQRT(D641*('Assumptions'!$D$49-'Assumptions'!$B$49)*('Assumptions'!$C$49-'Assumptions'!$B$49)),'Assumptions'!$D$49-SQRT((1-D641)*('Assumptions'!$D$49-'Assumptions'!$B$49)*('Assumptions'!$D$49-'Assumptions'!$C$49)))</x:f>
        <x:v>0.10541669806462622</x:v>
      </x:c>
      <x:c r="J641" s="132" t="n">
        <x:f>IF(E641&lt;(('Assumptions'!$C$50-'Assumptions'!$B$50)/('Assumptions'!$D$50-'Assumptions'!$B$50)),'Assumptions'!$B$50+SQRT(E641*('Assumptions'!$D$50-'Assumptions'!$B$50)*('Assumptions'!$C$50-'Assumptions'!$B$50)),'Assumptions'!$D$50-SQRT((1-E641)*('Assumptions'!$D$50-'Assumptions'!$B$50)*('Assumptions'!$D$50-'Assumptions'!$C$50)))</x:f>
        <x:v>0.05988070376010477</x:v>
      </x:c>
      <x:c r="K641" s="132" t="n">
        <x:f>IF(F641&lt;(('Assumptions'!$C$51-'Assumptions'!$B$51)/('Assumptions'!$D$51-'Assumptions'!$B$51)),'Assumptions'!$B$51+SQRT(F641*('Assumptions'!$D$51-'Assumptions'!$B$51)*('Assumptions'!$C$51-'Assumptions'!$B$51)),'Assumptions'!$D$51-SQRT((1-F641)*('Assumptions'!$D$51-'Assumptions'!$B$51)*('Assumptions'!$D$51-'Assumptions'!$C$51)))</x:f>
        <x:v>0.06070435212018302</x:v>
      </x:c>
      <x:c r="L641" s="133" t="n">
        <x:f>(('Assumptions'!$B$17*(1+G641)+'Assumptions'!$B$18)*(1-H641-'Assumptions'!$B$20)-SUM('Assumptions'!$B$21:$B$25)*(1+I641))-(('Assumptions'!$B$17*(1+G641)+'Assumptions'!$B$18)*(1-H641-'Assumptions'!$B$20)*'Assumptions'!$B$26)</x:f>
        <x:v>192156.33623595414</x:v>
      </x:c>
      <x:c r="M641" s="133" t="n">
        <x:f>'Assumptions'!$B$10*'Assumptions'!$B$33</x:f>
        <x:v>1950000</x:v>
      </x:c>
      <x:c r="N641" s="133" t="n">
        <x:f>-PMT(K641/12,'Assumptions'!$B$35*12,M641)*12</x:f>
        <x:v>141356.22302490173</x:v>
      </x:c>
      <x:c r="O641" s="133" t="n">
        <x:f>(L641*(1+'Assumptions'!$B$29)^('Assumptions'!$B$14/12)/J641)*(1-'Assumptions'!$B$42)-'Debt Schedule'!$F$9</x:f>
        <x:v>3496888.5489564925</x:v>
      </x:c>
      <x:c r="P641" s="132" t="n">
        <x:f>((O641+(L641-N641-'Assumptions'!$B$27-'Assumptions'!$B$28)*('Assumptions'!$B$14/12))/ABS('Monthly Cash Flow'!$S$5))^(1/('Assumptions'!$B$14/12))-1</x:f>
        <x:v>0.22362125176212388</x:v>
      </x:c>
      <x:c r="Q641" s="133" t="n">
        <x:f>-ABS('Monthly Cash Flow'!$S$5)+((L641-N641-'Assumptions'!$B$27-'Assumptions'!$B$28)*(1-(1+'Assumptions'!$B$43)^-('Assumptions'!$B$14/12))/'Assumptions'!$B$43)+(O641/(1+'Assumptions'!$B$43)^('Assumptions'!$B$14/12))</x:f>
        <x:v>917733.5906770446</x:v>
      </x:c>
    </x:row>
    <x:row r="642">
      <x:c r="A642" s="131" t="n">
        <x:f>635</x:f>
        <x:v>635</x:v>
      </x:c>
      <x:c r="B642" s="131" t="n">
        <x:f>MOD(ABS(SIN((A642+1)*12.9898+78.233)*43758.5453),1)</x:f>
        <x:v>0.19393716668855632</x:v>
      </x:c>
      <x:c r="C642" s="131" t="n">
        <x:f>MOD(ABS(SIN((A642+2)*12.9898+78.233)*43758.5453),1)</x:f>
        <x:v>0.9079782031731156</x:v>
      </x:c>
      <x:c r="D642" s="131" t="n">
        <x:f>MOD(ABS(SIN((A642+3)*12.9898+78.233)*43758.5453),1)</x:f>
        <x:v>0.025190001748342183</x:v>
      </x:c>
      <x:c r="E642" s="131" t="n">
        <x:f>MOD(ABS(SIN((A642+4)*12.9898+78.233)*43758.5453),1)</x:f>
        <x:v>0.037337718218623195</x:v>
      </x:c>
      <x:c r="F642" s="131" t="n">
        <x:f>MOD(ABS(SIN((A642+5)*12.9898+78.233)*43758.5453),1)</x:f>
        <x:v>0.9552071695325139</x:v>
      </x:c>
      <x:c r="G642" s="132" t="n">
        <x:f>IF(B642&lt;(('Assumptions'!$C$47-'Assumptions'!$B$47)/('Assumptions'!$D$47-'Assumptions'!$B$47)),'Assumptions'!$B$47+SQRT(B642*('Assumptions'!$D$47-'Assumptions'!$B$47)*('Assumptions'!$C$47-'Assumptions'!$B$47)),'Assumptions'!$D$47-SQRT((1-B642)*('Assumptions'!$D$47-'Assumptions'!$B$47)*('Assumptions'!$D$47-'Assumptions'!$C$47)))</x:f>
        <x:v>-0.03177616251979554</x:v>
      </x:c>
      <x:c r="H642" s="132" t="n">
        <x:f>IF(C642&lt;(('Assumptions'!$C$48-'Assumptions'!$B$48)/('Assumptions'!$D$48-'Assumptions'!$B$48)),'Assumptions'!$B$48+SQRT(C642*('Assumptions'!$D$48-'Assumptions'!$B$48)*('Assumptions'!$C$48-'Assumptions'!$B$48)),'Assumptions'!$D$48-SQRT((1-C642)*('Assumptions'!$D$48-'Assumptions'!$B$48)*('Assumptions'!$D$48-'Assumptions'!$C$48)))</x:f>
        <x:v>0.11154315878252503</x:v>
      </x:c>
      <x:c r="I642" s="132" t="n">
        <x:f>IF(D642&lt;(('Assumptions'!$C$49-'Assumptions'!$B$49)/('Assumptions'!$D$49-'Assumptions'!$B$49)),'Assumptions'!$B$49+SQRT(D642*('Assumptions'!$D$49-'Assumptions'!$B$49)*('Assumptions'!$C$49-'Assumptions'!$B$49)),'Assumptions'!$D$49-SQRT((1-D642)*('Assumptions'!$D$49-'Assumptions'!$B$49)*('Assumptions'!$D$49-'Assumptions'!$C$49)))</x:f>
        <x:v>-0.01350600051891308</x:v>
      </x:c>
      <x:c r="J642" s="132" t="n">
        <x:f>IF(E642&lt;(('Assumptions'!$C$50-'Assumptions'!$B$50)/('Assumptions'!$D$50-'Assumptions'!$B$50)),'Assumptions'!$B$50+SQRT(E642*('Assumptions'!$D$50-'Assumptions'!$B$50)*('Assumptions'!$C$50-'Assumptions'!$B$50)),'Assumptions'!$D$50-SQRT((1-E642)*('Assumptions'!$D$50-'Assumptions'!$B$50)*('Assumptions'!$D$50-'Assumptions'!$C$50)))</x:f>
        <x:v>0.06039844554877097</x:v>
      </x:c>
      <x:c r="K642" s="132" t="n">
        <x:f>IF(F642&lt;(('Assumptions'!$C$51-'Assumptions'!$B$51)/('Assumptions'!$D$51-'Assumptions'!$B$51)),'Assumptions'!$B$51+SQRT(F642*('Assumptions'!$D$51-'Assumptions'!$B$51)*('Assumptions'!$C$51-'Assumptions'!$B$51)),'Assumptions'!$D$51-SQRT((1-F642)*('Assumptions'!$D$51-'Assumptions'!$B$51)*('Assumptions'!$D$51-'Assumptions'!$C$51)))</x:f>
        <x:v>0.08035709684976333</x:v>
      </x:c>
      <x:c r="L642" s="133" t="n">
        <x:f>(('Assumptions'!$B$17*(1+G642)+'Assumptions'!$B$18)*(1-H642-'Assumptions'!$B$20)-SUM('Assumptions'!$B$21:$B$25)*(1+I642))-(('Assumptions'!$B$17*(1+G642)+'Assumptions'!$B$18)*(1-H642-'Assumptions'!$B$20)*'Assumptions'!$B$26)</x:f>
        <x:v>184829.10057713077</x:v>
      </x:c>
      <x:c r="M642" s="133" t="n">
        <x:f>'Assumptions'!$B$10*'Assumptions'!$B$33</x:f>
        <x:v>1950000</x:v>
      </x:c>
      <x:c r="N642" s="133" t="n">
        <x:f>-PMT(K642/12,'Assumptions'!$B$35*12,M642)*12</x:f>
        <x:v>172283.78489043185</x:v>
      </x:c>
      <x:c r="O642" s="133" t="n">
        <x:f>(L642*(1+'Assumptions'!$B$29)^('Assumptions'!$B$14/12)/J642)*(1-'Assumptions'!$B$42)-'Debt Schedule'!$F$9</x:f>
        <x:v>3334713.7923293463</x:v>
      </x:c>
      <x:c r="P642" s="132" t="n">
        <x:f>((O642+(L642-N642-'Assumptions'!$B$27-'Assumptions'!$B$28)*('Assumptions'!$B$14/12))/ABS('Monthly Cash Flow'!$S$5))^(1/('Assumptions'!$B$14/12))-1</x:f>
        <x:v>0.19822969944289381</x:v>
      </x:c>
      <x:c r="Q642" s="133" t="n">
        <x:f>-ABS('Monthly Cash Flow'!$S$5)+((L642-N642-'Assumptions'!$B$27-'Assumptions'!$B$28)*(1-(1+'Assumptions'!$B$43)^-('Assumptions'!$B$14/12))/'Assumptions'!$B$43)+(O642/(1+'Assumptions'!$B$43)^('Assumptions'!$B$14/12))</x:f>
        <x:v>672020.0459036024</x:v>
      </x:c>
    </x:row>
    <x:row r="643">
      <x:c r="A643" s="131" t="n">
        <x:f>636</x:f>
        <x:v>636</x:v>
      </x:c>
      <x:c r="B643" s="131" t="n">
        <x:f>MOD(ABS(SIN((A643+1)*12.9898+78.233)*43758.5453),1)</x:f>
        <x:v>0.9079782031731156</x:v>
      </x:c>
      <x:c r="C643" s="131" t="n">
        <x:f>MOD(ABS(SIN((A643+2)*12.9898+78.233)*43758.5453),1)</x:f>
        <x:v>0.025190001748342183</x:v>
      </x:c>
      <x:c r="D643" s="131" t="n">
        <x:f>MOD(ABS(SIN((A643+3)*12.9898+78.233)*43758.5453),1)</x:f>
        <x:v>0.037337718218623195</x:v>
      </x:c>
      <x:c r="E643" s="131" t="n">
        <x:f>MOD(ABS(SIN((A643+4)*12.9898+78.233)*43758.5453),1)</x:f>
        <x:v>0.9552071695325139</x:v>
      </x:c>
      <x:c r="F643" s="131" t="n">
        <x:f>MOD(ABS(SIN((A643+5)*12.9898+78.233)*43758.5453),1)</x:f>
        <x:v>0.8311730540081044</x:v>
      </x:c>
      <x:c r="G643" s="132" t="n">
        <x:f>IF(B643&lt;(('Assumptions'!$C$47-'Assumptions'!$B$47)/('Assumptions'!$D$47-'Assumptions'!$B$47)),'Assumptions'!$B$47+SQRT(B643*('Assumptions'!$D$47-'Assumptions'!$B$47)*('Assumptions'!$C$47-'Assumptions'!$B$47)),'Assumptions'!$D$47-SQRT((1-B643)*('Assumptions'!$D$47-'Assumptions'!$B$47)*('Assumptions'!$D$47-'Assumptions'!$C$47)))</x:f>
        <x:v>0.06162880313008011</x:v>
      </x:c>
      <x:c r="H643" s="132" t="n">
        <x:f>IF(C643&lt;(('Assumptions'!$C$48-'Assumptions'!$B$48)/('Assumptions'!$D$48-'Assumptions'!$B$48)),'Assumptions'!$B$48+SQRT(C643*('Assumptions'!$D$48-'Assumptions'!$B$48)*('Assumptions'!$C$48-'Assumptions'!$B$48)),'Assumptions'!$D$48-SQRT((1-C643)*('Assumptions'!$D$48-'Assumptions'!$B$48)*('Assumptions'!$D$48-'Assumptions'!$C$48)))</x:f>
        <x:v>0.039117401261847</x:v>
      </x:c>
      <x:c r="I643" s="132" t="n">
        <x:f>IF(D643&lt;(('Assumptions'!$C$49-'Assumptions'!$B$49)/('Assumptions'!$D$49-'Assumptions'!$B$49)),'Assumptions'!$B$49+SQRT(D643*('Assumptions'!$D$49-'Assumptions'!$B$49)*('Assumptions'!$C$49-'Assumptions'!$B$49)),'Assumptions'!$D$49-SQRT((1-D643)*('Assumptions'!$D$49-'Assumptions'!$B$49)*('Assumptions'!$D$49-'Assumptions'!$C$49)))</x:f>
        <x:v>-0.00991898018622733</x:v>
      </x:c>
      <x:c r="J643" s="132" t="n">
        <x:f>IF(E643&lt;(('Assumptions'!$C$50-'Assumptions'!$B$50)/('Assumptions'!$D$50-'Assumptions'!$B$50)),'Assumptions'!$B$50+SQRT(E643*('Assumptions'!$D$50-'Assumptions'!$B$50)*('Assumptions'!$C$50-'Assumptions'!$B$50)),'Assumptions'!$D$50-SQRT((1-E643)*('Assumptions'!$D$50-'Assumptions'!$B$50)*('Assumptions'!$D$50-'Assumptions'!$C$50)))</x:f>
        <x:v>0.07645063617404746</x:v>
      </x:c>
      <x:c r="K643" s="132" t="n">
        <x:f>IF(F643&lt;(('Assumptions'!$C$51-'Assumptions'!$B$51)/('Assumptions'!$D$51-'Assumptions'!$B$51)),'Assumptions'!$B$51+SQRT(F643*('Assumptions'!$D$51-'Assumptions'!$B$51)*('Assumptions'!$C$51-'Assumptions'!$B$51)),'Assumptions'!$D$51-SQRT((1-F643)*('Assumptions'!$D$51-'Assumptions'!$B$51)*('Assumptions'!$D$51-'Assumptions'!$C$51)))</x:f>
        <x:v>0.07598623454051529</x:v>
      </x:c>
      <x:c r="L643" s="133" t="n">
        <x:f>(('Assumptions'!$B$17*(1+G643)+'Assumptions'!$B$18)*(1-H643-'Assumptions'!$B$20)-SUM('Assumptions'!$B$21:$B$25)*(1+I643))-(('Assumptions'!$B$17*(1+G643)+'Assumptions'!$B$18)*(1-H643-'Assumptions'!$B$20)*'Assumptions'!$B$26)</x:f>
        <x:v>240558.83597217314</x:v>
      </x:c>
      <x:c r="M643" s="133" t="n">
        <x:f>'Assumptions'!$B$10*'Assumptions'!$B$33</x:f>
        <x:v>1950000</x:v>
      </x:c>
      <x:c r="N643" s="133" t="n">
        <x:f>-PMT(K643/12,'Assumptions'!$B$35*12,M643)*12</x:f>
        <x:v>165199.350928486</x:v>
      </x:c>
      <x:c r="O643" s="133" t="n">
        <x:f>(L643*(1+'Assumptions'!$B$29)^('Assumptions'!$B$14/12)/J643)*(1-'Assumptions'!$B$42)-'Debt Schedule'!$F$9</x:f>
        <x:v>3428895.0058748564</x:v>
      </x:c>
      <x:c r="P643" s="132" t="n">
        <x:f>((O643+(L643-N643-'Assumptions'!$B$27-'Assumptions'!$B$28)*('Assumptions'!$B$14/12))/ABS('Monthly Cash Flow'!$S$5))^(1/('Assumptions'!$B$14/12))-1</x:f>
        <x:v>0.22737514599529307</x:v>
      </x:c>
      <x:c r="Q643" s="133" t="n">
        <x:f>-ABS('Monthly Cash Flow'!$S$5)+((L643-N643-'Assumptions'!$B$27-'Assumptions'!$B$28)*(1-(1+'Assumptions'!$B$43)^-('Assumptions'!$B$14/12))/'Assumptions'!$B$43)+(O643/(1+'Assumptions'!$B$43)^('Assumptions'!$B$14/12))</x:f>
        <x:v>968614.29175545</x:v>
      </x:c>
    </x:row>
    <x:row r="644">
      <x:c r="A644" s="131" t="n">
        <x:f>637</x:f>
        <x:v>637</x:v>
      </x:c>
      <x:c r="B644" s="131" t="n">
        <x:f>MOD(ABS(SIN((A644+1)*12.9898+78.233)*43758.5453),1)</x:f>
        <x:v>0.025190001748342183</x:v>
      </x:c>
      <x:c r="C644" s="131" t="n">
        <x:f>MOD(ABS(SIN((A644+2)*12.9898+78.233)*43758.5453),1)</x:f>
        <x:v>0.037337718218623195</x:v>
      </x:c>
      <x:c r="D644" s="131" t="n">
        <x:f>MOD(ABS(SIN((A644+3)*12.9898+78.233)*43758.5453),1)</x:f>
        <x:v>0.9552071695325139</x:v>
      </x:c>
      <x:c r="E644" s="131" t="n">
        <x:f>MOD(ABS(SIN((A644+4)*12.9898+78.233)*43758.5453),1)</x:f>
        <x:v>0.8311730540081044</x:v>
      </x:c>
      <x:c r="F644" s="131" t="n">
        <x:f>MOD(ABS(SIN((A644+5)*12.9898+78.233)*43758.5453),1)</x:f>
        <x:v>0.43523441230354365</x:v>
      </x:c>
      <x:c r="G644" s="132" t="n">
        <x:f>IF(B644&lt;(('Assumptions'!$C$47-'Assumptions'!$B$47)/('Assumptions'!$D$47-'Assumptions'!$B$47)),'Assumptions'!$B$47+SQRT(B644*('Assumptions'!$D$47-'Assumptions'!$B$47)*('Assumptions'!$C$47-'Assumptions'!$B$47)),'Assumptions'!$D$47-SQRT((1-B644)*('Assumptions'!$D$47-'Assumptions'!$B$47)*('Assumptions'!$D$47-'Assumptions'!$C$47)))</x:f>
        <x:v>-0.07541219729296227</x:v>
      </x:c>
      <x:c r="H644" s="132" t="n">
        <x:f>IF(C644&lt;(('Assumptions'!$C$48-'Assumptions'!$B$48)/('Assumptions'!$D$48-'Assumptions'!$B$48)),'Assumptions'!$B$48+SQRT(C644*('Assumptions'!$D$48-'Assumptions'!$B$48)*('Assumptions'!$C$48-'Assumptions'!$B$48)),'Assumptions'!$D$48-SQRT((1-C644)*('Assumptions'!$D$48-'Assumptions'!$B$48)*('Assumptions'!$D$48-'Assumptions'!$C$48)))</x:f>
        <x:v>0.04110020135499607</x:v>
      </x:c>
      <x:c r="I644" s="132" t="n">
        <x:f>IF(D644&lt;(('Assumptions'!$C$49-'Assumptions'!$B$49)/('Assumptions'!$D$49-'Assumptions'!$B$49)),'Assumptions'!$B$49+SQRT(D644*('Assumptions'!$D$49-'Assumptions'!$B$49)*('Assumptions'!$C$49-'Assumptions'!$B$49)),'Assumptions'!$D$49-SQRT((1-D644)*('Assumptions'!$D$49-'Assumptions'!$B$49)*('Assumptions'!$D$49-'Assumptions'!$C$49)))</x:f>
        <x:v>0.11889493388372725</x:v>
      </x:c>
      <x:c r="J644" s="132" t="n">
        <x:f>IF(E644&lt;(('Assumptions'!$C$50-'Assumptions'!$B$50)/('Assumptions'!$D$50-'Assumptions'!$B$50)),'Assumptions'!$B$50+SQRT(E644*('Assumptions'!$D$50-'Assumptions'!$B$50)*('Assumptions'!$C$50-'Assumptions'!$B$50)),'Assumptions'!$D$50-SQRT((1-E644)*('Assumptions'!$D$50-'Assumptions'!$B$50)*('Assumptions'!$D$50-'Assumptions'!$C$50)))</x:f>
        <x:v>0.07310923962394421</x:v>
      </x:c>
      <x:c r="K644" s="132" t="n">
        <x:f>IF(F644&lt;(('Assumptions'!$C$51-'Assumptions'!$B$51)/('Assumptions'!$D$51-'Assumptions'!$B$51)),'Assumptions'!$B$51+SQRT(F644*('Assumptions'!$D$51-'Assumptions'!$B$51)*('Assumptions'!$C$51-'Assumptions'!$B$51)),'Assumptions'!$D$51-SQRT((1-F644)*('Assumptions'!$D$51-'Assumptions'!$B$51)*('Assumptions'!$D$51-'Assumptions'!$C$51)))</x:f>
        <x:v>0.06851384098466476</x:v>
      </x:c>
      <x:c r="L644" s="133" t="n">
        <x:f>(('Assumptions'!$B$17*(1+G644)+'Assumptions'!$B$18)*(1-H644-'Assumptions'!$B$20)-SUM('Assumptions'!$B$21:$B$25)*(1+I644))-(('Assumptions'!$B$17*(1+G644)+'Assumptions'!$B$18)*(1-H644-'Assumptions'!$B$20)*'Assumptions'!$B$26)</x:f>
        <x:v>178625.33859645255</x:v>
      </x:c>
      <x:c r="M644" s="133" t="n">
        <x:f>'Assumptions'!$B$10*'Assumptions'!$B$33</x:f>
        <x:v>1950000</x:v>
      </x:c>
      <x:c r="N644" s="133" t="n">
        <x:f>-PMT(K644/12,'Assumptions'!$B$35*12,M644)*12</x:f>
        <x:v>153352.27532852395</x:v>
      </x:c>
      <x:c r="O644" s="133" t="n">
        <x:f>(L644*(1+'Assumptions'!$B$29)^('Assumptions'!$B$14/12)/J644)*(1-'Assumptions'!$B$42)-'Debt Schedule'!$F$9</x:f>
        <x:v>2662470.319843133</x:v>
      </x:c>
      <x:c r="P644" s="132" t="n">
        <x:f>((O644+(L644-N644-'Assumptions'!$B$27-'Assumptions'!$B$28)*('Assumptions'!$B$14/12))/ABS('Monthly Cash Flow'!$S$5))^(1/('Assumptions'!$B$14/12))-1</x:f>
        <x:v>0.14868376950138562</x:v>
      </x:c>
      <x:c r="Q644" s="133" t="n">
        <x:f>-ABS('Monthly Cash Flow'!$S$5)+((L644-N644-'Assumptions'!$B$27-'Assumptions'!$B$28)*(1-(1+'Assumptions'!$B$43)^-('Assumptions'!$B$14/12))/'Assumptions'!$B$43)+(O644/(1+'Assumptions'!$B$43)^('Assumptions'!$B$14/12))</x:f>
        <x:v>302857.9166848778</x:v>
      </x:c>
    </x:row>
    <x:row r="645">
      <x:c r="A645" s="131" t="n">
        <x:f>638</x:f>
        <x:v>638</x:v>
      </x:c>
      <x:c r="B645" s="131" t="n">
        <x:f>MOD(ABS(SIN((A645+1)*12.9898+78.233)*43758.5453),1)</x:f>
        <x:v>0.037337718218623195</x:v>
      </x:c>
      <x:c r="C645" s="131" t="n">
        <x:f>MOD(ABS(SIN((A645+2)*12.9898+78.233)*43758.5453),1)</x:f>
        <x:v>0.9552071695325139</x:v>
      </x:c>
      <x:c r="D645" s="131" t="n">
        <x:f>MOD(ABS(SIN((A645+3)*12.9898+78.233)*43758.5453),1)</x:f>
        <x:v>0.8311730540081044</x:v>
      </x:c>
      <x:c r="E645" s="131" t="n">
        <x:f>MOD(ABS(SIN((A645+4)*12.9898+78.233)*43758.5453),1)</x:f>
        <x:v>0.43523441230354365</x:v>
      </x:c>
      <x:c r="F645" s="131" t="n">
        <x:f>MOD(ABS(SIN((A645+5)*12.9898+78.233)*43758.5453),1)</x:f>
        <x:v>0.514936608793505</x:v>
      </x:c>
      <x:c r="G645" s="132" t="n">
        <x:f>IF(B645&lt;(('Assumptions'!$C$47-'Assumptions'!$B$47)/('Assumptions'!$D$47-'Assumptions'!$B$47)),'Assumptions'!$B$47+SQRT(B645*('Assumptions'!$D$47-'Assumptions'!$B$47)*('Assumptions'!$C$47-'Assumptions'!$B$47)),'Assumptions'!$D$47-SQRT((1-B645)*('Assumptions'!$D$47-'Assumptions'!$B$47)*('Assumptions'!$D$47-'Assumptions'!$C$47)))</x:f>
        <x:v>-0.07006498309258943</x:v>
      </x:c>
      <x:c r="H645" s="132" t="n">
        <x:f>IF(C645&lt;(('Assumptions'!$C$48-'Assumptions'!$B$48)/('Assumptions'!$D$48-'Assumptions'!$B$48)),'Assumptions'!$B$48+SQRT(C645*('Assumptions'!$D$48-'Assumptions'!$B$48)*('Assumptions'!$C$48-'Assumptions'!$B$48)),'Assumptions'!$D$48-SQRT((1-C645)*('Assumptions'!$D$48-'Assumptions'!$B$48)*('Assumptions'!$D$48-'Assumptions'!$C$48)))</x:f>
        <x:v>0.12014611100781822</x:v>
      </x:c>
      <x:c r="I645" s="132" t="n">
        <x:f>IF(D645&lt;(('Assumptions'!$C$49-'Assumptions'!$B$49)/('Assumptions'!$D$49-'Assumptions'!$B$49)),'Assumptions'!$B$49+SQRT(D645*('Assumptions'!$D$49-'Assumptions'!$B$49)*('Assumptions'!$C$49-'Assumptions'!$B$49)),'Assumptions'!$D$49-SQRT((1-D645)*('Assumptions'!$D$49-'Assumptions'!$B$49)*('Assumptions'!$D$49-'Assumptions'!$C$49)))</x:f>
        <x:v>0.08961240165874332</x:v>
      </x:c>
      <x:c r="J645" s="132" t="n">
        <x:f>IF(E645&lt;(('Assumptions'!$C$50-'Assumptions'!$B$50)/('Assumptions'!$D$50-'Assumptions'!$B$50)),'Assumptions'!$B$50+SQRT(E645*('Assumptions'!$D$50-'Assumptions'!$B$50)*('Assumptions'!$C$50-'Assumptions'!$B$50)),'Assumptions'!$D$50-SQRT((1-E645)*('Assumptions'!$D$50-'Assumptions'!$B$50)*('Assumptions'!$D$50-'Assumptions'!$C$50)))</x:f>
        <x:v>0.06739584472232145</x:v>
      </x:c>
      <x:c r="K645" s="132" t="n">
        <x:f>IF(F645&lt;(('Assumptions'!$C$51-'Assumptions'!$B$51)/('Assumptions'!$D$51-'Assumptions'!$B$51)),'Assumptions'!$B$51+SQRT(F645*('Assumptions'!$D$51-'Assumptions'!$B$51)*('Assumptions'!$C$51-'Assumptions'!$B$51)),'Assumptions'!$D$51-SQRT((1-F645)*('Assumptions'!$D$51-'Assumptions'!$B$51)*('Assumptions'!$D$51-'Assumptions'!$C$51)))</x:f>
        <x:v>0.06972136272378568</x:v>
      </x:c>
      <x:c r="L645" s="133" t="n">
        <x:f>(('Assumptions'!$B$17*(1+G645)+'Assumptions'!$B$18)*(1-H645-'Assumptions'!$B$20)-SUM('Assumptions'!$B$21:$B$25)*(1+I645))-(('Assumptions'!$B$17*(1+G645)+'Assumptions'!$B$18)*(1-H645-'Assumptions'!$B$20)*'Assumptions'!$B$26)</x:f>
        <x:v>157298.37603095124</x:v>
      </x:c>
      <x:c r="M645" s="133" t="n">
        <x:f>'Assumptions'!$B$10*'Assumptions'!$B$33</x:f>
        <x:v>1950000</x:v>
      </x:c>
      <x:c r="N645" s="133" t="n">
        <x:f>-PMT(K645/12,'Assumptions'!$B$35*12,M645)*12</x:f>
        <x:v>155243.14178610066</x:v>
      </x:c>
      <x:c r="O645" s="133" t="n">
        <x:f>(L645*(1+'Assumptions'!$B$29)^('Assumptions'!$B$14/12)/J645)*(1-'Assumptions'!$B$42)-'Debt Schedule'!$F$9</x:f>
        <x:v>2543343.943720505</x:v>
      </x:c>
      <x:c r="P645" s="132" t="n">
        <x:f>((O645+(L645-N645-'Assumptions'!$B$27-'Assumptions'!$B$28)*('Assumptions'!$B$14/12))/ABS('Monthly Cash Flow'!$S$5))^(1/('Assumptions'!$B$14/12))-1</x:f>
        <x:v>0.12700764599726222</x:v>
      </x:c>
      <x:c r="Q645" s="133" t="n">
        <x:f>-ABS('Monthly Cash Flow'!$S$5)+((L645-N645-'Assumptions'!$B$27-'Assumptions'!$B$28)*(1-(1+'Assumptions'!$B$43)^-('Assumptions'!$B$14/12))/'Assumptions'!$B$43)+(O645/(1+'Assumptions'!$B$43)^('Assumptions'!$B$14/12))</x:f>
        <x:v>140875.97053650185</x:v>
      </x:c>
    </x:row>
    <x:row r="646">
      <x:c r="A646" s="131" t="n">
        <x:f>639</x:f>
        <x:v>639</x:v>
      </x:c>
      <x:c r="B646" s="131" t="n">
        <x:f>MOD(ABS(SIN((A646+1)*12.9898+78.233)*43758.5453),1)</x:f>
        <x:v>0.9552071695325139</x:v>
      </x:c>
      <x:c r="C646" s="131" t="n">
        <x:f>MOD(ABS(SIN((A646+2)*12.9898+78.233)*43758.5453),1)</x:f>
        <x:v>0.8311730540081044</x:v>
      </x:c>
      <x:c r="D646" s="131" t="n">
        <x:f>MOD(ABS(SIN((A646+3)*12.9898+78.233)*43758.5453),1)</x:f>
        <x:v>0.43523441230354365</x:v>
      </x:c>
      <x:c r="E646" s="131" t="n">
        <x:f>MOD(ABS(SIN((A646+4)*12.9898+78.233)*43758.5453),1)</x:f>
        <x:v>0.514936608793505</x:v>
      </x:c>
      <x:c r="F646" s="131" t="n">
        <x:f>MOD(ABS(SIN((A646+5)*12.9898+78.233)*43758.5453),1)</x:f>
        <x:v>0.17035089155251626</x:v>
      </x:c>
      <x:c r="G646" s="132" t="n">
        <x:f>IF(B646&lt;(('Assumptions'!$C$47-'Assumptions'!$B$47)/('Assumptions'!$D$47-'Assumptions'!$B$47)),'Assumptions'!$B$47+SQRT(B646*('Assumptions'!$D$47-'Assumptions'!$B$47)*('Assumptions'!$C$47-'Assumptions'!$B$47)),'Assumptions'!$D$47-SQRT((1-B646)*('Assumptions'!$D$47-'Assumptions'!$B$47)*('Assumptions'!$D$47-'Assumptions'!$C$47)))</x:f>
        <x:v>0.07322902154422113</x:v>
      </x:c>
      <x:c r="H646" s="132" t="n">
        <x:f>IF(C646&lt;(('Assumptions'!$C$48-'Assumptions'!$B$48)/('Assumptions'!$D$48-'Assumptions'!$B$48)),'Assumptions'!$B$48+SQRT(C646*('Assumptions'!$D$48-'Assumptions'!$B$48)*('Assumptions'!$C$48-'Assumptions'!$B$48)),'Assumptions'!$D$48-SQRT((1-C646)*('Assumptions'!$D$48-'Assumptions'!$B$48)*('Assumptions'!$D$48-'Assumptions'!$C$48)))</x:f>
        <x:v>0.1014555175838528</x:v>
      </x:c>
      <x:c r="I646" s="132" t="n">
        <x:f>IF(D646&lt;(('Assumptions'!$C$49-'Assumptions'!$B$49)/('Assumptions'!$D$49-'Assumptions'!$B$49)),'Assumptions'!$B$49+SQRT(D646*('Assumptions'!$D$49-'Assumptions'!$B$49)*('Assumptions'!$C$49-'Assumptions'!$B$49)),'Assumptions'!$D$49-SQRT((1-D646)*('Assumptions'!$D$49-'Assumptions'!$B$49)*('Assumptions'!$D$49-'Assumptions'!$C$49)))</x:f>
        <x:v>0.03955120329200748</x:v>
      </x:c>
      <x:c r="J646" s="132" t="n">
        <x:f>IF(E646&lt;(('Assumptions'!$C$50-'Assumptions'!$B$50)/('Assumptions'!$D$50-'Assumptions'!$B$50)),'Assumptions'!$B$50+SQRT(E646*('Assumptions'!$D$50-'Assumptions'!$B$50)*('Assumptions'!$C$50-'Assumptions'!$B$50)),'Assumptions'!$D$50-SQRT((1-E646)*('Assumptions'!$D$50-'Assumptions'!$B$50)*('Assumptions'!$D$50-'Assumptions'!$C$50)))</x:f>
        <x:v>0.06831992813477475</x:v>
      </x:c>
      <x:c r="K646" s="132" t="n">
        <x:f>IF(F646&lt;(('Assumptions'!$C$51-'Assumptions'!$B$51)/('Assumptions'!$D$51-'Assumptions'!$B$51)),'Assumptions'!$B$51+SQRT(F646*('Assumptions'!$D$51-'Assumptions'!$B$51)*('Assumptions'!$C$51-'Assumptions'!$B$51)),'Assumptions'!$D$51-SQRT((1-F646)*('Assumptions'!$D$51-'Assumptions'!$B$51)*('Assumptions'!$D$51-'Assumptions'!$C$51)))</x:f>
        <x:v>0.0643444499543018</x:v>
      </x:c>
      <x:c r="L646" s="133" t="n">
        <x:f>(('Assumptions'!$B$17*(1+G646)+'Assumptions'!$B$18)*(1-H646-'Assumptions'!$B$20)-SUM('Assumptions'!$B$21:$B$25)*(1+I646))-(('Assumptions'!$B$17*(1+G646)+'Assumptions'!$B$18)*(1-H646-'Assumptions'!$B$20)*'Assumptions'!$B$26)</x:f>
        <x:v>213938.8093610246</x:v>
      </x:c>
      <x:c r="M646" s="133" t="n">
        <x:f>'Assumptions'!$B$10*'Assumptions'!$B$33</x:f>
        <x:v>1950000</x:v>
      </x:c>
      <x:c r="N646" s="133" t="n">
        <x:f>-PMT(K646/12,'Assumptions'!$B$35*12,M646)*12</x:f>
        <x:v>146896.53534379325</x:v>
      </x:c>
      <x:c r="O646" s="133" t="n">
        <x:f>(L646*(1+'Assumptions'!$B$29)^('Assumptions'!$B$14/12)/J646)*(1-'Assumptions'!$B$42)-'Debt Schedule'!$F$9</x:f>
        <x:v>3412370.2795502637</x:v>
      </x:c>
      <x:c r="P646" s="132" t="n">
        <x:f>((O646+(L646-N646-'Assumptions'!$B$27-'Assumptions'!$B$28)*('Assumptions'!$B$14/12))/ABS('Monthly Cash Flow'!$S$5))^(1/('Assumptions'!$B$14/12))-1</x:f>
        <x:v>0.22339321909238707</x:v>
      </x:c>
      <x:c r="Q646" s="133" t="n">
        <x:f>-ABS('Monthly Cash Flow'!$S$5)+((L646-N646-'Assumptions'!$B$27-'Assumptions'!$B$28)*(1-(1+'Assumptions'!$B$43)^-('Assumptions'!$B$14/12))/'Assumptions'!$B$43)+(O646/(1+'Assumptions'!$B$43)^('Assumptions'!$B$14/12))</x:f>
        <x:v>926824.9633053266</x:v>
      </x:c>
    </x:row>
    <x:row r="647">
      <x:c r="A647" s="131" t="n">
        <x:f>640</x:f>
        <x:v>640</x:v>
      </x:c>
      <x:c r="B647" s="131" t="n">
        <x:f>MOD(ABS(SIN((A647+1)*12.9898+78.233)*43758.5453),1)</x:f>
        <x:v>0.8311730540081044</x:v>
      </x:c>
      <x:c r="C647" s="131" t="n">
        <x:f>MOD(ABS(SIN((A647+2)*12.9898+78.233)*43758.5453),1)</x:f>
        <x:v>0.43523441230354365</x:v>
      </x:c>
      <x:c r="D647" s="131" t="n">
        <x:f>MOD(ABS(SIN((A647+3)*12.9898+78.233)*43758.5453),1)</x:f>
        <x:v>0.514936608793505</x:v>
      </x:c>
      <x:c r="E647" s="131" t="n">
        <x:f>MOD(ABS(SIN((A647+4)*12.9898+78.233)*43758.5453),1)</x:f>
        <x:v>0.17035089155251626</x:v>
      </x:c>
      <x:c r="F647" s="131" t="n">
        <x:f>MOD(ABS(SIN((A647+5)*12.9898+78.233)*43758.5453),1)</x:f>
        <x:v>0.5429174290111405</x:v>
      </x:c>
      <x:c r="G647" s="132" t="n">
        <x:f>IF(B647&lt;(('Assumptions'!$C$47-'Assumptions'!$B$47)/('Assumptions'!$D$47-'Assumptions'!$B$47)),'Assumptions'!$B$47+SQRT(B647*('Assumptions'!$D$47-'Assumptions'!$B$47)*('Assumptions'!$C$47-'Assumptions'!$B$47)),'Assumptions'!$D$47-SQRT((1-B647)*('Assumptions'!$D$47-'Assumptions'!$B$47)*('Assumptions'!$D$47-'Assumptions'!$C$47)))</x:f>
        <x:v>0.048026630512633395</x:v>
      </x:c>
      <x:c r="H647" s="132" t="n">
        <x:f>IF(C647&lt;(('Assumptions'!$C$48-'Assumptions'!$B$48)/('Assumptions'!$D$48-'Assumptions'!$B$48)),'Assumptions'!$B$48+SQRT(C647*('Assumptions'!$D$48-'Assumptions'!$B$48)*('Assumptions'!$C$48-'Assumptions'!$B$48)),'Assumptions'!$D$48-SQRT((1-C647)*('Assumptions'!$D$48-'Assumptions'!$B$48)*('Assumptions'!$D$48-'Assumptions'!$C$48)))</x:f>
        <x:v>0.06950221867513265</x:v>
      </x:c>
      <x:c r="I647" s="132" t="n">
        <x:f>IF(D647&lt;(('Assumptions'!$C$49-'Assumptions'!$B$49)/('Assumptions'!$D$49-'Assumptions'!$B$49)),'Assumptions'!$B$49+SQRT(D647*('Assumptions'!$D$49-'Assumptions'!$B$49)*('Assumptions'!$C$49-'Assumptions'!$B$49)),'Assumptions'!$D$49-SQRT((1-D647)*('Assumptions'!$D$49-'Assumptions'!$B$49)*('Assumptions'!$D$49-'Assumptions'!$C$49)))</x:f>
        <x:v>0.04764097865815495</x:v>
      </x:c>
      <x:c r="J647" s="132" t="n">
        <x:f>IF(E647&lt;(('Assumptions'!$C$50-'Assumptions'!$B$50)/('Assumptions'!$D$50-'Assumptions'!$B$50)),'Assumptions'!$B$50+SQRT(E647*('Assumptions'!$D$50-'Assumptions'!$B$50)*('Assumptions'!$C$50-'Assumptions'!$B$50)),'Assumptions'!$D$50-SQRT((1-E647)*('Assumptions'!$D$50-'Assumptions'!$B$50)*('Assumptions'!$D$50-'Assumptions'!$C$50)))</x:f>
        <x:v>0.06369103792585025</x:v>
      </x:c>
      <x:c r="K647" s="132" t="n">
        <x:f>IF(F647&lt;(('Assumptions'!$C$51-'Assumptions'!$B$51)/('Assumptions'!$D$51-'Assumptions'!$B$51)),'Assumptions'!$B$51+SQRT(F647*('Assumptions'!$D$51-'Assumptions'!$B$51)*('Assumptions'!$C$51-'Assumptions'!$B$51)),'Assumptions'!$D$51-SQRT((1-F647)*('Assumptions'!$D$51-'Assumptions'!$B$51)*('Assumptions'!$D$51-'Assumptions'!$C$51)))</x:f>
        <x:v>0.07016858107636398</x:v>
      </x:c>
      <x:c r="L647" s="133" t="n">
        <x:f>(('Assumptions'!$B$17*(1+G647)+'Assumptions'!$B$18)*(1-H647-'Assumptions'!$B$20)-SUM('Assumptions'!$B$21:$B$25)*(1+I647))-(('Assumptions'!$B$17*(1+G647)+'Assumptions'!$B$18)*(1-H647-'Assumptions'!$B$20)*'Assumptions'!$B$26)</x:f>
        <x:v>217305.8969771681</x:v>
      </x:c>
      <x:c r="M647" s="133" t="n">
        <x:f>'Assumptions'!$B$10*'Assumptions'!$B$33</x:f>
        <x:v>1950000</x:v>
      </x:c>
      <x:c r="N647" s="133" t="n">
        <x:f>-PMT(K647/12,'Assumptions'!$B$35*12,M647)*12</x:f>
        <x:v>155945.80517636857</x:v>
      </x:c>
      <x:c r="O647" s="133" t="n">
        <x:f>(L647*(1+'Assumptions'!$B$29)^('Assumptions'!$B$14/12)/J647)*(1-'Assumptions'!$B$42)-'Debt Schedule'!$F$9</x:f>
        <x:v>3717980.9705776316</x:v>
      </x:c>
      <x:c r="P647" s="132" t="n">
        <x:f>((O647+(L647-N647-'Assumptions'!$B$27-'Assumptions'!$B$28)*('Assumptions'!$B$14/12))/ABS('Monthly Cash Flow'!$S$5))^(1/('Assumptions'!$B$14/12))-1</x:f>
        <x:v>0.24194085371362983</x:v>
      </x:c>
      <x:c r="Q647" s="133" t="n">
        <x:f>-ABS('Monthly Cash Flow'!$S$5)+((L647-N647-'Assumptions'!$B$27-'Assumptions'!$B$28)*(1-(1+'Assumptions'!$B$43)^-('Assumptions'!$B$14/12))/'Assumptions'!$B$43)+(O647/(1+'Assumptions'!$B$43)^('Assumptions'!$B$14/12))</x:f>
        <x:v>1095045.2167516449</x:v>
      </x:c>
    </x:row>
    <x:row r="648">
      <x:c r="A648" s="131" t="n">
        <x:f>641</x:f>
        <x:v>641</x:v>
      </x:c>
      <x:c r="B648" s="131" t="n">
        <x:f>MOD(ABS(SIN((A648+1)*12.9898+78.233)*43758.5453),1)</x:f>
        <x:v>0.43523441230354365</x:v>
      </x:c>
      <x:c r="C648" s="131" t="n">
        <x:f>MOD(ABS(SIN((A648+2)*12.9898+78.233)*43758.5453),1)</x:f>
        <x:v>0.514936608793505</x:v>
      </x:c>
      <x:c r="D648" s="131" t="n">
        <x:f>MOD(ABS(SIN((A648+3)*12.9898+78.233)*43758.5453),1)</x:f>
        <x:v>0.17035089155251626</x:v>
      </x:c>
      <x:c r="E648" s="131" t="n">
        <x:f>MOD(ABS(SIN((A648+4)*12.9898+78.233)*43758.5453),1)</x:f>
        <x:v>0.5429174290111405</x:v>
      </x:c>
      <x:c r="F648" s="131" t="n">
        <x:f>MOD(ABS(SIN((A648+5)*12.9898+78.233)*43758.5453),1)</x:f>
        <x:v>0.6964808123584589</x:v>
      </x:c>
      <x:c r="G648" s="132" t="n">
        <x:f>IF(B648&lt;(('Assumptions'!$C$47-'Assumptions'!$B$47)/('Assumptions'!$D$47-'Assumptions'!$B$47)),'Assumptions'!$B$47+SQRT(B648*('Assumptions'!$D$47-'Assumptions'!$B$47)*('Assumptions'!$C$47-'Assumptions'!$B$47)),'Assumptions'!$D$47-SQRT((1-B648)*('Assumptions'!$D$47-'Assumptions'!$B$47)*('Assumptions'!$D$47-'Assumptions'!$C$47)))</x:f>
        <x:v>0.0022038448165481173</x:v>
      </x:c>
      <x:c r="H648" s="132" t="n">
        <x:f>IF(C648&lt;(('Assumptions'!$C$48-'Assumptions'!$B$48)/('Assumptions'!$D$48-'Assumptions'!$B$48)),'Assumptions'!$B$48+SQRT(C648*('Assumptions'!$D$48-'Assumptions'!$B$48)*('Assumptions'!$C$48-'Assumptions'!$B$48)),'Assumptions'!$D$48-SQRT((1-C648)*('Assumptions'!$D$48-'Assumptions'!$B$48)*('Assumptions'!$D$48-'Assumptions'!$C$48)))</x:f>
        <x:v>0.074665798829272</x:v>
      </x:c>
      <x:c r="I648" s="132" t="n">
        <x:f>IF(D648&lt;(('Assumptions'!$C$49-'Assumptions'!$B$49)/('Assumptions'!$D$49-'Assumptions'!$B$49)),'Assumptions'!$B$49+SQRT(D648*('Assumptions'!$D$49-'Assumptions'!$B$49)*('Assumptions'!$C$49-'Assumptions'!$B$49)),'Assumptions'!$D$49-SQRT((1-D648)*('Assumptions'!$D$49-'Assumptions'!$B$49)*('Assumptions'!$D$49-'Assumptions'!$C$49)))</x:f>
        <x:v>0.012892768956633889</x:v>
      </x:c>
      <x:c r="J648" s="132" t="n">
        <x:f>IF(E648&lt;(('Assumptions'!$C$50-'Assumptions'!$B$50)/('Assumptions'!$D$50-'Assumptions'!$B$50)),'Assumptions'!$B$50+SQRT(E648*('Assumptions'!$D$50-'Assumptions'!$B$50)*('Assumptions'!$C$50-'Assumptions'!$B$50)),'Assumptions'!$D$50-SQRT((1-E648)*('Assumptions'!$D$50-'Assumptions'!$B$50)*('Assumptions'!$D$50-'Assumptions'!$C$50)))</x:f>
        <x:v>0.06866181350080108</x:v>
      </x:c>
      <x:c r="K648" s="132" t="n">
        <x:f>IF(F648&lt;(('Assumptions'!$C$51-'Assumptions'!$B$51)/('Assumptions'!$D$51-'Assumptions'!$B$51)),'Assumptions'!$B$51+SQRT(F648*('Assumptions'!$D$51-'Assumptions'!$B$51)*('Assumptions'!$C$51-'Assumptions'!$B$51)),'Assumptions'!$D$51-SQRT((1-F648)*('Assumptions'!$D$51-'Assumptions'!$B$51)*('Assumptions'!$D$51-'Assumptions'!$C$51)))</x:f>
        <x:v>0.07291411529707106</x:v>
      </x:c>
      <x:c r="L648" s="133" t="n">
        <x:f>(('Assumptions'!$B$17*(1+G648)+'Assumptions'!$B$18)*(1-H648-'Assumptions'!$B$20)-SUM('Assumptions'!$B$21:$B$25)*(1+I648))-(('Assumptions'!$B$17*(1+G648)+'Assumptions'!$B$18)*(1-H648-'Assumptions'!$B$20)*'Assumptions'!$B$26)</x:f>
        <x:v>205229.1491994761</x:v>
      </x:c>
      <x:c r="M648" s="133" t="n">
        <x:f>'Assumptions'!$B$10*'Assumptions'!$B$33</x:f>
        <x:v>1950000</x:v>
      </x:c>
      <x:c r="N648" s="133" t="n">
        <x:f>-PMT(K648/12,'Assumptions'!$B$35*12,M648)*12</x:f>
        <x:v>160287.04351930507</x:v>
      </x:c>
      <x:c r="O648" s="133" t="n">
        <x:f>(L648*(1+'Assumptions'!$B$29)^('Assumptions'!$B$14/12)/J648)*(1-'Assumptions'!$B$42)-'Debt Schedule'!$F$9</x:f>
        <x:v>3257149.9445981574</x:v>
      </x:c>
      <x:c r="P648" s="132" t="n">
        <x:f>((O648+(L648-N648-'Assumptions'!$B$27-'Assumptions'!$B$28)*('Assumptions'!$B$14/12))/ABS('Monthly Cash Flow'!$S$5))^(1/('Assumptions'!$B$14/12))-1</x:f>
        <x:v>0.20449114536602364</x:v>
      </x:c>
      <x:c r="Q648" s="133" t="n">
        <x:f>-ABS('Monthly Cash Flow'!$S$5)+((L648-N648-'Assumptions'!$B$27-'Assumptions'!$B$28)*(1-(1+'Assumptions'!$B$43)^-('Assumptions'!$B$14/12))/'Assumptions'!$B$43)+(O648/(1+'Assumptions'!$B$43)^('Assumptions'!$B$14/12))</x:f>
        <x:v>746668.3218273518</x:v>
      </x:c>
    </x:row>
    <x:row r="649">
      <x:c r="A649" s="131" t="n">
        <x:f>642</x:f>
        <x:v>642</x:v>
      </x:c>
      <x:c r="B649" s="131" t="n">
        <x:f>MOD(ABS(SIN((A649+1)*12.9898+78.233)*43758.5453),1)</x:f>
        <x:v>0.514936608793505</x:v>
      </x:c>
      <x:c r="C649" s="131" t="n">
        <x:f>MOD(ABS(SIN((A649+2)*12.9898+78.233)*43758.5453),1)</x:f>
        <x:v>0.17035089155251626</x:v>
      </x:c>
      <x:c r="D649" s="131" t="n">
        <x:f>MOD(ABS(SIN((A649+3)*12.9898+78.233)*43758.5453),1)</x:f>
        <x:v>0.5429174290111405</x:v>
      </x:c>
      <x:c r="E649" s="131" t="n">
        <x:f>MOD(ABS(SIN((A649+4)*12.9898+78.233)*43758.5453),1)</x:f>
        <x:v>0.6964808123584589</x:v>
      </x:c>
      <x:c r="F649" s="131" t="n">
        <x:f>MOD(ABS(SIN((A649+5)*12.9898+78.233)*43758.5453),1)</x:f>
        <x:v>0.7805154858524475</x:v>
      </x:c>
      <x:c r="G649" s="132" t="n">
        <x:f>IF(B649&lt;(('Assumptions'!$C$47-'Assumptions'!$B$47)/('Assumptions'!$D$47-'Assumptions'!$B$47)),'Assumptions'!$B$47+SQRT(B649*('Assumptions'!$D$47-'Assumptions'!$B$47)*('Assumptions'!$C$47-'Assumptions'!$B$47)),'Assumptions'!$D$47-SQRT((1-B649)*('Assumptions'!$D$47-'Assumptions'!$B$47)*('Assumptions'!$D$47-'Assumptions'!$C$47)))</x:f>
        <x:v>0.011168694384004169</x:v>
      </x:c>
      <x:c r="H649" s="132" t="n">
        <x:f>IF(C649&lt;(('Assumptions'!$C$48-'Assumptions'!$B$48)/('Assumptions'!$D$48-'Assumptions'!$B$48)),'Assumptions'!$B$48+SQRT(C649*('Assumptions'!$D$48-'Assumptions'!$B$48)*('Assumptions'!$C$48-'Assumptions'!$B$48)),'Assumptions'!$D$48-SQRT((1-C649)*('Assumptions'!$D$48-'Assumptions'!$B$48)*('Assumptions'!$D$48-'Assumptions'!$C$48)))</x:f>
        <x:v>0.053709870141426405</x:v>
      </x:c>
      <x:c r="I649" s="132" t="n">
        <x:f>IF(D649&lt;(('Assumptions'!$C$49-'Assumptions'!$B$49)/('Assumptions'!$D$49-'Assumptions'!$B$49)),'Assumptions'!$B$49+SQRT(D649*('Assumptions'!$D$49-'Assumptions'!$B$49)*('Assumptions'!$C$49-'Assumptions'!$B$49)),'Assumptions'!$D$49-SQRT((1-D649)*('Assumptions'!$D$49-'Assumptions'!$B$49)*('Assumptions'!$D$49-'Assumptions'!$C$49)))</x:f>
        <x:v>0.05063711189101151</x:v>
      </x:c>
      <x:c r="J649" s="132" t="n">
        <x:f>IF(E649&lt;(('Assumptions'!$C$50-'Assumptions'!$B$50)/('Assumptions'!$D$50-'Assumptions'!$B$50)),'Assumptions'!$B$50+SQRT(E649*('Assumptions'!$D$50-'Assumptions'!$B$50)*('Assumptions'!$C$50-'Assumptions'!$B$50)),'Assumptions'!$D$50-SQRT((1-E649)*('Assumptions'!$D$50-'Assumptions'!$B$50)*('Assumptions'!$D$50-'Assumptions'!$C$50)))</x:f>
        <x:v>0.07076069420766996</x:v>
      </x:c>
      <x:c r="K649" s="132" t="n">
        <x:f>IF(F649&lt;(('Assumptions'!$C$51-'Assumptions'!$B$51)/('Assumptions'!$D$51-'Assumptions'!$B$51)),'Assumptions'!$B$51+SQRT(F649*('Assumptions'!$D$51-'Assumptions'!$B$51)*('Assumptions'!$C$51-'Assumptions'!$B$51)),'Assumptions'!$D$51-SQRT((1-F649)*('Assumptions'!$D$51-'Assumptions'!$B$51)*('Assumptions'!$D$51-'Assumptions'!$C$51)))</x:f>
        <x:v>0.07472250407767</x:v>
      </x:c>
      <x:c r="L649" s="133" t="n">
        <x:f>(('Assumptions'!$B$17*(1+G649)+'Assumptions'!$B$18)*(1-H649-'Assumptions'!$B$20)-SUM('Assumptions'!$B$21:$B$25)*(1+I649))-(('Assumptions'!$B$17*(1+G649)+'Assumptions'!$B$18)*(1-H649-'Assumptions'!$B$20)*'Assumptions'!$B$26)</x:f>
        <x:v>210994.67322652758</x:v>
      </x:c>
      <x:c r="M649" s="133" t="n">
        <x:f>'Assumptions'!$B$10*'Assumptions'!$B$33</x:f>
        <x:v>1950000</x:v>
      </x:c>
      <x:c r="N649" s="133" t="n">
        <x:f>-PMT(K649/12,'Assumptions'!$B$35*12,M649)*12</x:f>
        <x:v>163171.78791162395</x:v>
      </x:c>
      <x:c r="O649" s="133" t="n">
        <x:f>(L649*(1+'Assumptions'!$B$29)^('Assumptions'!$B$14/12)/J649)*(1-'Assumptions'!$B$42)-'Debt Schedule'!$F$9</x:f>
        <x:v>3249326.731347651</x:v>
      </x:c>
      <x:c r="P649" s="132" t="n">
        <x:f>((O649+(L649-N649-'Assumptions'!$B$27-'Assumptions'!$B$28)*('Assumptions'!$B$14/12))/ABS('Monthly Cash Flow'!$S$5))^(1/('Assumptions'!$B$14/12))-1</x:f>
        <x:v>0.20497380006347599</x:v>
      </x:c>
      <x:c r="Q649" s="133" t="n">
        <x:f>-ABS('Monthly Cash Flow'!$S$5)+((L649-N649-'Assumptions'!$B$27-'Assumptions'!$B$28)*(1-(1+'Assumptions'!$B$43)^-('Assumptions'!$B$14/12))/'Assumptions'!$B$43)+(O649/(1+'Assumptions'!$B$43)^('Assumptions'!$B$14/12))</x:f>
        <x:v>752731.1432301993</x:v>
      </x:c>
    </x:row>
    <x:row r="650">
      <x:c r="A650" s="131" t="n">
        <x:f>643</x:f>
        <x:v>643</x:v>
      </x:c>
      <x:c r="B650" s="131" t="n">
        <x:f>MOD(ABS(SIN((A650+1)*12.9898+78.233)*43758.5453),1)</x:f>
        <x:v>0.17035089155251626</x:v>
      </x:c>
      <x:c r="C650" s="131" t="n">
        <x:f>MOD(ABS(SIN((A650+2)*12.9898+78.233)*43758.5453),1)</x:f>
        <x:v>0.5429174290111405</x:v>
      </x:c>
      <x:c r="D650" s="131" t="n">
        <x:f>MOD(ABS(SIN((A650+3)*12.9898+78.233)*43758.5453),1)</x:f>
        <x:v>0.6964808123584589</x:v>
      </x:c>
      <x:c r="E650" s="131" t="n">
        <x:f>MOD(ABS(SIN((A650+4)*12.9898+78.233)*43758.5453),1)</x:f>
        <x:v>0.7805154858524475</x:v>
      </x:c>
      <x:c r="F650" s="131" t="n">
        <x:f>MOD(ABS(SIN((A650+5)*12.9898+78.233)*43758.5453),1)</x:f>
        <x:v>0.6073181113497412</x:v>
      </x:c>
      <x:c r="G650" s="132" t="n">
        <x:f>IF(B650&lt;(('Assumptions'!$C$47-'Assumptions'!$B$47)/('Assumptions'!$D$47-'Assumptions'!$B$47)),'Assumptions'!$B$47+SQRT(B650*('Assumptions'!$D$47-'Assumptions'!$B$47)*('Assumptions'!$C$47-'Assumptions'!$B$47)),'Assumptions'!$D$47-SQRT((1-B650)*('Assumptions'!$D$47-'Assumptions'!$B$47)*('Assumptions'!$D$47-'Assumptions'!$C$47)))</x:f>
        <x:v>-0.03605923524651594</x:v>
      </x:c>
      <x:c r="H650" s="132" t="n">
        <x:f>IF(C650&lt;(('Assumptions'!$C$48-'Assumptions'!$B$48)/('Assumptions'!$D$48-'Assumptions'!$B$48)),'Assumptions'!$B$48+SQRT(C650*('Assumptions'!$D$48-'Assumptions'!$B$48)*('Assumptions'!$C$48-'Assumptions'!$B$48)),'Assumptions'!$D$48-SQRT((1-C650)*('Assumptions'!$D$48-'Assumptions'!$B$48)*('Assumptions'!$D$48-'Assumptions'!$C$48)))</x:f>
        <x:v>0.07657818494632967</x:v>
      </x:c>
      <x:c r="I650" s="132" t="n">
        <x:f>IF(D650&lt;(('Assumptions'!$C$49-'Assumptions'!$B$49)/('Assumptions'!$D$49-'Assumptions'!$B$49)),'Assumptions'!$B$49+SQRT(D650*('Assumptions'!$D$49-'Assumptions'!$B$49)*('Assumptions'!$C$49-'Assumptions'!$B$49)),'Assumptions'!$D$49-SQRT((1-D650)*('Assumptions'!$D$49-'Assumptions'!$B$49)*('Assumptions'!$D$49-'Assumptions'!$C$49)))</x:f>
        <x:v>0.06903078082964312</x:v>
      </x:c>
      <x:c r="J650" s="132" t="n">
        <x:f>IF(E650&lt;(('Assumptions'!$C$50-'Assumptions'!$B$50)/('Assumptions'!$D$50-'Assumptions'!$B$50)),'Assumptions'!$B$50+SQRT(E650*('Assumptions'!$D$50-'Assumptions'!$B$50)*('Assumptions'!$C$50-'Assumptions'!$B$50)),'Assumptions'!$D$50-SQRT((1-E650)*('Assumptions'!$D$50-'Assumptions'!$B$50)*('Assumptions'!$D$50-'Assumptions'!$C$50)))</x:f>
        <x:v>0.07214315460225931</x:v>
      </x:c>
      <x:c r="K650" s="132" t="n">
        <x:f>IF(F650&lt;(('Assumptions'!$C$51-'Assumptions'!$B$51)/('Assumptions'!$D$51-'Assumptions'!$B$51)),'Assumptions'!$B$51+SQRT(F650*('Assumptions'!$D$51-'Assumptions'!$B$51)*('Assumptions'!$C$51-'Assumptions'!$B$51)),'Assumptions'!$D$51-SQRT((1-F650)*('Assumptions'!$D$51-'Assumptions'!$B$51)*('Assumptions'!$D$51-'Assumptions'!$C$51)))</x:f>
        <x:v>0.07125306729073948</x:v>
      </x:c>
      <x:c r="L650" s="133" t="n">
        <x:f>(('Assumptions'!$B$17*(1+G650)+'Assumptions'!$B$18)*(1-H650-'Assumptions'!$B$20)-SUM('Assumptions'!$B$21:$B$25)*(1+I650))-(('Assumptions'!$B$17*(1+G650)+'Assumptions'!$B$18)*(1-H650-'Assumptions'!$B$20)*'Assumptions'!$B$26)</x:f>
        <x:v>185381.50170950554</x:v>
      </x:c>
      <x:c r="M650" s="133" t="n">
        <x:f>'Assumptions'!$B$10*'Assumptions'!$B$33</x:f>
        <x:v>1950000</x:v>
      </x:c>
      <x:c r="N650" s="133" t="n">
        <x:f>-PMT(K650/12,'Assumptions'!$B$35*12,M650)*12</x:f>
        <x:v>157654.97897786633</x:v>
      </x:c>
      <x:c r="O650" s="133" t="n">
        <x:f>(L650*(1+'Assumptions'!$B$29)^('Assumptions'!$B$14/12)/J650)*(1-'Assumptions'!$B$42)-'Debt Schedule'!$F$9</x:f>
        <x:v>2800175.453557261</x:v>
      </x:c>
      <x:c r="P650" s="132" t="n">
        <x:f>((O650+(L650-N650-'Assumptions'!$B$27-'Assumptions'!$B$28)*('Assumptions'!$B$14/12))/ABS('Monthly Cash Flow'!$S$5))^(1/('Assumptions'!$B$14/12))-1</x:f>
        <x:v>0.16169443451628496</x:v>
      </x:c>
      <x:c r="Q650" s="133" t="n">
        <x:f>-ABS('Monthly Cash Flow'!$S$5)+((L650-N650-'Assumptions'!$B$27-'Assumptions'!$B$28)*(1-(1+'Assumptions'!$B$43)^-('Assumptions'!$B$14/12))/'Assumptions'!$B$43)+(O650/(1+'Assumptions'!$B$43)^('Assumptions'!$B$14/12))</x:f>
        <x:v>397662.51217700634</x:v>
      </x:c>
    </x:row>
    <x:row r="651">
      <x:c r="A651" s="131" t="n">
        <x:f>644</x:f>
        <x:v>644</x:v>
      </x:c>
      <x:c r="B651" s="131" t="n">
        <x:f>MOD(ABS(SIN((A651+1)*12.9898+78.233)*43758.5453),1)</x:f>
        <x:v>0.5429174290111405</x:v>
      </x:c>
      <x:c r="C651" s="131" t="n">
        <x:f>MOD(ABS(SIN((A651+2)*12.9898+78.233)*43758.5453),1)</x:f>
        <x:v>0.6964808123584589</x:v>
      </x:c>
      <x:c r="D651" s="131" t="n">
        <x:f>MOD(ABS(SIN((A651+3)*12.9898+78.233)*43758.5453),1)</x:f>
        <x:v>0.7805154858524475</x:v>
      </x:c>
      <x:c r="E651" s="131" t="n">
        <x:f>MOD(ABS(SIN((A651+4)*12.9898+78.233)*43758.5453),1)</x:f>
        <x:v>0.6073181113497412</x:v>
      </x:c>
      <x:c r="F651" s="131" t="n">
        <x:f>MOD(ABS(SIN((A651+5)*12.9898+78.233)*43758.5453),1)</x:f>
        <x:v>0.3142457393769291</x:v>
      </x:c>
      <x:c r="G651" s="132" t="n">
        <x:f>IF(B651&lt;(('Assumptions'!$C$47-'Assumptions'!$B$47)/('Assumptions'!$D$47-'Assumptions'!$B$47)),'Assumptions'!$B$47+SQRT(B651*('Assumptions'!$D$47-'Assumptions'!$B$47)*('Assumptions'!$C$47-'Assumptions'!$B$47)),'Assumptions'!$D$47-SQRT((1-B651)*('Assumptions'!$D$47-'Assumptions'!$B$47)*('Assumptions'!$D$47-'Assumptions'!$C$47)))</x:f>
        <x:v>0.014149105543001833</x:v>
      </x:c>
      <x:c r="H651" s="132" t="n">
        <x:f>IF(C651&lt;(('Assumptions'!$C$48-'Assumptions'!$B$48)/('Assumptions'!$D$48-'Assumptions'!$B$48)),'Assumptions'!$B$48+SQRT(C651*('Assumptions'!$D$48-'Assumptions'!$B$48)*('Assumptions'!$C$48-'Assumptions'!$B$48)),'Assumptions'!$D$48-SQRT((1-C651)*('Assumptions'!$D$48-'Assumptions'!$B$48)*('Assumptions'!$D$48-'Assumptions'!$C$48)))</x:f>
        <x:v>0.08831858311495745</x:v>
      </x:c>
      <x:c r="I651" s="132" t="n">
        <x:f>IF(D651&lt;(('Assumptions'!$C$49-'Assumptions'!$B$49)/('Assumptions'!$D$49-'Assumptions'!$B$49)),'Assumptions'!$B$49+SQRT(D651*('Assumptions'!$D$49-'Assumptions'!$B$49)*('Assumptions'!$C$49-'Assumptions'!$B$49)),'Assumptions'!$D$49-SQRT((1-D651)*('Assumptions'!$D$49-'Assumptions'!$B$49)*('Assumptions'!$D$49-'Assumptions'!$C$49)))</x:f>
        <x:v>0.08114605671722834</x:v>
      </x:c>
      <x:c r="J651" s="132" t="n">
        <x:f>IF(E651&lt;(('Assumptions'!$C$50-'Assumptions'!$B$50)/('Assumptions'!$D$50-'Assumptions'!$B$50)),'Assumptions'!$B$50+SQRT(E651*('Assumptions'!$D$50-'Assumptions'!$B$50)*('Assumptions'!$C$50-'Assumptions'!$B$50)),'Assumptions'!$D$50-SQRT((1-E651)*('Assumptions'!$D$50-'Assumptions'!$B$50)*('Assumptions'!$D$50-'Assumptions'!$C$50)))</x:f>
        <x:v>0.06949087153076502</x:v>
      </x:c>
      <x:c r="K651" s="132" t="n">
        <x:f>IF(F651&lt;(('Assumptions'!$C$51-'Assumptions'!$B$51)/('Assumptions'!$D$51-'Assumptions'!$B$51)),'Assumptions'!$B$51+SQRT(F651*('Assumptions'!$D$51-'Assumptions'!$B$51)*('Assumptions'!$C$51-'Assumptions'!$B$51)),'Assumptions'!$D$51-SQRT((1-F651)*('Assumptions'!$D$51-'Assumptions'!$B$51)*('Assumptions'!$D$51-'Assumptions'!$C$51)))</x:f>
        <x:v>0.06679610554633797</x:v>
      </x:c>
      <x:c r="L651" s="133" t="n">
        <x:f>(('Assumptions'!$B$17*(1+G651)+'Assumptions'!$B$18)*(1-H651-'Assumptions'!$B$20)-SUM('Assumptions'!$B$21:$B$25)*(1+I651))-(('Assumptions'!$B$17*(1+G651)+'Assumptions'!$B$18)*(1-H651-'Assumptions'!$B$20)*'Assumptions'!$B$26)</x:f>
        <x:v>195386.90921330976</x:v>
      </x:c>
      <x:c r="M651" s="133" t="n">
        <x:f>'Assumptions'!$B$10*'Assumptions'!$B$33</x:f>
        <x:v>1950000</x:v>
      </x:c>
      <x:c r="N651" s="133" t="n">
        <x:f>-PMT(K651/12,'Assumptions'!$B$35*12,M651)*12</x:f>
        <x:v>150678.70299571086</x:v>
      </x:c>
      <x:c r="O651" s="133" t="n">
        <x:f>(L651*(1+'Assumptions'!$B$29)^('Assumptions'!$B$14/12)/J651)*(1-'Assumptions'!$B$42)-'Debt Schedule'!$F$9</x:f>
        <x:v>3063950.0544444807</x:v>
      </x:c>
      <x:c r="P651" s="132" t="n">
        <x:f>((O651+(L651-N651-'Assumptions'!$B$27-'Assumptions'!$B$28)*('Assumptions'!$B$14/12))/ABS('Monthly Cash Flow'!$S$5))^(1/('Assumptions'!$B$14/12))-1</x:f>
        <x:v>0.18987333334727174</x:v>
      </x:c>
      <x:c r="Q651" s="133" t="n">
        <x:f>-ABS('Monthly Cash Flow'!$S$5)+((L651-N651-'Assumptions'!$B$27-'Assumptions'!$B$28)*(1-(1+'Assumptions'!$B$43)^-('Assumptions'!$B$14/12))/'Assumptions'!$B$43)+(O651/(1+'Assumptions'!$B$43)^('Assumptions'!$B$14/12))</x:f>
        <x:v>625819.7274301571</x:v>
      </x:c>
    </x:row>
    <x:row r="652">
      <x:c r="A652" s="131" t="n">
        <x:f>645</x:f>
        <x:v>645</x:v>
      </x:c>
      <x:c r="B652" s="131" t="n">
        <x:f>MOD(ABS(SIN((A652+1)*12.9898+78.233)*43758.5453),1)</x:f>
        <x:v>0.6964808123584589</x:v>
      </x:c>
      <x:c r="C652" s="131" t="n">
        <x:f>MOD(ABS(SIN((A652+2)*12.9898+78.233)*43758.5453),1)</x:f>
        <x:v>0.7805154858524475</x:v>
      </x:c>
      <x:c r="D652" s="131" t="n">
        <x:f>MOD(ABS(SIN((A652+3)*12.9898+78.233)*43758.5453),1)</x:f>
        <x:v>0.6073181113497412</x:v>
      </x:c>
      <x:c r="E652" s="131" t="n">
        <x:f>MOD(ABS(SIN((A652+4)*12.9898+78.233)*43758.5453),1)</x:f>
        <x:v>0.3142457393769291</x:v>
      </x:c>
      <x:c r="F652" s="131" t="n">
        <x:f>MOD(ABS(SIN((A652+5)*12.9898+78.233)*43758.5453),1)</x:f>
        <x:v>0.8260145868625841</x:v>
      </x:c>
      <x:c r="G652" s="132" t="n">
        <x:f>IF(B652&lt;(('Assumptions'!$C$47-'Assumptions'!$B$47)/('Assumptions'!$D$47-'Assumptions'!$B$47)),'Assumptions'!$B$47+SQRT(B652*('Assumptions'!$D$47-'Assumptions'!$B$47)*('Assumptions'!$C$47-'Assumptions'!$B$47)),'Assumptions'!$D$47-SQRT((1-B652)*('Assumptions'!$D$47-'Assumptions'!$B$47)*('Assumptions'!$D$47-'Assumptions'!$C$47)))</x:f>
        <x:v>0.030312791688397678</x:v>
      </x:c>
      <x:c r="H652" s="132" t="n">
        <x:f>IF(C652&lt;(('Assumptions'!$C$48-'Assumptions'!$B$48)/('Assumptions'!$D$48-'Assumptions'!$B$48)),'Assumptions'!$B$48+SQRT(C652*('Assumptions'!$D$48-'Assumptions'!$B$48)*('Assumptions'!$C$48-'Assumptions'!$B$48)),'Assumptions'!$D$48-SQRT((1-C652)*('Assumptions'!$D$48-'Assumptions'!$B$48)*('Assumptions'!$D$48-'Assumptions'!$C$48)))</x:f>
        <x:v>0.09605157881677134</x:v>
      </x:c>
      <x:c r="I652" s="132" t="n">
        <x:f>IF(D652&lt;(('Assumptions'!$C$49-'Assumptions'!$B$49)/('Assumptions'!$D$49-'Assumptions'!$B$49)),'Assumptions'!$B$49+SQRT(D652*('Assumptions'!$D$49-'Assumptions'!$B$49)*('Assumptions'!$C$49-'Assumptions'!$B$49)),'Assumptions'!$D$49-SQRT((1-D652)*('Assumptions'!$D$49-'Assumptions'!$B$49)*('Assumptions'!$D$49-'Assumptions'!$C$49)))</x:f>
        <x:v>0.057902612442884194</x:v>
      </x:c>
      <x:c r="J652" s="132" t="n">
        <x:f>IF(E652&lt;(('Assumptions'!$C$50-'Assumptions'!$B$50)/('Assumptions'!$D$50-'Assumptions'!$B$50)),'Assumptions'!$B$50+SQRT(E652*('Assumptions'!$D$50-'Assumptions'!$B$50)*('Assumptions'!$C$50-'Assumptions'!$B$50)),'Assumptions'!$D$50-SQRT((1-E652)*('Assumptions'!$D$50-'Assumptions'!$B$50)*('Assumptions'!$D$50-'Assumptions'!$C$50)))</x:f>
        <x:v>0.0659086438478395</x:v>
      </x:c>
      <x:c r="K652" s="132" t="n">
        <x:f>IF(F652&lt;(('Assumptions'!$C$51-'Assumptions'!$B$51)/('Assumptions'!$D$51-'Assumptions'!$B$51)),'Assumptions'!$B$51+SQRT(F652*('Assumptions'!$D$51-'Assumptions'!$B$51)*('Assumptions'!$C$51-'Assumptions'!$B$51)),'Assumptions'!$D$51-SQRT((1-F652)*('Assumptions'!$D$51-'Assumptions'!$B$51)*('Assumptions'!$D$51-'Assumptions'!$C$51)))</x:f>
        <x:v>0.07584956394086155</x:v>
      </x:c>
      <x:c r="L652" s="133" t="n">
        <x:f>(('Assumptions'!$B$17*(1+G652)+'Assumptions'!$B$18)*(1-H652-'Assumptions'!$B$20)-SUM('Assumptions'!$B$21:$B$25)*(1+I652))-(('Assumptions'!$B$17*(1+G652)+'Assumptions'!$B$18)*(1-H652-'Assumptions'!$B$20)*'Assumptions'!$B$26)</x:f>
        <x:v>200465.3676881967</x:v>
      </x:c>
      <x:c r="M652" s="133" t="n">
        <x:f>'Assumptions'!$B$10*'Assumptions'!$B$33</x:f>
        <x:v>1950000</x:v>
      </x:c>
      <x:c r="N652" s="133" t="n">
        <x:f>-PMT(K652/12,'Assumptions'!$B$35*12,M652)*12</x:f>
        <x:v>164979.61596070713</x:v>
      </x:c>
      <x:c r="O652" s="133" t="n">
        <x:f>(L652*(1+'Assumptions'!$B$29)^('Assumptions'!$B$14/12)/J652)*(1-'Assumptions'!$B$42)-'Debt Schedule'!$F$9</x:f>
        <x:v>3314446.066390238</x:v>
      </x:c>
      <x:c r="P652" s="132" t="n">
        <x:f>((O652+(L652-N652-'Assumptions'!$B$27-'Assumptions'!$B$28)*('Assumptions'!$B$14/12))/ABS('Monthly Cash Flow'!$S$5))^(1/('Assumptions'!$B$14/12))-1</x:f>
        <x:v>0.20522533273219734</x:v>
      </x:c>
      <x:c r="Q652" s="133" t="n">
        <x:f>-ABS('Monthly Cash Flow'!$S$5)+((L652-N652-'Assumptions'!$B$27-'Assumptions'!$B$28)*(1-(1+'Assumptions'!$B$43)^-('Assumptions'!$B$14/12))/'Assumptions'!$B$43)+(O652/(1+'Assumptions'!$B$43)^('Assumptions'!$B$14/12))</x:f>
        <x:v>746397.6841259806</x:v>
      </x:c>
    </x:row>
    <x:row r="653">
      <x:c r="A653" s="131" t="n">
        <x:f>646</x:f>
        <x:v>646</x:v>
      </x:c>
      <x:c r="B653" s="131" t="n">
        <x:f>MOD(ABS(SIN((A653+1)*12.9898+78.233)*43758.5453),1)</x:f>
        <x:v>0.7805154858524475</x:v>
      </x:c>
      <x:c r="C653" s="131" t="n">
        <x:f>MOD(ABS(SIN((A653+2)*12.9898+78.233)*43758.5453),1)</x:f>
        <x:v>0.6073181113497412</x:v>
      </x:c>
      <x:c r="D653" s="131" t="n">
        <x:f>MOD(ABS(SIN((A653+3)*12.9898+78.233)*43758.5453),1)</x:f>
        <x:v>0.3142457393769291</x:v>
      </x:c>
      <x:c r="E653" s="131" t="n">
        <x:f>MOD(ABS(SIN((A653+4)*12.9898+78.233)*43758.5453),1)</x:f>
        <x:v>0.8260145868625841</x:v>
      </x:c>
      <x:c r="F653" s="131" t="n">
        <x:f>MOD(ABS(SIN((A653+5)*12.9898+78.233)*43758.5453),1)</x:f>
        <x:v>0.47347795341920573</x:v>
      </x:c>
      <x:c r="G653" s="132" t="n">
        <x:f>IF(B653&lt;(('Assumptions'!$C$47-'Assumptions'!$B$47)/('Assumptions'!$D$47-'Assumptions'!$B$47)),'Assumptions'!$B$47+SQRT(B653*('Assumptions'!$D$47-'Assumptions'!$B$47)*('Assumptions'!$C$47-'Assumptions'!$B$47)),'Assumptions'!$D$47-SQRT((1-B653)*('Assumptions'!$D$47-'Assumptions'!$B$47)*('Assumptions'!$D$47-'Assumptions'!$C$47)))</x:f>
        <x:v>0.0407399609655812</x:v>
      </x:c>
      <x:c r="H653" s="132" t="n">
        <x:f>IF(C653&lt;(('Assumptions'!$C$48-'Assumptions'!$B$48)/('Assumptions'!$D$48-'Assumptions'!$B$48)),'Assumptions'!$B$48+SQRT(C653*('Assumptions'!$D$48-'Assumptions'!$B$48)*('Assumptions'!$C$48-'Assumptions'!$B$48)),'Assumptions'!$D$48-SQRT((1-C653)*('Assumptions'!$D$48-'Assumptions'!$B$48)*('Assumptions'!$D$48-'Assumptions'!$C$48)))</x:f>
        <x:v>0.08121564306618403</x:v>
      </x:c>
      <x:c r="I653" s="132" t="n">
        <x:f>IF(D653&lt;(('Assumptions'!$C$49-'Assumptions'!$B$49)/('Assumptions'!$D$49-'Assumptions'!$B$49)),'Assumptions'!$B$49+SQRT(D653*('Assumptions'!$D$49-'Assumptions'!$B$49)*('Assumptions'!$C$49-'Assumptions'!$B$49)),'Assumptions'!$D$49-SQRT((1-D653)*('Assumptions'!$D$49-'Assumptions'!$B$49)*('Assumptions'!$D$49-'Assumptions'!$C$49)))</x:f>
        <x:v>0.0282567934688379</x:v>
      </x:c>
      <x:c r="J653" s="132" t="n">
        <x:f>IF(E653&lt;(('Assumptions'!$C$50-'Assumptions'!$B$50)/('Assumptions'!$D$50-'Assumptions'!$B$50)),'Assumptions'!$B$50+SQRT(E653*('Assumptions'!$D$50-'Assumptions'!$B$50)*('Assumptions'!$C$50-'Assumptions'!$B$50)),'Assumptions'!$D$50-SQRT((1-E653)*('Assumptions'!$D$50-'Assumptions'!$B$50)*('Assumptions'!$D$50-'Assumptions'!$C$50)))</x:f>
        <x:v>0.07300475894304577</x:v>
      </x:c>
      <x:c r="K653" s="132" t="n">
        <x:f>IF(F653&lt;(('Assumptions'!$C$51-'Assumptions'!$B$51)/('Assumptions'!$D$51-'Assumptions'!$B$51)),'Assumptions'!$B$51+SQRT(F653*('Assumptions'!$D$51-'Assumptions'!$B$51)*('Assumptions'!$C$51-'Assumptions'!$B$51)),'Assumptions'!$D$51-SQRT((1-F653)*('Assumptions'!$D$51-'Assumptions'!$B$51)*('Assumptions'!$D$51-'Assumptions'!$C$51)))</x:f>
        <x:v>0.06908181119231817</x:v>
      </x:c>
      <x:c r="L653" s="133" t="n">
        <x:f>(('Assumptions'!$B$17*(1+G653)+'Assumptions'!$B$18)*(1-H653-'Assumptions'!$B$20)-SUM('Assumptions'!$B$21:$B$25)*(1+I653))-(('Assumptions'!$B$17*(1+G653)+'Assumptions'!$B$18)*(1-H653-'Assumptions'!$B$20)*'Assumptions'!$B$26)</x:f>
        <x:v>213014.75030413314</x:v>
      </x:c>
      <x:c r="M653" s="133" t="n">
        <x:f>'Assumptions'!$B$10*'Assumptions'!$B$33</x:f>
        <x:v>1950000</x:v>
      </x:c>
      <x:c r="N653" s="133" t="n">
        <x:f>-PMT(K653/12,'Assumptions'!$B$35*12,M653)*12</x:f>
        <x:v>154240.49987079727</x:v>
      </x:c>
      <x:c r="O653" s="133" t="n">
        <x:f>(L653*(1+'Assumptions'!$B$29)^('Assumptions'!$B$14/12)/J653)*(1-'Assumptions'!$B$42)-'Debt Schedule'!$F$9</x:f>
        <x:v>3179599.9628448477</x:v>
      </x:c>
      <x:c r="P653" s="132" t="n">
        <x:f>((O653+(L653-N653-'Assumptions'!$B$27-'Assumptions'!$B$28)*('Assumptions'!$B$14/12))/ABS('Monthly Cash Flow'!$S$5))^(1/('Assumptions'!$B$14/12))-1</x:f>
        <x:v>0.2038747184905969</x:v>
      </x:c>
      <x:c r="Q653" s="133" t="n">
        <x:f>-ABS('Monthly Cash Flow'!$S$5)+((L653-N653-'Assumptions'!$B$27-'Assumptions'!$B$28)*(1-(1+'Assumptions'!$B$43)^-('Assumptions'!$B$14/12))/'Assumptions'!$B$43)+(O653/(1+'Assumptions'!$B$43)^('Assumptions'!$B$14/12))</x:f>
        <x:v>750950.5958767133</x:v>
      </x:c>
    </x:row>
    <x:row r="654">
      <x:c r="A654" s="131" t="n">
        <x:f>647</x:f>
        <x:v>647</x:v>
      </x:c>
      <x:c r="B654" s="131" t="n">
        <x:f>MOD(ABS(SIN((A654+1)*12.9898+78.233)*43758.5453),1)</x:f>
        <x:v>0.6073181113497412</x:v>
      </x:c>
      <x:c r="C654" s="131" t="n">
        <x:f>MOD(ABS(SIN((A654+2)*12.9898+78.233)*43758.5453),1)</x:f>
        <x:v>0.3142457393769291</x:v>
      </x:c>
      <x:c r="D654" s="131" t="n">
        <x:f>MOD(ABS(SIN((A654+3)*12.9898+78.233)*43758.5453),1)</x:f>
        <x:v>0.8260145868625841</x:v>
      </x:c>
      <x:c r="E654" s="131" t="n">
        <x:f>MOD(ABS(SIN((A654+4)*12.9898+78.233)*43758.5453),1)</x:f>
        <x:v>0.47347795341920573</x:v>
      </x:c>
      <x:c r="F654" s="131" t="n">
        <x:f>MOD(ABS(SIN((A654+5)*12.9898+78.233)*43758.5453),1)</x:f>
        <x:v>0.027089755589258857</x:v>
      </x:c>
      <x:c r="G654" s="132" t="n">
        <x:f>IF(B654&lt;(('Assumptions'!$C$47-'Assumptions'!$B$47)/('Assumptions'!$D$47-'Assumptions'!$B$47)),'Assumptions'!$B$47+SQRT(B654*('Assumptions'!$D$47-'Assumptions'!$B$47)*('Assumptions'!$C$47-'Assumptions'!$B$47)),'Assumptions'!$D$47-SQRT((1-B654)*('Assumptions'!$D$47-'Assumptions'!$B$47)*('Assumptions'!$D$47-'Assumptions'!$C$47)))</x:f>
        <x:v>0.020735189280462293</x:v>
      </x:c>
      <x:c r="H654" s="132" t="n">
        <x:f>IF(C654&lt;(('Assumptions'!$C$48-'Assumptions'!$B$48)/('Assumptions'!$D$48-'Assumptions'!$B$48)),'Assumptions'!$B$48+SQRT(C654*('Assumptions'!$D$48-'Assumptions'!$B$48)*('Assumptions'!$C$48-'Assumptions'!$B$48)),'Assumptions'!$D$48-SQRT((1-C654)*('Assumptions'!$D$48-'Assumptions'!$B$48)*('Assumptions'!$D$48-'Assumptions'!$C$48)))</x:f>
        <x:v>0.0623170707717389</x:v>
      </x:c>
      <x:c r="I654" s="132" t="n">
        <x:f>IF(D654&lt;(('Assumptions'!$C$49-'Assumptions'!$B$49)/('Assumptions'!$D$49-'Assumptions'!$B$49)),'Assumptions'!$B$49+SQRT(D654*('Assumptions'!$D$49-'Assumptions'!$B$49)*('Assumptions'!$C$49-'Assumptions'!$B$49)),'Assumptions'!$D$49-SQRT((1-D654)*('Assumptions'!$D$49-'Assumptions'!$B$49)*('Assumptions'!$D$49-'Assumptions'!$C$49)))</x:f>
        <x:v>0.08869677884671814</x:v>
      </x:c>
      <x:c r="J654" s="132" t="n">
        <x:f>IF(E654&lt;(('Assumptions'!$C$50-'Assumptions'!$B$50)/('Assumptions'!$D$50-'Assumptions'!$B$50)),'Assumptions'!$B$50+SQRT(E654*('Assumptions'!$D$50-'Assumptions'!$B$50)*('Assumptions'!$C$50-'Assumptions'!$B$50)),'Assumptions'!$D$50-SQRT((1-E654)*('Assumptions'!$D$50-'Assumptions'!$B$50)*('Assumptions'!$D$50-'Assumptions'!$C$50)))</x:f>
        <x:v>0.06783100967208666</x:v>
      </x:c>
      <x:c r="K654" s="132" t="n">
        <x:f>IF(F654&lt;(('Assumptions'!$C$51-'Assumptions'!$B$51)/('Assumptions'!$D$51-'Assumptions'!$B$51)),'Assumptions'!$B$51+SQRT(F654*('Assumptions'!$D$51-'Assumptions'!$B$51)*('Assumptions'!$C$51-'Assumptions'!$B$51)),'Assumptions'!$D$51-SQRT((1-F654)*('Assumptions'!$D$51-'Assumptions'!$B$51)*('Assumptions'!$D$51-'Assumptions'!$C$51)))</x:f>
        <x:v>0.0602294107032556</x:v>
      </x:c>
      <x:c r="L654" s="133" t="n">
        <x:f>(('Assumptions'!$B$17*(1+G654)+'Assumptions'!$B$18)*(1-H654-'Assumptions'!$B$20)-SUM('Assumptions'!$B$21:$B$25)*(1+I654))-(('Assumptions'!$B$17*(1+G654)+'Assumptions'!$B$18)*(1-H654-'Assumptions'!$B$20)*'Assumptions'!$B$26)</x:f>
        <x:v>206109.63862212442</x:v>
      </x:c>
      <x:c r="M654" s="133" t="n">
        <x:f>'Assumptions'!$B$10*'Assumptions'!$B$33</x:f>
        <x:v>1950000</x:v>
      </x:c>
      <x:c r="N654" s="133" t="n">
        <x:f>-PMT(K654/12,'Assumptions'!$B$35*12,M654)*12</x:f>
        <x:v>140640.14146947645</x:v>
      </x:c>
      <x:c r="O654" s="133" t="n">
        <x:f>(L654*(1+'Assumptions'!$B$29)^('Assumptions'!$B$14/12)/J654)*(1-'Assumptions'!$B$42)-'Debt Schedule'!$F$9</x:f>
        <x:v>3311189.2034730967</x:v>
      </x:c>
      <x:c r="P654" s="132" t="n">
        <x:f>((O654+(L654-N654-'Assumptions'!$B$27-'Assumptions'!$B$28)*('Assumptions'!$B$14/12))/ABS('Monthly Cash Flow'!$S$5))^(1/('Assumptions'!$B$14/12))-1</x:f>
        <x:v>0.21577811530512725</x:v>
      </x:c>
      <x:c r="Q654" s="133" t="n">
        <x:f>-ABS('Monthly Cash Flow'!$S$5)+((L654-N654-'Assumptions'!$B$27-'Assumptions'!$B$28)*(1-(1+'Assumptions'!$B$43)^-('Assumptions'!$B$14/12))/'Assumptions'!$B$43)+(O654/(1+'Assumptions'!$B$43)^('Assumptions'!$B$14/12))</x:f>
        <x:v>858037.4139494488</x:v>
      </x:c>
    </x:row>
    <x:row r="655">
      <x:c r="A655" s="131" t="n">
        <x:f>648</x:f>
        <x:v>648</x:v>
      </x:c>
      <x:c r="B655" s="131" t="n">
        <x:f>MOD(ABS(SIN((A655+1)*12.9898+78.233)*43758.5453),1)</x:f>
        <x:v>0.3142457393769291</x:v>
      </x:c>
      <x:c r="C655" s="131" t="n">
        <x:f>MOD(ABS(SIN((A655+2)*12.9898+78.233)*43758.5453),1)</x:f>
        <x:v>0.8260145868625841</x:v>
      </x:c>
      <x:c r="D655" s="131" t="n">
        <x:f>MOD(ABS(SIN((A655+3)*12.9898+78.233)*43758.5453),1)</x:f>
        <x:v>0.47347795341920573</x:v>
      </x:c>
      <x:c r="E655" s="131" t="n">
        <x:f>MOD(ABS(SIN((A655+4)*12.9898+78.233)*43758.5453),1)</x:f>
        <x:v>0.027089755589258857</x:v>
      </x:c>
      <x:c r="F655" s="131" t="n">
        <x:f>MOD(ABS(SIN((A655+5)*12.9898+78.233)*43758.5453),1)</x:f>
        <x:v>0.729963141704502</x:v>
      </x:c>
      <x:c r="G655" s="132" t="n">
        <x:f>IF(B655&lt;(('Assumptions'!$C$47-'Assumptions'!$B$47)/('Assumptions'!$D$47-'Assumptions'!$B$47)),'Assumptions'!$B$47+SQRT(B655*('Assumptions'!$D$47-'Assumptions'!$B$47)*('Assumptions'!$C$47-'Assumptions'!$B$47)),'Assumptions'!$D$47-SQRT((1-B655)*('Assumptions'!$D$47-'Assumptions'!$B$47)*('Assumptions'!$D$47-'Assumptions'!$C$47)))</x:f>
        <x:v>-0.013155899768341778</x:v>
      </x:c>
      <x:c r="H655" s="132" t="n">
        <x:f>IF(C655&lt;(('Assumptions'!$C$48-'Assumptions'!$B$48)/('Assumptions'!$D$48-'Assumptions'!$B$48)),'Assumptions'!$B$48+SQRT(C655*('Assumptions'!$D$48-'Assumptions'!$B$48)*('Assumptions'!$C$48-'Assumptions'!$B$48)),'Assumptions'!$D$48-SQRT((1-C655)*('Assumptions'!$D$48-'Assumptions'!$B$48)*('Assumptions'!$D$48-'Assumptions'!$C$48)))</x:f>
        <x:v>0.10087108951671081</x:v>
      </x:c>
      <x:c r="I655" s="132" t="n">
        <x:f>IF(D655&lt;(('Assumptions'!$C$49-'Assumptions'!$B$49)/('Assumptions'!$D$49-'Assumptions'!$B$49)),'Assumptions'!$B$49+SQRT(D655*('Assumptions'!$D$49-'Assumptions'!$B$49)*('Assumptions'!$C$49-'Assumptions'!$B$49)),'Assumptions'!$D$49-SQRT((1-D655)*('Assumptions'!$D$49-'Assumptions'!$B$49)*('Assumptions'!$D$49-'Assumptions'!$C$49)))</x:f>
        <x:v>0.04335631192543482</x:v>
      </x:c>
      <x:c r="J655" s="132" t="n">
        <x:f>IF(E655&lt;(('Assumptions'!$C$50-'Assumptions'!$B$50)/('Assumptions'!$D$50-'Assumptions'!$B$50)),'Assumptions'!$B$50+SQRT(E655*('Assumptions'!$D$50-'Assumptions'!$B$50)*('Assumptions'!$C$50-'Assumptions'!$B$50)),'Assumptions'!$D$50-SQRT((1-E655)*('Assumptions'!$D$50-'Assumptions'!$B$50)*('Assumptions'!$D$50-'Assumptions'!$C$50)))</x:f>
        <x:v>0.0599688448731306</x:v>
      </x:c>
      <x:c r="K655" s="132" t="n">
        <x:f>IF(F655&lt;(('Assumptions'!$C$51-'Assumptions'!$B$51)/('Assumptions'!$D$51-'Assumptions'!$B$51)),'Assumptions'!$B$51+SQRT(F655*('Assumptions'!$D$51-'Assumptions'!$B$51)*('Assumptions'!$C$51-'Assumptions'!$B$51)),'Assumptions'!$D$51-SQRT((1-F655)*('Assumptions'!$D$51-'Assumptions'!$B$51)*('Assumptions'!$D$51-'Assumptions'!$C$51)))</x:f>
        <x:v>0.0736002088591629</x:v>
      </x:c>
      <x:c r="L655" s="133" t="n">
        <x:f>(('Assumptions'!$B$17*(1+G655)+'Assumptions'!$B$18)*(1-H655-'Assumptions'!$B$20)-SUM('Assumptions'!$B$21:$B$25)*(1+I655))-(('Assumptions'!$B$17*(1+G655)+'Assumptions'!$B$18)*(1-H655-'Assumptions'!$B$20)*'Assumptions'!$B$26)</x:f>
        <x:v>187141.62002360343</x:v>
      </x:c>
      <x:c r="M655" s="133" t="n">
        <x:f>'Assumptions'!$B$10*'Assumptions'!$B$33</x:f>
        <x:v>1950000</x:v>
      </x:c>
      <x:c r="N655" s="133" t="n">
        <x:f>-PMT(K655/12,'Assumptions'!$B$35*12,M655)*12</x:f>
        <x:v>161379.16608476944</x:v>
      </x:c>
      <x:c r="O655" s="133" t="n">
        <x:f>(L655*(1+'Assumptions'!$B$29)^('Assumptions'!$B$14/12)/J655)*(1-'Assumptions'!$B$42)-'Debt Schedule'!$F$9</x:f>
        <x:v>3400624.491739811</x:v>
      </x:c>
      <x:c r="P655" s="132" t="n">
        <x:f>((O655+(L655-N655-'Assumptions'!$B$27-'Assumptions'!$B$28)*('Assumptions'!$B$14/12))/ABS('Monthly Cash Flow'!$S$5))^(1/('Assumptions'!$B$14/12))-1</x:f>
        <x:v>0.20796330905595606</x:v>
      </x:c>
      <x:c r="Q655" s="133" t="n">
        <x:f>-ABS('Monthly Cash Flow'!$S$5)+((L655-N655-'Assumptions'!$B$27-'Assumptions'!$B$28)*(1-(1+'Assumptions'!$B$43)^-('Assumptions'!$B$14/12))/'Assumptions'!$B$43)+(O655/(1+'Assumptions'!$B$43)^('Assumptions'!$B$14/12))</x:f>
        <x:v>763048.7574009385</x:v>
      </x:c>
    </x:row>
    <x:row r="656">
      <x:c r="A656" s="131" t="n">
        <x:f>649</x:f>
        <x:v>649</x:v>
      </x:c>
      <x:c r="B656" s="131" t="n">
        <x:f>MOD(ABS(SIN((A656+1)*12.9898+78.233)*43758.5453),1)</x:f>
        <x:v>0.8260145868625841</x:v>
      </x:c>
      <x:c r="C656" s="131" t="n">
        <x:f>MOD(ABS(SIN((A656+2)*12.9898+78.233)*43758.5453),1)</x:f>
        <x:v>0.47347795341920573</x:v>
      </x:c>
      <x:c r="D656" s="131" t="n">
        <x:f>MOD(ABS(SIN((A656+3)*12.9898+78.233)*43758.5453),1)</x:f>
        <x:v>0.027089755589258857</x:v>
      </x:c>
      <x:c r="E656" s="131" t="n">
        <x:f>MOD(ABS(SIN((A656+4)*12.9898+78.233)*43758.5453),1)</x:f>
        <x:v>0.729963141704502</x:v>
      </x:c>
      <x:c r="F656" s="131" t="n">
        <x:f>MOD(ABS(SIN((A656+5)*12.9898+78.233)*43758.5453),1)</x:f>
        <x:v>0.12380145867973624</x:v>
      </x:c>
      <x:c r="G656" s="132" t="n">
        <x:f>IF(B656&lt;(('Assumptions'!$C$47-'Assumptions'!$B$47)/('Assumptions'!$D$47-'Assumptions'!$B$47)),'Assumptions'!$B$47+SQRT(B656*('Assumptions'!$D$47-'Assumptions'!$B$47)*('Assumptions'!$C$47-'Assumptions'!$B$47)),'Assumptions'!$D$47-SQRT((1-B656)*('Assumptions'!$D$47-'Assumptions'!$B$47)*('Assumptions'!$D$47-'Assumptions'!$C$47)))</x:f>
        <x:v>0.04723858786765982</x:v>
      </x:c>
      <x:c r="H656" s="132" t="n">
        <x:f>IF(C656&lt;(('Assumptions'!$C$48-'Assumptions'!$B$48)/('Assumptions'!$D$48-'Assumptions'!$B$48)),'Assumptions'!$B$48+SQRT(C656*('Assumptions'!$D$48-'Assumptions'!$B$48)*('Assumptions'!$C$48-'Assumptions'!$B$48)),'Assumptions'!$D$48-SQRT((1-C656)*('Assumptions'!$D$48-'Assumptions'!$B$48)*('Assumptions'!$D$48-'Assumptions'!$C$48)))</x:f>
        <x:v>0.07193096144419998</x:v>
      </x:c>
      <x:c r="I656" s="132" t="n">
        <x:f>IF(D656&lt;(('Assumptions'!$C$49-'Assumptions'!$B$49)/('Assumptions'!$D$49-'Assumptions'!$B$49)),'Assumptions'!$B$49+SQRT(D656*('Assumptions'!$D$49-'Assumptions'!$B$49)*('Assumptions'!$C$49-'Assumptions'!$B$49)),'Assumptions'!$D$49-SQRT((1-D656)*('Assumptions'!$D$49-'Assumptions'!$B$49)*('Assumptions'!$D$49-'Assumptions'!$C$49)))</x:f>
        <x:v>-0.012895340974927456</x:v>
      </x:c>
      <x:c r="J656" s="132" t="n">
        <x:f>IF(E656&lt;(('Assumptions'!$C$50-'Assumptions'!$B$50)/('Assumptions'!$D$50-'Assumptions'!$B$50)),'Assumptions'!$B$50+SQRT(E656*('Assumptions'!$D$50-'Assumptions'!$B$50)*('Assumptions'!$C$50-'Assumptions'!$B$50)),'Assumptions'!$D$50-SQRT((1-E656)*('Assumptions'!$D$50-'Assumptions'!$B$50)*('Assumptions'!$D$50-'Assumptions'!$C$50)))</x:f>
        <x:v>0.07128519269314526</x:v>
      </x:c>
      <x:c r="K656" s="132" t="n">
        <x:f>IF(F656&lt;(('Assumptions'!$C$51-'Assumptions'!$B$51)/('Assumptions'!$D$51-'Assumptions'!$B$51)),'Assumptions'!$B$51+SQRT(F656*('Assumptions'!$D$51-'Assumptions'!$B$51)*('Assumptions'!$C$51-'Assumptions'!$B$51)),'Assumptions'!$D$51-SQRT((1-F656)*('Assumptions'!$D$51-'Assumptions'!$B$51)*('Assumptions'!$D$51-'Assumptions'!$C$51)))</x:f>
        <x:v>0.06333484371143971</x:v>
      </x:c>
      <x:c r="L656" s="133" t="n">
        <x:f>(('Assumptions'!$B$17*(1+G656)+'Assumptions'!$B$18)*(1-H656-'Assumptions'!$B$20)-SUM('Assumptions'!$B$21:$B$25)*(1+I656))-(('Assumptions'!$B$17*(1+G656)+'Assumptions'!$B$18)*(1-H656-'Assumptions'!$B$20)*'Assumptions'!$B$26)</x:f>
        <x:v>223761.78495144402</x:v>
      </x:c>
      <x:c r="M656" s="133" t="n">
        <x:f>'Assumptions'!$B$10*'Assumptions'!$B$33</x:f>
        <x:v>1950000</x:v>
      </x:c>
      <x:c r="N656" s="133" t="n">
        <x:f>-PMT(K656/12,'Assumptions'!$B$35*12,M656)*12</x:f>
        <x:v>145350.76497753264</x:v>
      </x:c>
      <x:c r="O656" s="133" t="n">
        <x:f>(L656*(1+'Assumptions'!$B$29)^('Assumptions'!$B$14/12)/J656)*(1-'Assumptions'!$B$42)-'Debt Schedule'!$F$9</x:f>
        <x:v>3420586.418221888</x:v>
      </x:c>
      <x:c r="P656" s="132" t="n">
        <x:f>((O656+(L656-N656-'Assumptions'!$B$27-'Assumptions'!$B$28)*('Assumptions'!$B$14/12))/ABS('Monthly Cash Flow'!$S$5))^(1/('Assumptions'!$B$14/12))-1</x:f>
        <x:v>0.22784787456534406</x:v>
      </x:c>
      <x:c r="Q656" s="133" t="n">
        <x:f>-ABS('Monthly Cash Flow'!$S$5)+((L656-N656-'Assumptions'!$B$27-'Assumptions'!$B$28)*(1-(1+'Assumptions'!$B$43)^-('Assumptions'!$B$14/12))/'Assumptions'!$B$43)+(O656/(1+'Assumptions'!$B$43)^('Assumptions'!$B$14/12))</x:f>
        <x:v>975023.0307570975</x:v>
      </x:c>
    </x:row>
    <x:row r="657">
      <x:c r="A657" s="131" t="n">
        <x:f>650</x:f>
        <x:v>650</x:v>
      </x:c>
      <x:c r="B657" s="131" t="n">
        <x:f>MOD(ABS(SIN((A657+1)*12.9898+78.233)*43758.5453),1)</x:f>
        <x:v>0.47347795341920573</x:v>
      </x:c>
      <x:c r="C657" s="131" t="n">
        <x:f>MOD(ABS(SIN((A657+2)*12.9898+78.233)*43758.5453),1)</x:f>
        <x:v>0.027089755589258857</x:v>
      </x:c>
      <x:c r="D657" s="131" t="n">
        <x:f>MOD(ABS(SIN((A657+3)*12.9898+78.233)*43758.5453),1)</x:f>
        <x:v>0.729963141704502</x:v>
      </x:c>
      <x:c r="E657" s="131" t="n">
        <x:f>MOD(ABS(SIN((A657+4)*12.9898+78.233)*43758.5453),1)</x:f>
        <x:v>0.12380145867973624</x:v>
      </x:c>
      <x:c r="F657" s="131" t="n">
        <x:f>MOD(ABS(SIN((A657+5)*12.9898+78.233)*43758.5453),1)</x:f>
        <x:v>0.2875366148618923</x:v>
      </x:c>
      <x:c r="G657" s="132" t="n">
        <x:f>IF(B657&lt;(('Assumptions'!$C$47-'Assumptions'!$B$47)/('Assumptions'!$D$47-'Assumptions'!$B$47)),'Assumptions'!$B$47+SQRT(B657*('Assumptions'!$D$47-'Assumptions'!$B$47)*('Assumptions'!$C$47-'Assumptions'!$B$47)),'Assumptions'!$D$47-SQRT((1-B657)*('Assumptions'!$D$47-'Assumptions'!$B$47)*('Assumptions'!$D$47-'Assumptions'!$C$47)))</x:f>
        <x:v>0.006599581997590115</x:v>
      </x:c>
      <x:c r="H657" s="132" t="n">
        <x:f>IF(C657&lt;(('Assumptions'!$C$48-'Assumptions'!$B$48)/('Assumptions'!$D$48-'Assumptions'!$B$48)),'Assumptions'!$B$48+SQRT(C657*('Assumptions'!$D$48-'Assumptions'!$B$48)*('Assumptions'!$C$48-'Assumptions'!$B$48)),'Assumptions'!$D$48-SQRT((1-C657)*('Assumptions'!$D$48-'Assumptions'!$B$48)*('Assumptions'!$D$48-'Assumptions'!$C$48)))</x:f>
        <x:v>0.03945495602552197</x:v>
      </x:c>
      <x:c r="I657" s="132" t="n">
        <x:f>IF(D657&lt;(('Assumptions'!$C$49-'Assumptions'!$B$49)/('Assumptions'!$D$49-'Assumptions'!$B$49)),'Assumptions'!$B$49+SQRT(D657*('Assumptions'!$D$49-'Assumptions'!$B$49)*('Assumptions'!$C$49-'Assumptions'!$B$49)),'Assumptions'!$D$49-SQRT((1-D657)*('Assumptions'!$D$49-'Assumptions'!$B$49)*('Assumptions'!$D$49-'Assumptions'!$C$49)))</x:f>
        <x:v>0.07362725525959699</x:v>
      </x:c>
      <x:c r="J657" s="132" t="n">
        <x:f>IF(E657&lt;(('Assumptions'!$C$50-'Assumptions'!$B$50)/('Assumptions'!$D$50-'Assumptions'!$B$50)),'Assumptions'!$B$50+SQRT(E657*('Assumptions'!$D$50-'Assumptions'!$B$50)*('Assumptions'!$C$50-'Assumptions'!$B$50)),'Assumptions'!$D$50-SQRT((1-E657)*('Assumptions'!$D$50-'Assumptions'!$B$50)*('Assumptions'!$D$50-'Assumptions'!$C$50)))</x:f>
        <x:v>0.06277781471851189</x:v>
      </x:c>
      <x:c r="K657" s="132" t="n">
        <x:f>IF(F657&lt;(('Assumptions'!$C$51-'Assumptions'!$B$51)/('Assumptions'!$D$51-'Assumptions'!$B$51)),'Assumptions'!$B$51+SQRT(F657*('Assumptions'!$D$51-'Assumptions'!$B$51)*('Assumptions'!$C$51-'Assumptions'!$B$51)),'Assumptions'!$D$51-SQRT((1-F657)*('Assumptions'!$D$51-'Assumptions'!$B$51)*('Assumptions'!$D$51-'Assumptions'!$C$51)))</x:f>
        <x:v>0.06639227581033227</x:v>
      </x:c>
      <x:c r="L657" s="133" t="n">
        <x:f>(('Assumptions'!$B$17*(1+G657)+'Assumptions'!$B$18)*(1-H657-'Assumptions'!$B$20)-SUM('Assumptions'!$B$21:$B$25)*(1+I657))-(('Assumptions'!$B$17*(1+G657)+'Assumptions'!$B$18)*(1-H657-'Assumptions'!$B$20)*'Assumptions'!$B$26)</x:f>
        <x:v>211824.76930096425</x:v>
      </x:c>
      <x:c r="M657" s="133" t="n">
        <x:f>'Assumptions'!$B$10*'Assumptions'!$B$33</x:f>
        <x:v>1950000</x:v>
      </x:c>
      <x:c r="N657" s="133" t="n">
        <x:f>-PMT(K657/12,'Assumptions'!$B$35*12,M657)*12</x:f>
        <x:v>150052.96582768275</x:v>
      </x:c>
      <x:c r="O657" s="133" t="n">
        <x:f>(L657*(1+'Assumptions'!$B$29)^('Assumptions'!$B$14/12)/J657)*(1-'Assumptions'!$B$42)-'Debt Schedule'!$F$9</x:f>
        <x:v>3676922.9158339663</x:v>
      </x:c>
      <x:c r="P657" s="132" t="n">
        <x:f>((O657+(L657-N657-'Assumptions'!$B$27-'Assumptions'!$B$28)*('Assumptions'!$B$14/12))/ABS('Monthly Cash Flow'!$S$5))^(1/('Assumptions'!$B$14/12))-1</x:f>
        <x:v>0.23939776288146808</x:v>
      </x:c>
      <x:c r="Q657" s="133" t="n">
        <x:f>-ABS('Monthly Cash Flow'!$S$5)+((L657-N657-'Assumptions'!$B$27-'Assumptions'!$B$28)*(1-(1+'Assumptions'!$B$43)^-('Assumptions'!$B$14/12))/'Assumptions'!$B$43)+(O657/(1+'Assumptions'!$B$43)^('Assumptions'!$B$14/12))</x:f>
        <x:v>1071112.1062388287</x:v>
      </x:c>
    </x:row>
    <x:row r="658">
      <x:c r="A658" s="131" t="n">
        <x:f>651</x:f>
        <x:v>651</x:v>
      </x:c>
      <x:c r="B658" s="131" t="n">
        <x:f>MOD(ABS(SIN((A658+1)*12.9898+78.233)*43758.5453),1)</x:f>
        <x:v>0.027089755589258857</x:v>
      </x:c>
      <x:c r="C658" s="131" t="n">
        <x:f>MOD(ABS(SIN((A658+2)*12.9898+78.233)*43758.5453),1)</x:f>
        <x:v>0.729963141704502</x:v>
      </x:c>
      <x:c r="D658" s="131" t="n">
        <x:f>MOD(ABS(SIN((A658+3)*12.9898+78.233)*43758.5453),1)</x:f>
        <x:v>0.12380145867973624</x:v>
      </x:c>
      <x:c r="E658" s="131" t="n">
        <x:f>MOD(ABS(SIN((A658+4)*12.9898+78.233)*43758.5453),1)</x:f>
        <x:v>0.2875366148618923</x:v>
      </x:c>
      <x:c r="F658" s="131" t="n">
        <x:f>MOD(ABS(SIN((A658+5)*12.9898+78.233)*43758.5453),1)</x:f>
        <x:v>0.4153303952043643</x:v>
      </x:c>
      <x:c r="G658" s="132" t="n">
        <x:f>IF(B658&lt;(('Assumptions'!$C$47-'Assumptions'!$B$47)/('Assumptions'!$D$47-'Assumptions'!$B$47)),'Assumptions'!$B$47+SQRT(B658*('Assumptions'!$D$47-'Assumptions'!$B$47)*('Assumptions'!$C$47-'Assumptions'!$B$47)),'Assumptions'!$D$47-SQRT((1-B658)*('Assumptions'!$D$47-'Assumptions'!$B$47)*('Assumptions'!$D$47-'Assumptions'!$C$47)))</x:f>
        <x:v>-0.07450187979198834</x:v>
      </x:c>
      <x:c r="H658" s="132" t="n">
        <x:f>IF(C658&lt;(('Assumptions'!$C$48-'Assumptions'!$B$48)/('Assumptions'!$D$48-'Assumptions'!$B$48)),'Assumptions'!$B$48+SQRT(C658*('Assumptions'!$D$48-'Assumptions'!$B$48)*('Assumptions'!$C$48-'Assumptions'!$B$48)),'Assumptions'!$D$48-SQRT((1-C658)*('Assumptions'!$D$48-'Assumptions'!$B$48)*('Assumptions'!$D$48-'Assumptions'!$C$48)))</x:f>
        <x:v>0.09125244259452192</x:v>
      </x:c>
      <x:c r="I658" s="132" t="n">
        <x:f>IF(D658&lt;(('Assumptions'!$C$49-'Assumptions'!$B$49)/('Assumptions'!$D$49-'Assumptions'!$B$49)),'Assumptions'!$B$49+SQRT(D658*('Assumptions'!$D$49-'Assumptions'!$B$49)*('Assumptions'!$C$49-'Assumptions'!$B$49)),'Assumptions'!$D$49-SQRT((1-D658)*('Assumptions'!$D$49-'Assumptions'!$B$49)*('Assumptions'!$D$49-'Assumptions'!$C$49)))</x:f>
        <x:v>0.006565772981589647</x:v>
      </x:c>
      <x:c r="J658" s="132" t="n">
        <x:f>IF(E658&lt;(('Assumptions'!$C$50-'Assumptions'!$B$50)/('Assumptions'!$D$50-'Assumptions'!$B$50)),'Assumptions'!$B$50+SQRT(E658*('Assumptions'!$D$50-'Assumptions'!$B$50)*('Assumptions'!$C$50-'Assumptions'!$B$50)),'Assumptions'!$D$50-SQRT((1-E658)*('Assumptions'!$D$50-'Assumptions'!$B$50)*('Assumptions'!$D$50-'Assumptions'!$C$50)))</x:f>
        <x:v>0.06554336610778881</x:v>
      </x:c>
      <x:c r="K658" s="132" t="n">
        <x:f>IF(F658&lt;(('Assumptions'!$C$51-'Assumptions'!$B$51)/('Assumptions'!$D$51-'Assumptions'!$B$51)),'Assumptions'!$B$51+SQRT(F658*('Assumptions'!$D$51-'Assumptions'!$B$51)*('Assumptions'!$C$51-'Assumptions'!$B$51)),'Assumptions'!$D$51-SQRT((1-F658)*('Assumptions'!$D$51-'Assumptions'!$B$51)*('Assumptions'!$D$51-'Assumptions'!$C$51)))</x:f>
        <x:v>0.06822584585417496</x:v>
      </x:c>
      <x:c r="L658" s="133" t="n">
        <x:f>(('Assumptions'!$B$17*(1+G658)+'Assumptions'!$B$18)*(1-H658-'Assumptions'!$B$20)-SUM('Assumptions'!$B$21:$B$25)*(1+I658))-(('Assumptions'!$B$17*(1+G658)+'Assumptions'!$B$18)*(1-H658-'Assumptions'!$B$20)*'Assumptions'!$B$26)</x:f>
        <x:v>176169.40924874623</x:v>
      </x:c>
      <x:c r="M658" s="133" t="n">
        <x:f>'Assumptions'!$B$10*'Assumptions'!$B$33</x:f>
        <x:v>1950000</x:v>
      </x:c>
      <x:c r="N658" s="133" t="n">
        <x:f>-PMT(K658/12,'Assumptions'!$B$35*12,M658)*12</x:f>
        <x:v>152902.68632787227</x:v>
      </x:c>
      <x:c r="O658" s="133" t="n">
        <x:f>(L658*(1+'Assumptions'!$B$29)^('Assumptions'!$B$14/12)/J658)*(1-'Assumptions'!$B$42)-'Debt Schedule'!$F$9</x:f>
        <x:v>2928975.463077351</x:v>
      </x:c>
      <x:c r="P658" s="132" t="n">
        <x:f>((O658+(L658-N658-'Assumptions'!$B$27-'Assumptions'!$B$28)*('Assumptions'!$B$14/12))/ABS('Monthly Cash Flow'!$S$5))^(1/('Assumptions'!$B$14/12))-1</x:f>
        <x:v>0.1705918037209324</x:v>
      </x:c>
      <x:c r="Q658" s="133" t="n">
        <x:f>-ABS('Monthly Cash Flow'!$S$5)+((L658-N658-'Assumptions'!$B$27-'Assumptions'!$B$28)*(1-(1+'Assumptions'!$B$43)^-('Assumptions'!$B$14/12))/'Assumptions'!$B$43)+(O658/(1+'Assumptions'!$B$43)^('Assumptions'!$B$14/12))</x:f>
        <x:v>460731.03438139334</x:v>
      </x:c>
    </x:row>
    <x:row r="659">
      <x:c r="A659" s="131" t="n">
        <x:f>652</x:f>
        <x:v>652</x:v>
      </x:c>
      <x:c r="B659" s="131" t="n">
        <x:f>MOD(ABS(SIN((A659+1)*12.9898+78.233)*43758.5453),1)</x:f>
        <x:v>0.729963141704502</x:v>
      </x:c>
      <x:c r="C659" s="131" t="n">
        <x:f>MOD(ABS(SIN((A659+2)*12.9898+78.233)*43758.5453),1)</x:f>
        <x:v>0.12380145867973624</x:v>
      </x:c>
      <x:c r="D659" s="131" t="n">
        <x:f>MOD(ABS(SIN((A659+3)*12.9898+78.233)*43758.5453),1)</x:f>
        <x:v>0.2875366148618923</x:v>
      </x:c>
      <x:c r="E659" s="131" t="n">
        <x:f>MOD(ABS(SIN((A659+4)*12.9898+78.233)*43758.5453),1)</x:f>
        <x:v>0.4153303952043643</x:v>
      </x:c>
      <x:c r="F659" s="131" t="n">
        <x:f>MOD(ABS(SIN((A659+5)*12.9898+78.233)*43758.5453),1)</x:f>
        <x:v>0.4874067375130835</x:v>
      </x:c>
      <x:c r="G659" s="132" t="n">
        <x:f>IF(B659&lt;(('Assumptions'!$C$47-'Assumptions'!$B$47)/('Assumptions'!$D$47-'Assumptions'!$B$47)),'Assumptions'!$B$47+SQRT(B659*('Assumptions'!$D$47-'Assumptions'!$B$47)*('Assumptions'!$C$47-'Assumptions'!$B$47)),'Assumptions'!$D$47-SQRT((1-B659)*('Assumptions'!$D$47-'Assumptions'!$B$47)*('Assumptions'!$D$47-'Assumptions'!$C$47)))</x:f>
        <x:v>0.03426880700361534</x:v>
      </x:c>
      <x:c r="H659" s="132" t="n">
        <x:f>IF(C659&lt;(('Assumptions'!$C$48-'Assumptions'!$B$48)/('Assumptions'!$D$48-'Assumptions'!$B$48)),'Assumptions'!$B$48+SQRT(C659*('Assumptions'!$D$48-'Assumptions'!$B$48)*('Assumptions'!$C$48-'Assumptions'!$B$48)),'Assumptions'!$D$48-SQRT((1-C659)*('Assumptions'!$D$48-'Assumptions'!$B$48)*('Assumptions'!$D$48-'Assumptions'!$C$48)))</x:f>
        <x:v>0.050212491524874656</x:v>
      </x:c>
      <x:c r="I659" s="132" t="n">
        <x:f>IF(D659&lt;(('Assumptions'!$C$49-'Assumptions'!$B$49)/('Assumptions'!$D$49-'Assumptions'!$B$49)),'Assumptions'!$B$49+SQRT(D659*('Assumptions'!$D$49-'Assumptions'!$B$49)*('Assumptions'!$C$49-'Assumptions'!$B$49)),'Assumptions'!$D$49-SQRT((1-D659)*('Assumptions'!$D$49-'Assumptions'!$B$49)*('Assumptions'!$D$49-'Assumptions'!$C$49)))</x:f>
        <x:v>0.02572607505027101</x:v>
      </x:c>
      <x:c r="J659" s="132" t="n">
        <x:f>IF(E659&lt;(('Assumptions'!$C$50-'Assumptions'!$B$50)/('Assumptions'!$D$50-'Assumptions'!$B$50)),'Assumptions'!$B$50+SQRT(E659*('Assumptions'!$D$50-'Assumptions'!$B$50)*('Assumptions'!$C$50-'Assumptions'!$B$50)),'Assumptions'!$D$50-SQRT((1-E659)*('Assumptions'!$D$50-'Assumptions'!$B$50)*('Assumptions'!$D$50-'Assumptions'!$C$50)))</x:f>
        <x:v>0.06716691982593122</x:v>
      </x:c>
      <x:c r="K659" s="132" t="n">
        <x:f>IF(F659&lt;(('Assumptions'!$C$51-'Assumptions'!$B$51)/('Assumptions'!$D$51-'Assumptions'!$B$51)),'Assumptions'!$B$51+SQRT(F659*('Assumptions'!$D$51-'Assumptions'!$B$51)*('Assumptions'!$C$51-'Assumptions'!$B$51)),'Assumptions'!$D$51-SQRT((1-F659)*('Assumptions'!$D$51-'Assumptions'!$B$51)*('Assumptions'!$D$51-'Assumptions'!$C$51)))</x:f>
        <x:v>0.06929377487835386</x:v>
      </x:c>
      <x:c r="L659" s="133" t="n">
        <x:f>(('Assumptions'!$B$17*(1+G659)+'Assumptions'!$B$18)*(1-H659-'Assumptions'!$B$20)-SUM('Assumptions'!$B$21:$B$25)*(1+I659))-(('Assumptions'!$B$17*(1+G659)+'Assumptions'!$B$18)*(1-H659-'Assumptions'!$B$20)*'Assumptions'!$B$26)</x:f>
        <x:v>222918.790736729</x:v>
      </x:c>
      <x:c r="M659" s="133" t="n">
        <x:f>'Assumptions'!$B$10*'Assumptions'!$B$33</x:f>
        <x:v>1950000</x:v>
      </x:c>
      <x:c r="N659" s="133" t="n">
        <x:f>-PMT(K659/12,'Assumptions'!$B$35*12,M659)*12</x:f>
        <x:v>154572.5114507879</x:v>
      </x:c>
      <x:c r="O659" s="133" t="n">
        <x:f>(L659*(1+'Assumptions'!$B$29)^('Assumptions'!$B$14/12)/J659)*(1-'Assumptions'!$B$42)-'Debt Schedule'!$F$9</x:f>
        <x:v>3616639.5141896806</x:v>
      </x:c>
      <x:c r="P659" s="132" t="n">
        <x:f>((O659+(L659-N659-'Assumptions'!$B$27-'Assumptions'!$B$28)*('Assumptions'!$B$14/12))/ABS('Monthly Cash Flow'!$S$5))^(1/('Assumptions'!$B$14/12))-1</x:f>
        <x:v>0.23759776575495573</x:v>
      </x:c>
      <x:c r="Q659" s="133" t="n">
        <x:f>-ABS('Monthly Cash Flow'!$S$5)+((L659-N659-'Assumptions'!$B$27-'Assumptions'!$B$28)*(1-(1+'Assumptions'!$B$43)^-('Assumptions'!$B$14/12))/'Assumptions'!$B$43)+(O659/(1+'Assumptions'!$B$43)^('Assumptions'!$B$14/12))</x:f>
        <x:v>1058603.2926577781</x:v>
      </x:c>
    </x:row>
    <x:row r="660">
      <x:c r="A660" s="131" t="n">
        <x:f>653</x:f>
        <x:v>653</x:v>
      </x:c>
      <x:c r="B660" s="131" t="n">
        <x:f>MOD(ABS(SIN((A660+1)*12.9898+78.233)*43758.5453),1)</x:f>
        <x:v>0.12380145867973624</x:v>
      </x:c>
      <x:c r="C660" s="131" t="n">
        <x:f>MOD(ABS(SIN((A660+2)*12.9898+78.233)*43758.5453),1)</x:f>
        <x:v>0.2875366148618923</x:v>
      </x:c>
      <x:c r="D660" s="131" t="n">
        <x:f>MOD(ABS(SIN((A660+3)*12.9898+78.233)*43758.5453),1)</x:f>
        <x:v>0.4153303952043643</x:v>
      </x:c>
      <x:c r="E660" s="131" t="n">
        <x:f>MOD(ABS(SIN((A660+4)*12.9898+78.233)*43758.5453),1)</x:f>
        <x:v>0.4874067375130835</x:v>
      </x:c>
      <x:c r="F660" s="131" t="n">
        <x:f>MOD(ABS(SIN((A660+5)*12.9898+78.233)*43758.5453),1)</x:f>
        <x:v>0.23559742815268692</x:v>
      </x:c>
      <x:c r="G660" s="132" t="n">
        <x:f>IF(B660&lt;(('Assumptions'!$C$47-'Assumptions'!$B$47)/('Assumptions'!$D$47-'Assumptions'!$B$47)),'Assumptions'!$B$47+SQRT(B660*('Assumptions'!$D$47-'Assumptions'!$B$47)*('Assumptions'!$C$47-'Assumptions'!$B$47)),'Assumptions'!$D$47-SQRT((1-B660)*('Assumptions'!$D$47-'Assumptions'!$B$47)*('Assumptions'!$D$47-'Assumptions'!$C$47)))</x:f>
        <x:v>-0.04549096397556025</x:v>
      </x:c>
      <x:c r="H660" s="132" t="n">
        <x:f>IF(C660&lt;(('Assumptions'!$C$48-'Assumptions'!$B$48)/('Assumptions'!$D$48-'Assumptions'!$B$48)),'Assumptions'!$B$48+SQRT(C660*('Assumptions'!$D$48-'Assumptions'!$B$48)*('Assumptions'!$C$48-'Assumptions'!$B$48)),'Assumptions'!$D$48-SQRT((1-C660)*('Assumptions'!$D$48-'Assumptions'!$B$48)*('Assumptions'!$D$48-'Assumptions'!$C$48)))</x:f>
        <x:v>0.060818703034016</x:v>
      </x:c>
      <x:c r="I660" s="132" t="n">
        <x:f>IF(D660&lt;(('Assumptions'!$C$49-'Assumptions'!$B$49)/('Assumptions'!$D$49-'Assumptions'!$B$49)),'Assumptions'!$B$49+SQRT(D660*('Assumptions'!$D$49-'Assumptions'!$B$49)*('Assumptions'!$C$49-'Assumptions'!$B$49)),'Assumptions'!$D$49-SQRT((1-D660)*('Assumptions'!$D$49-'Assumptions'!$B$49)*('Assumptions'!$D$49-'Assumptions'!$C$49)))</x:f>
        <x:v>0.03762178385654215</x:v>
      </x:c>
      <x:c r="J660" s="132" t="n">
        <x:f>IF(E660&lt;(('Assumptions'!$C$50-'Assumptions'!$B$50)/('Assumptions'!$D$50-'Assumptions'!$B$50)),'Assumptions'!$B$50+SQRT(E660*('Assumptions'!$D$50-'Assumptions'!$B$50)*('Assumptions'!$C$50-'Assumptions'!$B$50)),'Assumptions'!$D$50-SQRT((1-E660)*('Assumptions'!$D$50-'Assumptions'!$B$50)*('Assumptions'!$D$50-'Assumptions'!$C$50)))</x:f>
        <x:v>0.06799304971799895</x:v>
      </x:c>
      <x:c r="K660" s="132" t="n">
        <x:f>IF(F660&lt;(('Assumptions'!$C$51-'Assumptions'!$B$51)/('Assumptions'!$D$51-'Assumptions'!$B$51)),'Assumptions'!$B$51+SQRT(F660*('Assumptions'!$D$51-'Assumptions'!$B$51)*('Assumptions'!$C$51-'Assumptions'!$B$51)),'Assumptions'!$D$51-SQRT((1-F660)*('Assumptions'!$D$51-'Assumptions'!$B$51)*('Assumptions'!$D$51-'Assumptions'!$C$51)))</x:f>
        <x:v>0.06554917963161395</x:v>
      </x:c>
      <x:c r="L660" s="133" t="n">
        <x:f>(('Assumptions'!$B$17*(1+G660)+'Assumptions'!$B$18)*(1-H660-'Assumptions'!$B$20)-SUM('Assumptions'!$B$21:$B$25)*(1+I660))-(('Assumptions'!$B$17*(1+G660)+'Assumptions'!$B$18)*(1-H660-'Assumptions'!$B$20)*'Assumptions'!$B$26)</x:f>
        <x:v>191832.6759124175</x:v>
      </x:c>
      <x:c r="M660" s="133" t="n">
        <x:f>'Assumptions'!$B$10*'Assumptions'!$B$33</x:f>
        <x:v>1950000</x:v>
      </x:c>
      <x:c r="N660" s="133" t="n">
        <x:f>-PMT(K660/12,'Assumptions'!$B$35*12,M660)*12</x:f>
        <x:v>148750.06146676154</x:v>
      </x:c>
      <x:c r="O660" s="133" t="n">
        <x:f>(L660*(1+'Assumptions'!$B$29)^('Assumptions'!$B$14/12)/J660)*(1-'Assumptions'!$B$42)-'Debt Schedule'!$F$9</x:f>
        <x:v>3074482.609451046</x:v>
      </x:c>
      <x:c r="P660" s="132" t="n">
        <x:f>((O660+(L660-N660-'Assumptions'!$B$27-'Assumptions'!$B$28)*('Assumptions'!$B$14/12))/ABS('Monthly Cash Flow'!$S$5))^(1/('Assumptions'!$B$14/12))-1</x:f>
        <x:v>0.19005861478375552</x:v>
      </x:c>
      <x:c r="Q660" s="133" t="n">
        <x:f>-ABS('Monthly Cash Flow'!$S$5)+((L660-N660-'Assumptions'!$B$27-'Assumptions'!$B$28)*(1-(1+'Assumptions'!$B$43)^-('Assumptions'!$B$14/12))/'Assumptions'!$B$43)+(O660/(1+'Assumptions'!$B$43)^('Assumptions'!$B$14/12))</x:f>
        <x:v>626197.3436384867</x:v>
      </x:c>
    </x:row>
    <x:row r="661">
      <x:c r="A661" s="131" t="n">
        <x:f>654</x:f>
        <x:v>654</x:v>
      </x:c>
      <x:c r="B661" s="131" t="n">
        <x:f>MOD(ABS(SIN((A661+1)*12.9898+78.233)*43758.5453),1)</x:f>
        <x:v>0.2875366148618923</x:v>
      </x:c>
      <x:c r="C661" s="131" t="n">
        <x:f>MOD(ABS(SIN((A661+2)*12.9898+78.233)*43758.5453),1)</x:f>
        <x:v>0.4153303952043643</x:v>
      </x:c>
      <x:c r="D661" s="131" t="n">
        <x:f>MOD(ABS(SIN((A661+3)*12.9898+78.233)*43758.5453),1)</x:f>
        <x:v>0.4874067375130835</x:v>
      </x:c>
      <x:c r="E661" s="131" t="n">
        <x:f>MOD(ABS(SIN((A661+4)*12.9898+78.233)*43758.5453),1)</x:f>
        <x:v>0.23559742815268692</x:v>
      </x:c>
      <x:c r="F661" s="131" t="n">
        <x:f>MOD(ABS(SIN((A661+5)*12.9898+78.233)*43758.5453),1)</x:f>
        <x:v>0.3120320158195682</x:v>
      </x:c>
      <x:c r="G661" s="132" t="n">
        <x:f>IF(B661&lt;(('Assumptions'!$C$47-'Assumptions'!$B$47)/('Assumptions'!$D$47-'Assumptions'!$B$47)),'Assumptions'!$B$47+SQRT(B661*('Assumptions'!$D$47-'Assumptions'!$B$47)*('Assumptions'!$C$47-'Assumptions'!$B$47)),'Assumptions'!$D$47-SQRT((1-B661)*('Assumptions'!$D$47-'Assumptions'!$B$47)*('Assumptions'!$D$47-'Assumptions'!$C$47)))</x:f>
        <x:v>-0.016928472045559348</x:v>
      </x:c>
      <x:c r="H661" s="132" t="n">
        <x:f>IF(C661&lt;(('Assumptions'!$C$48-'Assumptions'!$B$48)/('Assumptions'!$D$48-'Assumptions'!$B$48)),'Assumptions'!$B$48+SQRT(C661*('Assumptions'!$D$48-'Assumptions'!$B$48)*('Assumptions'!$C$48-'Assumptions'!$B$48)),'Assumptions'!$D$48-SQRT((1-C661)*('Assumptions'!$D$48-'Assumptions'!$B$48)*('Assumptions'!$D$48-'Assumptions'!$C$48)))</x:f>
        <x:v>0.0682706996953017</x:v>
      </x:c>
      <x:c r="I661" s="132" t="n">
        <x:f>IF(D661&lt;(('Assumptions'!$C$49-'Assumptions'!$B$49)/('Assumptions'!$D$49-'Assumptions'!$B$49)),'Assumptions'!$B$49+SQRT(D661*('Assumptions'!$D$49-'Assumptions'!$B$49)*('Assumptions'!$C$49-'Assumptions'!$B$49)),'Assumptions'!$D$49-SQRT((1-D661)*('Assumptions'!$D$49-'Assumptions'!$B$49)*('Assumptions'!$D$49-'Assumptions'!$C$49)))</x:f>
        <x:v>0.04477635973928008</x:v>
      </x:c>
      <x:c r="J661" s="132" t="n">
        <x:f>IF(E661&lt;(('Assumptions'!$C$50-'Assumptions'!$B$50)/('Assumptions'!$D$50-'Assumptions'!$B$50)),'Assumptions'!$B$50+SQRT(E661*('Assumptions'!$D$50-'Assumptions'!$B$50)*('Assumptions'!$C$50-'Assumptions'!$B$50)),'Assumptions'!$D$50-SQRT((1-E661)*('Assumptions'!$D$50-'Assumptions'!$B$50)*('Assumptions'!$D$50-'Assumptions'!$C$50)))</x:f>
        <x:v>0.06478075692042762</x:v>
      </x:c>
      <x:c r="K661" s="132" t="n">
        <x:f>IF(F661&lt;(('Assumptions'!$C$51-'Assumptions'!$B$51)/('Assumptions'!$D$51-'Assumptions'!$B$51)),'Assumptions'!$B$51+SQRT(F661*('Assumptions'!$D$51-'Assumptions'!$B$51)*('Assumptions'!$C$51-'Assumptions'!$B$51)),'Assumptions'!$D$51-SQRT((1-F661)*('Assumptions'!$D$51-'Assumptions'!$B$51)*('Assumptions'!$D$51-'Assumptions'!$C$51)))</x:f>
        <x:v>0.06676330418103504</x:v>
      </x:c>
      <x:c r="L661" s="133" t="n">
        <x:f>(('Assumptions'!$B$17*(1+G661)+'Assumptions'!$B$18)*(1-H661-'Assumptions'!$B$20)-SUM('Assumptions'!$B$21:$B$25)*(1+I661))-(('Assumptions'!$B$17*(1+G661)+'Assumptions'!$B$18)*(1-H661-'Assumptions'!$B$20)*'Assumptions'!$B$26)</x:f>
        <x:v>197442.74838684886</x:v>
      </x:c>
      <x:c r="M661" s="133" t="n">
        <x:f>'Assumptions'!$B$10*'Assumptions'!$B$33</x:f>
        <x:v>1950000</x:v>
      </x:c>
      <x:c r="N661" s="133" t="n">
        <x:f>-PMT(K661/12,'Assumptions'!$B$35*12,M661)*12</x:f>
        <x:v>150627.83693903638</x:v>
      </x:c>
      <x:c r="O661" s="133" t="n">
        <x:f>(L661*(1+'Assumptions'!$B$29)^('Assumptions'!$B$14/12)/J661)*(1-'Assumptions'!$B$42)-'Debt Schedule'!$F$9</x:f>
        <x:v>3321307.962886134</x:v>
      </x:c>
      <x:c r="P661" s="132" t="n">
        <x:f>((O661+(L661-N661-'Assumptions'!$B$27-'Assumptions'!$B$28)*('Assumptions'!$B$14/12))/ABS('Monthly Cash Flow'!$S$5))^(1/('Assumptions'!$B$14/12))-1</x:f>
        <x:v>0.20984016002643946</x:v>
      </x:c>
      <x:c r="Q661" s="133" t="n">
        <x:f>-ABS('Monthly Cash Flow'!$S$5)+((L661-N661-'Assumptions'!$B$27-'Assumptions'!$B$28)*(1-(1+'Assumptions'!$B$43)^-('Assumptions'!$B$14/12))/'Assumptions'!$B$43)+(O661/(1+'Assumptions'!$B$43)^('Assumptions'!$B$14/12))</x:f>
        <x:v>793604.8107532228</x:v>
      </x:c>
    </x:row>
    <x:row r="662">
      <x:c r="A662" s="131" t="n">
        <x:f>655</x:f>
        <x:v>655</x:v>
      </x:c>
      <x:c r="B662" s="131" t="n">
        <x:f>MOD(ABS(SIN((A662+1)*12.9898+78.233)*43758.5453),1)</x:f>
        <x:v>0.4153303952043643</x:v>
      </x:c>
      <x:c r="C662" s="131" t="n">
        <x:f>MOD(ABS(SIN((A662+2)*12.9898+78.233)*43758.5453),1)</x:f>
        <x:v>0.4874067375130835</x:v>
      </x:c>
      <x:c r="D662" s="131" t="n">
        <x:f>MOD(ABS(SIN((A662+3)*12.9898+78.233)*43758.5453),1)</x:f>
        <x:v>0.23559742815268692</x:v>
      </x:c>
      <x:c r="E662" s="131" t="n">
        <x:f>MOD(ABS(SIN((A662+4)*12.9898+78.233)*43758.5453),1)</x:f>
        <x:v>0.3120320158195682</x:v>
      </x:c>
      <x:c r="F662" s="131" t="n">
        <x:f>MOD(ABS(SIN((A662+5)*12.9898+78.233)*43758.5453),1)</x:f>
        <x:v>0.8453317846942809</x:v>
      </x:c>
      <x:c r="G662" s="132" t="n">
        <x:f>IF(B662&lt;(('Assumptions'!$C$47-'Assumptions'!$B$47)/('Assumptions'!$D$47-'Assumptions'!$B$47)),'Assumptions'!$B$47+SQRT(B662*('Assumptions'!$D$47-'Assumptions'!$B$47)*('Assumptions'!$C$47-'Assumptions'!$B$47)),'Assumptions'!$D$47-SQRT((1-B662)*('Assumptions'!$D$47-'Assumptions'!$B$47)*('Assumptions'!$D$47-'Assumptions'!$C$47)))</x:f>
        <x:v>-0.0001604813467896149</x:v>
      </x:c>
      <x:c r="H662" s="132" t="n">
        <x:f>IF(C662&lt;(('Assumptions'!$C$48-'Assumptions'!$B$48)/('Assumptions'!$D$48-'Assumptions'!$B$48)),'Assumptions'!$B$48+SQRT(C662*('Assumptions'!$D$48-'Assumptions'!$B$48)*('Assumptions'!$C$48-'Assumptions'!$B$48)),'Assumptions'!$D$48-SQRT((1-C662)*('Assumptions'!$D$48-'Assumptions'!$B$48)*('Assumptions'!$D$48-'Assumptions'!$C$48)))</x:f>
        <x:v>0.0728373562917237</x:v>
      </x:c>
      <x:c r="I662" s="132" t="n">
        <x:f>IF(D662&lt;(('Assumptions'!$C$49-'Assumptions'!$B$49)/('Assumptions'!$D$49-'Assumptions'!$B$49)),'Assumptions'!$B$49+SQRT(D662*('Assumptions'!$D$49-'Assumptions'!$B$49)*('Assumptions'!$C$49-'Assumptions'!$B$49)),'Assumptions'!$D$49-SQRT((1-D662)*('Assumptions'!$D$49-'Assumptions'!$B$49)*('Assumptions'!$D$49-'Assumptions'!$C$49)))</x:f>
        <x:v>0.020442563614957346</x:v>
      </x:c>
      <x:c r="J662" s="132" t="n">
        <x:f>IF(E662&lt;(('Assumptions'!$C$50-'Assumptions'!$B$50)/('Assumptions'!$D$50-'Assumptions'!$B$50)),'Assumptions'!$B$50+SQRT(E662*('Assumptions'!$D$50-'Assumptions'!$B$50)*('Assumptions'!$C$50-'Assumptions'!$B$50)),'Assumptions'!$D$50-SQRT((1-E662)*('Assumptions'!$D$50-'Assumptions'!$B$50)*('Assumptions'!$D$50-'Assumptions'!$C$50)))</x:f>
        <x:v>0.06587897389657009</x:v>
      </x:c>
      <x:c r="K662" s="132" t="n">
        <x:f>IF(F662&lt;(('Assumptions'!$C$51-'Assumptions'!$B$51)/('Assumptions'!$D$51-'Assumptions'!$B$51)),'Assumptions'!$B$51+SQRT(F662*('Assumptions'!$D$51-'Assumptions'!$B$51)*('Assumptions'!$C$51-'Assumptions'!$B$51)),'Assumptions'!$D$51-SQRT((1-F662)*('Assumptions'!$D$51-'Assumptions'!$B$51)*('Assumptions'!$D$51-'Assumptions'!$C$51)))</x:f>
        <x:v>0.0763724813175585</x:v>
      </x:c>
      <x:c r="L662" s="133" t="n">
        <x:f>(('Assumptions'!$B$17*(1+G662)+'Assumptions'!$B$18)*(1-H662-'Assumptions'!$B$20)-SUM('Assumptions'!$B$21:$B$25)*(1+I662))-(('Assumptions'!$B$17*(1+G662)+'Assumptions'!$B$18)*(1-H662-'Assumptions'!$B$20)*'Assumptions'!$B$26)</x:f>
        <x:v>204193.34913465774</x:v>
      </x:c>
      <x:c r="M662" s="133" t="n">
        <x:f>'Assumptions'!$B$10*'Assumptions'!$B$33</x:f>
        <x:v>1950000</x:v>
      </x:c>
      <x:c r="N662" s="133" t="n">
        <x:f>-PMT(K662/12,'Assumptions'!$B$35*12,M662)*12</x:f>
        <x:v>165820.94225621523</x:v>
      </x:c>
      <x:c r="O662" s="133" t="n">
        <x:f>(L662*(1+'Assumptions'!$B$29)^('Assumptions'!$B$14/12)/J662)*(1-'Assumptions'!$B$42)-'Debt Schedule'!$F$9</x:f>
        <x:v>3377604.101695095</x:v>
      </x:c>
      <x:c r="P662" s="132" t="n">
        <x:f>((O662+(L662-N662-'Assumptions'!$B$27-'Assumptions'!$B$28)*('Assumptions'!$B$14/12))/ABS('Monthly Cash Flow'!$S$5))^(1/('Assumptions'!$B$14/12))-1</x:f>
        <x:v>0.21085407654950217</x:v>
      </x:c>
      <x:c r="Q662" s="133" t="n">
        <x:f>-ABS('Monthly Cash Flow'!$S$5)+((L662-N662-'Assumptions'!$B$27-'Assumptions'!$B$28)*(1-(1+'Assumptions'!$B$43)^-('Assumptions'!$B$14/12))/'Assumptions'!$B$43)+(O662/(1+'Assumptions'!$B$43)^('Assumptions'!$B$14/12))</x:f>
        <x:v>796556.5491233668</x:v>
      </x:c>
    </x:row>
    <x:row r="663">
      <x:c r="A663" s="131" t="n">
        <x:f>656</x:f>
        <x:v>656</x:v>
      </x:c>
      <x:c r="B663" s="131" t="n">
        <x:f>MOD(ABS(SIN((A663+1)*12.9898+78.233)*43758.5453),1)</x:f>
        <x:v>0.4874067375130835</x:v>
      </x:c>
      <x:c r="C663" s="131" t="n">
        <x:f>MOD(ABS(SIN((A663+2)*12.9898+78.233)*43758.5453),1)</x:f>
        <x:v>0.23559742815268692</x:v>
      </x:c>
      <x:c r="D663" s="131" t="n">
        <x:f>MOD(ABS(SIN((A663+3)*12.9898+78.233)*43758.5453),1)</x:f>
        <x:v>0.3120320158195682</x:v>
      </x:c>
      <x:c r="E663" s="131" t="n">
        <x:f>MOD(ABS(SIN((A663+4)*12.9898+78.233)*43758.5453),1)</x:f>
        <x:v>0.8453317846942809</x:v>
      </x:c>
      <x:c r="F663" s="131" t="n">
        <x:f>MOD(ABS(SIN((A663+5)*12.9898+78.233)*43758.5453),1)</x:f>
        <x:v>0.17462151444635765</x:v>
      </x:c>
      <x:c r="G663" s="132" t="n">
        <x:f>IF(B663&lt;(('Assumptions'!$C$47-'Assumptions'!$B$47)/('Assumptions'!$D$47-'Assumptions'!$B$47)),'Assumptions'!$B$47+SQRT(B663*('Assumptions'!$D$47-'Assumptions'!$B$47)*('Assumptions'!$C$47-'Assumptions'!$B$47)),'Assumptions'!$D$47-SQRT((1-B663)*('Assumptions'!$D$47-'Assumptions'!$B$47)*('Assumptions'!$D$47-'Assumptions'!$C$47)))</x:f>
        <x:v>0.008156191225070442</x:v>
      </x:c>
      <x:c r="H663" s="132" t="n">
        <x:f>IF(C663&lt;(('Assumptions'!$C$48-'Assumptions'!$B$48)/('Assumptions'!$D$48-'Assumptions'!$B$48)),'Assumptions'!$B$48+SQRT(C663*('Assumptions'!$D$48-'Assumptions'!$B$48)*('Assumptions'!$C$48-'Assumptions'!$B$48)),'Assumptions'!$D$48-SQRT((1-C663)*('Assumptions'!$D$48-'Assumptions'!$B$48)*('Assumptions'!$D$48-'Assumptions'!$C$48)))</x:f>
        <x:v>0.057883176162407804</x:v>
      </x:c>
      <x:c r="I663" s="132" t="n">
        <x:f>IF(D663&lt;(('Assumptions'!$C$49-'Assumptions'!$B$49)/('Assumptions'!$D$49-'Assumptions'!$B$49)),'Assumptions'!$B$49+SQRT(D663*('Assumptions'!$D$49-'Assumptions'!$B$49)*('Assumptions'!$C$49-'Assumptions'!$B$49)),'Assumptions'!$D$49-SQRT((1-D663)*('Assumptions'!$D$49-'Assumptions'!$B$49)*('Assumptions'!$D$49-'Assumptions'!$C$49)))</x:f>
        <x:v>0.02805123401661102</x:v>
      </x:c>
      <x:c r="J663" s="132" t="n">
        <x:f>IF(E663&lt;(('Assumptions'!$C$50-'Assumptions'!$B$50)/('Assumptions'!$D$50-'Assumptions'!$B$50)),'Assumptions'!$B$50+SQRT(E663*('Assumptions'!$D$50-'Assumptions'!$B$50)*('Assumptions'!$C$50-'Assumptions'!$B$50)),'Assumptions'!$D$50-SQRT((1-E663)*('Assumptions'!$D$50-'Assumptions'!$B$50)*('Assumptions'!$D$50-'Assumptions'!$C$50)))</x:f>
        <x:v>0.07340451400162706</x:v>
      </x:c>
      <x:c r="K663" s="132" t="n">
        <x:f>IF(F663&lt;(('Assumptions'!$C$51-'Assumptions'!$B$51)/('Assumptions'!$D$51-'Assumptions'!$B$51)),'Assumptions'!$B$51+SQRT(F663*('Assumptions'!$D$51-'Assumptions'!$B$51)*('Assumptions'!$C$51-'Assumptions'!$B$51)),'Assumptions'!$D$51-SQRT((1-F663)*('Assumptions'!$D$51-'Assumptions'!$B$51)*('Assumptions'!$D$51-'Assumptions'!$C$51)))</x:f>
        <x:v>0.06442971258226114</x:v>
      </x:c>
      <x:c r="L663" s="133" t="n">
        <x:f>(('Assumptions'!$B$17*(1+G663)+'Assumptions'!$B$18)*(1-H663-'Assumptions'!$B$20)-SUM('Assumptions'!$B$21:$B$25)*(1+I663))-(('Assumptions'!$B$17*(1+G663)+'Assumptions'!$B$18)*(1-H663-'Assumptions'!$B$20)*'Assumptions'!$B$26)</x:f>
        <x:v>211339.52951739507</x:v>
      </x:c>
      <x:c r="M663" s="133" t="n">
        <x:f>'Assumptions'!$B$10*'Assumptions'!$B$33</x:f>
        <x:v>1950000</x:v>
      </x:c>
      <x:c r="N663" s="133" t="n">
        <x:f>-PMT(K663/12,'Assumptions'!$B$35*12,M663)*12</x:f>
        <x:v>147027.3943216715</x:v>
      </x:c>
      <x:c r="O663" s="133" t="n">
        <x:f>(L663*(1+'Assumptions'!$B$29)^('Assumptions'!$B$14/12)/J663)*(1-'Assumptions'!$B$42)-'Debt Schedule'!$F$9</x:f>
        <x:v>3137414.8351764088</x:v>
      </x:c>
      <x:c r="P663" s="132" t="n">
        <x:f>((O663+(L663-N663-'Assumptions'!$B$27-'Assumptions'!$B$28)*('Assumptions'!$B$14/12))/ABS('Monthly Cash Flow'!$S$5))^(1/('Assumptions'!$B$14/12))-1</x:f>
        <x:v>0.20280661655747667</x:v>
      </x:c>
      <x:c r="Q663" s="133" t="n">
        <x:f>-ABS('Monthly Cash Flow'!$S$5)+((L663-N663-'Assumptions'!$B$27-'Assumptions'!$B$28)*(1-(1+'Assumptions'!$B$43)^-('Assumptions'!$B$14/12))/'Assumptions'!$B$43)+(O663/(1+'Assumptions'!$B$43)^('Assumptions'!$B$14/12))</x:f>
        <x:v>745749.8908791747</x:v>
      </x:c>
    </x:row>
    <x:row r="664">
      <x:c r="A664" s="131" t="n">
        <x:f>657</x:f>
        <x:v>657</x:v>
      </x:c>
      <x:c r="B664" s="131" t="n">
        <x:f>MOD(ABS(SIN((A664+1)*12.9898+78.233)*43758.5453),1)</x:f>
        <x:v>0.23559742815268692</x:v>
      </x:c>
      <x:c r="C664" s="131" t="n">
        <x:f>MOD(ABS(SIN((A664+2)*12.9898+78.233)*43758.5453),1)</x:f>
        <x:v>0.3120320158195682</x:v>
      </x:c>
      <x:c r="D664" s="131" t="n">
        <x:f>MOD(ABS(SIN((A664+3)*12.9898+78.233)*43758.5453),1)</x:f>
        <x:v>0.8453317846942809</x:v>
      </x:c>
      <x:c r="E664" s="131" t="n">
        <x:f>MOD(ABS(SIN((A664+4)*12.9898+78.233)*43758.5453),1)</x:f>
        <x:v>0.17462151444635765</x:v>
      </x:c>
      <x:c r="F664" s="131" t="n">
        <x:f>MOD(ABS(SIN((A664+5)*12.9898+78.233)*43758.5453),1)</x:f>
        <x:v>0.5016703121327737</x:v>
      </x:c>
      <x:c r="G664" s="132" t="n">
        <x:f>IF(B664&lt;(('Assumptions'!$C$47-'Assumptions'!$B$47)/('Assumptions'!$D$47-'Assumptions'!$B$47)),'Assumptions'!$B$47+SQRT(B664*('Assumptions'!$D$47-'Assumptions'!$B$47)*('Assumptions'!$C$47-'Assumptions'!$B$47)),'Assumptions'!$D$47-SQRT((1-B664)*('Assumptions'!$D$47-'Assumptions'!$B$47)*('Assumptions'!$D$47-'Assumptions'!$C$47)))</x:f>
        <x:v>-0.02480466586506523</x:v>
      </x:c>
      <x:c r="H664" s="132" t="n">
        <x:f>IF(C664&lt;(('Assumptions'!$C$48-'Assumptions'!$B$48)/('Assumptions'!$D$48-'Assumptions'!$B$48)),'Assumptions'!$B$48+SQRT(C664*('Assumptions'!$D$48-'Assumptions'!$B$48)*('Assumptions'!$C$48-'Assumptions'!$B$48)),'Assumptions'!$D$48-SQRT((1-C664)*('Assumptions'!$D$48-'Assumptions'!$B$48)*('Assumptions'!$D$48-'Assumptions'!$C$48)))</x:f>
        <x:v>0.06219178539005152</x:v>
      </x:c>
      <x:c r="I664" s="132" t="n">
        <x:f>IF(D664&lt;(('Assumptions'!$C$49-'Assumptions'!$B$49)/('Assumptions'!$D$49-'Assumptions'!$B$49)),'Assumptions'!$B$49+SQRT(D664*('Assumptions'!$D$49-'Assumptions'!$B$49)*('Assumptions'!$C$49-'Assumptions'!$B$49)),'Assumptions'!$D$49-SQRT((1-D664)*('Assumptions'!$D$49-'Assumptions'!$B$49)*('Assumptions'!$D$49-'Assumptions'!$C$49)))</x:f>
        <x:v>0.09220005665570655</x:v>
      </x:c>
      <x:c r="J664" s="132" t="n">
        <x:f>IF(E664&lt;(('Assumptions'!$C$50-'Assumptions'!$B$50)/('Assumptions'!$D$50-'Assumptions'!$B$50)),'Assumptions'!$B$50+SQRT(E664*('Assumptions'!$D$50-'Assumptions'!$B$50)*('Assumptions'!$C$50-'Assumptions'!$B$50)),'Assumptions'!$D$50-SQRT((1-E664)*('Assumptions'!$D$50-'Assumptions'!$B$50)*('Assumptions'!$D$50-'Assumptions'!$C$50)))</x:f>
        <x:v>0.06376816087464501</x:v>
      </x:c>
      <x:c r="K664" s="132" t="n">
        <x:f>IF(F664&lt;(('Assumptions'!$C$51-'Assumptions'!$B$51)/('Assumptions'!$D$51-'Assumptions'!$B$51)),'Assumptions'!$B$51+SQRT(F664*('Assumptions'!$D$51-'Assumptions'!$B$51)*('Assumptions'!$C$51-'Assumptions'!$B$51)),'Assumptions'!$D$51-SQRT((1-F664)*('Assumptions'!$D$51-'Assumptions'!$B$51)*('Assumptions'!$D$51-'Assumptions'!$C$51)))</x:f>
        <x:v>0.06951383965322254</x:v>
      </x:c>
      <x:c r="L664" s="133" t="n">
        <x:f>(('Assumptions'!$B$17*(1+G664)+'Assumptions'!$B$18)*(1-H664-'Assumptions'!$B$20)-SUM('Assumptions'!$B$21:$B$25)*(1+I664))-(('Assumptions'!$B$17*(1+G664)+'Assumptions'!$B$18)*(1-H664-'Assumptions'!$B$20)*'Assumptions'!$B$26)</x:f>
        <x:v>191112.20879654837</x:v>
      </x:c>
      <x:c r="M664" s="133" t="n">
        <x:f>'Assumptions'!$B$10*'Assumptions'!$B$33</x:f>
        <x:v>1950000</x:v>
      </x:c>
      <x:c r="N664" s="133" t="n">
        <x:f>-PMT(K664/12,'Assumptions'!$B$35*12,M664)*12</x:f>
        <x:v>154917.5162058825</x:v>
      </x:c>
      <x:c r="O664" s="133" t="n">
        <x:f>(L664*(1+'Assumptions'!$B$29)^('Assumptions'!$B$14/12)/J664)*(1-'Assumptions'!$B$42)-'Debt Schedule'!$F$9</x:f>
        <x:v>3265867.1717542056</x:v>
      </x:c>
      <x:c r="P664" s="132" t="n">
        <x:f>((O664+(L664-N664-'Assumptions'!$B$27-'Assumptions'!$B$28)*('Assumptions'!$B$14/12))/ABS('Monthly Cash Flow'!$S$5))^(1/('Assumptions'!$B$14/12))-1</x:f>
        <x:v>0.2019095433747926</x:v>
      </x:c>
      <x:c r="Q664" s="133" t="n">
        <x:f>-ABS('Monthly Cash Flow'!$S$5)+((L664-N664-'Assumptions'!$B$27-'Assumptions'!$B$28)*(1-(1+'Assumptions'!$B$43)^-('Assumptions'!$B$14/12))/'Assumptions'!$B$43)+(O664/(1+'Assumptions'!$B$43)^('Assumptions'!$B$14/12))</x:f>
        <x:v>718921.4562402458</x:v>
      </x:c>
    </x:row>
    <x:row r="665">
      <x:c r="A665" s="131" t="n">
        <x:f>658</x:f>
        <x:v>658</x:v>
      </x:c>
      <x:c r="B665" s="131" t="n">
        <x:f>MOD(ABS(SIN((A665+1)*12.9898+78.233)*43758.5453),1)</x:f>
        <x:v>0.3120320158195682</x:v>
      </x:c>
      <x:c r="C665" s="131" t="n">
        <x:f>MOD(ABS(SIN((A665+2)*12.9898+78.233)*43758.5453),1)</x:f>
        <x:v>0.8453317846942809</x:v>
      </x:c>
      <x:c r="D665" s="131" t="n">
        <x:f>MOD(ABS(SIN((A665+3)*12.9898+78.233)*43758.5453),1)</x:f>
        <x:v>0.17462151444635765</x:v>
      </x:c>
      <x:c r="E665" s="131" t="n">
        <x:f>MOD(ABS(SIN((A665+4)*12.9898+78.233)*43758.5453),1)</x:f>
        <x:v>0.5016703121327737</x:v>
      </x:c>
      <x:c r="F665" s="131" t="n">
        <x:f>MOD(ABS(SIN((A665+5)*12.9898+78.233)*43758.5453),1)</x:f>
        <x:v>0.31035876337773516</x:v>
      </x:c>
      <x:c r="G665" s="132" t="n">
        <x:f>IF(B665&lt;(('Assumptions'!$C$47-'Assumptions'!$B$47)/('Assumptions'!$D$47-'Assumptions'!$B$47)),'Assumptions'!$B$47+SQRT(B665*('Assumptions'!$D$47-'Assumptions'!$B$47)*('Assumptions'!$C$47-'Assumptions'!$B$47)),'Assumptions'!$D$47-SQRT((1-B665)*('Assumptions'!$D$47-'Assumptions'!$B$47)*('Assumptions'!$D$47-'Assumptions'!$C$47)))</x:f>
        <x:v>-0.013462329707406406</x:v>
      </x:c>
      <x:c r="H665" s="132" t="n">
        <x:f>IF(C665&lt;(('Assumptions'!$C$48-'Assumptions'!$B$48)/('Assumptions'!$D$48-'Assumptions'!$B$48)),'Assumptions'!$B$48+SQRT(C665*('Assumptions'!$D$48-'Assumptions'!$B$48)*('Assumptions'!$C$48-'Assumptions'!$B$48)),'Assumptions'!$D$48-SQRT((1-C665)*('Assumptions'!$D$48-'Assumptions'!$B$48)*('Assumptions'!$D$48-'Assumptions'!$C$48)))</x:f>
        <x:v>0.10310717827692863</x:v>
      </x:c>
      <x:c r="I665" s="132" t="n">
        <x:f>IF(D665&lt;(('Assumptions'!$C$49-'Assumptions'!$B$49)/('Assumptions'!$D$49-'Assumptions'!$B$49)),'Assumptions'!$B$49+SQRT(D665*('Assumptions'!$D$49-'Assumptions'!$B$49)*('Assumptions'!$C$49-'Assumptions'!$B$49)),'Assumptions'!$D$49-SQRT((1-D665)*('Assumptions'!$D$49-'Assumptions'!$B$49)*('Assumptions'!$D$49-'Assumptions'!$C$49)))</x:f>
        <x:v>0.013427092419602105</x:v>
      </x:c>
      <x:c r="J665" s="132" t="n">
        <x:f>IF(E665&lt;(('Assumptions'!$C$50-'Assumptions'!$B$50)/('Assumptions'!$D$50-'Assumptions'!$B$50)),'Assumptions'!$B$50+SQRT(E665*('Assumptions'!$D$50-'Assumptions'!$B$50)*('Assumptions'!$C$50-'Assumptions'!$B$50)),'Assumptions'!$D$50-SQRT((1-E665)*('Assumptions'!$D$50-'Assumptions'!$B$50)*('Assumptions'!$D$50-'Assumptions'!$C$50)))</x:f>
        <x:v>0.06816128280966821</x:v>
      </x:c>
      <x:c r="K665" s="132" t="n">
        <x:f>IF(F665&lt;(('Assumptions'!$C$51-'Assumptions'!$B$51)/('Assumptions'!$D$51-'Assumptions'!$B$51)),'Assumptions'!$B$51+SQRT(F665*('Assumptions'!$D$51-'Assumptions'!$B$51)*('Assumptions'!$C$51-'Assumptions'!$B$51)),'Assumptions'!$D$51-SQRT((1-F665)*('Assumptions'!$D$51-'Assumptions'!$B$51)*('Assumptions'!$D$51-'Assumptions'!$C$51)))</x:f>
        <x:v>0.06673843384610602</x:v>
      </x:c>
      <x:c r="L665" s="133" t="n">
        <x:f>(('Assumptions'!$B$17*(1+G665)+'Assumptions'!$B$18)*(1-H665-'Assumptions'!$B$20)-SUM('Assumptions'!$B$21:$B$25)*(1+I665))-(('Assumptions'!$B$17*(1+G665)+'Assumptions'!$B$18)*(1-H665-'Assumptions'!$B$20)*'Assumptions'!$B$26)</x:f>
        <x:v>190017.5126803466</x:v>
      </x:c>
      <x:c r="M665" s="133" t="n">
        <x:f>'Assumptions'!$B$10*'Assumptions'!$B$33</x:f>
        <x:v>1950000</x:v>
      </x:c>
      <x:c r="N665" s="133" t="n">
        <x:f>-PMT(K665/12,'Assumptions'!$B$35*12,M665)*12</x:f>
        <x:v>150589.27448761975</x:v>
      </x:c>
      <x:c r="O665" s="133" t="n">
        <x:f>(L665*(1+'Assumptions'!$B$29)^('Assumptions'!$B$14/12)/J665)*(1-'Assumptions'!$B$42)-'Debt Schedule'!$F$9</x:f>
        <x:v>3037874.6556854513</x:v>
      </x:c>
      <x:c r="P665" s="132" t="n">
        <x:f>((O665+(L665-N665-'Assumptions'!$B$27-'Assumptions'!$B$28)*('Assumptions'!$B$14/12))/ABS('Monthly Cash Flow'!$S$5))^(1/('Assumptions'!$B$14/12))-1</x:f>
        <x:v>0.18580091641835117</x:v>
      </x:c>
      <x:c r="Q665" s="133" t="n">
        <x:f>-ABS('Monthly Cash Flow'!$S$5)+((L665-N665-'Assumptions'!$B$27-'Assumptions'!$B$28)*(1-(1+'Assumptions'!$B$43)^-('Assumptions'!$B$14/12))/'Assumptions'!$B$43)+(O665/(1+'Assumptions'!$B$43)^('Assumptions'!$B$14/12))</x:f>
        <x:v>589613.723401821</x:v>
      </x:c>
    </x:row>
    <x:row r="666">
      <x:c r="A666" s="131" t="n">
        <x:f>659</x:f>
        <x:v>659</x:v>
      </x:c>
      <x:c r="B666" s="131" t="n">
        <x:f>MOD(ABS(SIN((A666+1)*12.9898+78.233)*43758.5453),1)</x:f>
        <x:v>0.8453317846942809</x:v>
      </x:c>
      <x:c r="C666" s="131" t="n">
        <x:f>MOD(ABS(SIN((A666+2)*12.9898+78.233)*43758.5453),1)</x:f>
        <x:v>0.17462151444635765</x:v>
      </x:c>
      <x:c r="D666" s="131" t="n">
        <x:f>MOD(ABS(SIN((A666+3)*12.9898+78.233)*43758.5453),1)</x:f>
        <x:v>0.5016703121327737</x:v>
      </x:c>
      <x:c r="E666" s="131" t="n">
        <x:f>MOD(ABS(SIN((A666+4)*12.9898+78.233)*43758.5453),1)</x:f>
        <x:v>0.31035876337773516</x:v>
      </x:c>
      <x:c r="F666" s="131" t="n">
        <x:f>MOD(ABS(SIN((A666+5)*12.9898+78.233)*43758.5453),1)</x:f>
        <x:v>0.12948899795446778</x:v>
      </x:c>
      <x:c r="G666" s="132" t="n">
        <x:f>IF(B666&lt;(('Assumptions'!$C$47-'Assumptions'!$B$47)/('Assumptions'!$D$47-'Assumptions'!$B$47)),'Assumptions'!$B$47+SQRT(B666*('Assumptions'!$D$47-'Assumptions'!$B$47)*('Assumptions'!$C$47-'Assumptions'!$B$47)),'Assumptions'!$D$47-SQRT((1-B666)*('Assumptions'!$D$47-'Assumptions'!$B$47)*('Assumptions'!$D$47-'Assumptions'!$C$47)))</x:f>
        <x:v>0.05025372933684873</x:v>
      </x:c>
      <x:c r="H666" s="132" t="n">
        <x:f>IF(C666&lt;(('Assumptions'!$C$48-'Assumptions'!$B$48)/('Assumptions'!$D$48-'Assumptions'!$B$48)),'Assumptions'!$B$48+SQRT(C666*('Assumptions'!$D$48-'Assumptions'!$B$48)*('Assumptions'!$C$48-'Assumptions'!$B$48)),'Assumptions'!$D$48-SQRT((1-C666)*('Assumptions'!$D$48-'Assumptions'!$B$48)*('Assumptions'!$D$48-'Assumptions'!$C$48)))</x:f>
        <x:v>0.05400522854865124</x:v>
      </x:c>
      <x:c r="I666" s="132" t="n">
        <x:f>IF(D666&lt;(('Assumptions'!$C$49-'Assumptions'!$B$49)/('Assumptions'!$D$49-'Assumptions'!$B$49)),'Assumptions'!$B$49+SQRT(D666*('Assumptions'!$D$49-'Assumptions'!$B$49)*('Assumptions'!$C$49-'Assumptions'!$B$49)),'Assumptions'!$D$49-SQRT((1-D666)*('Assumptions'!$D$49-'Assumptions'!$B$49)*('Assumptions'!$D$49-'Assumptions'!$C$49)))</x:f>
        <x:v>0.04625068068689758</x:v>
      </x:c>
      <x:c r="J666" s="132" t="n">
        <x:f>IF(E666&lt;(('Assumptions'!$C$50-'Assumptions'!$B$50)/('Assumptions'!$D$50-'Assumptions'!$B$50)),'Assumptions'!$B$50+SQRT(E666*('Assumptions'!$D$50-'Assumptions'!$B$50)*('Assumptions'!$C$50-'Assumptions'!$B$50)),'Assumptions'!$D$50-SQRT((1-E666)*('Assumptions'!$D$50-'Assumptions'!$B$50)*('Assumptions'!$D$50-'Assumptions'!$C$50)))</x:f>
        <x:v>0.06585647783219643</x:v>
      </x:c>
      <x:c r="K666" s="132" t="n">
        <x:f>IF(F666&lt;(('Assumptions'!$C$51-'Assumptions'!$B$51)/('Assumptions'!$D$51-'Assumptions'!$B$51)),'Assumptions'!$B$51+SQRT(F666*('Assumptions'!$D$51-'Assumptions'!$B$51)*('Assumptions'!$C$51-'Assumptions'!$B$51)),'Assumptions'!$D$51-SQRT((1-F666)*('Assumptions'!$D$51-'Assumptions'!$B$51)*('Assumptions'!$D$51-'Assumptions'!$C$51)))</x:f>
        <x:v>0.06346736746291685</x:v>
      </x:c>
      <x:c r="L666" s="133" t="n">
        <x:f>(('Assumptions'!$B$17*(1+G666)+'Assumptions'!$B$18)*(1-H666-'Assumptions'!$B$20)-SUM('Assumptions'!$B$21:$B$25)*(1+I666))-(('Assumptions'!$B$17*(1+G666)+'Assumptions'!$B$18)*(1-H666-'Assumptions'!$B$20)*'Assumptions'!$B$26)</x:f>
        <x:v>224082.26286176097</x:v>
      </x:c>
      <x:c r="M666" s="133" t="n">
        <x:f>'Assumptions'!$B$10*'Assumptions'!$B$33</x:f>
        <x:v>1950000</x:v>
      </x:c>
      <x:c r="N666" s="133" t="n">
        <x:f>-PMT(K666/12,'Assumptions'!$B$35*12,M666)*12</x:f>
        <x:v>145553.2716168998</x:v>
      </x:c>
      <x:c r="O666" s="133" t="n">
        <x:f>(L666*(1+'Assumptions'!$B$29)^('Assumptions'!$B$14/12)/J666)*(1-'Assumptions'!$B$42)-'Debt Schedule'!$F$9</x:f>
        <x:v>3707856.8489122936</x:v>
      </x:c>
      <x:c r="P666" s="132" t="n">
        <x:f>((O666+(L666-N666-'Assumptions'!$B$27-'Assumptions'!$B$28)*('Assumptions'!$B$14/12))/ABS('Monthly Cash Flow'!$S$5))^(1/('Assumptions'!$B$14/12))-1</x:f>
        <x:v>0.24681978639364344</x:v>
      </x:c>
      <x:c r="Q666" s="133" t="n">
        <x:f>-ABS('Monthly Cash Flow'!$S$5)+((L666-N666-'Assumptions'!$B$27-'Assumptions'!$B$28)*(1-(1+'Assumptions'!$B$43)^-('Assumptions'!$B$14/12))/'Assumptions'!$B$43)+(O666/(1+'Assumptions'!$B$43)^('Assumptions'!$B$14/12))</x:f>
        <x:v>1153842.5705902444</x:v>
      </x:c>
    </x:row>
    <x:row r="667">
      <x:c r="A667" s="131" t="n">
        <x:f>660</x:f>
        <x:v>660</x:v>
      </x:c>
      <x:c r="B667" s="131" t="n">
        <x:f>MOD(ABS(SIN((A667+1)*12.9898+78.233)*43758.5453),1)</x:f>
        <x:v>0.17462151444635765</x:v>
      </x:c>
      <x:c r="C667" s="131" t="n">
        <x:f>MOD(ABS(SIN((A667+2)*12.9898+78.233)*43758.5453),1)</x:f>
        <x:v>0.5016703121327737</x:v>
      </x:c>
      <x:c r="D667" s="131" t="n">
        <x:f>MOD(ABS(SIN((A667+3)*12.9898+78.233)*43758.5453),1)</x:f>
        <x:v>0.31035876337773516</x:v>
      </x:c>
      <x:c r="E667" s="131" t="n">
        <x:f>MOD(ABS(SIN((A667+4)*12.9898+78.233)*43758.5453),1)</x:f>
        <x:v>0.12948899795446778</x:v>
      </x:c>
      <x:c r="F667" s="131" t="n">
        <x:f>MOD(ABS(SIN((A667+5)*12.9898+78.233)*43758.5453),1)</x:f>
        <x:v>0.7380630868428852</x:v>
      </x:c>
      <x:c r="G667" s="132" t="n">
        <x:f>IF(B667&lt;(('Assumptions'!$C$47-'Assumptions'!$B$47)/('Assumptions'!$D$47-'Assumptions'!$B$47)),'Assumptions'!$B$47+SQRT(B667*('Assumptions'!$D$47-'Assumptions'!$B$47)*('Assumptions'!$C$47-'Assumptions'!$B$47)),'Assumptions'!$D$47-SQRT((1-B667)*('Assumptions'!$D$47-'Assumptions'!$B$47)*('Assumptions'!$D$47-'Assumptions'!$C$47)))</x:f>
        <x:v>-0.03526271285640259</x:v>
      </x:c>
      <x:c r="H667" s="132" t="n">
        <x:f>IF(C667&lt;(('Assumptions'!$C$48-'Assumptions'!$B$48)/('Assumptions'!$D$48-'Assumptions'!$B$48)),'Assumptions'!$B$48+SQRT(C667*('Assumptions'!$D$48-'Assumptions'!$B$48)*('Assumptions'!$C$48-'Assumptions'!$B$48)),'Assumptions'!$D$48-SQRT((1-C667)*('Assumptions'!$D$48-'Assumptions'!$B$48)*('Assumptions'!$D$48-'Assumptions'!$C$48)))</x:f>
        <x:v>0.07377839285224504</x:v>
      </x:c>
      <x:c r="I667" s="132" t="n">
        <x:f>IF(D667&lt;(('Assumptions'!$C$49-'Assumptions'!$B$49)/('Assumptions'!$D$49-'Assumptions'!$B$49)),'Assumptions'!$B$49+SQRT(D667*('Assumptions'!$D$49-'Assumptions'!$B$49)*('Assumptions'!$C$49-'Assumptions'!$B$49)),'Assumptions'!$D$49-SQRT((1-D667)*('Assumptions'!$D$49-'Assumptions'!$B$49)*('Assumptions'!$D$49-'Assumptions'!$C$49)))</x:f>
        <x:v>0.027895376710749015</x:v>
      </x:c>
      <x:c r="J667" s="132" t="n">
        <x:f>IF(E667&lt;(('Assumptions'!$C$50-'Assumptions'!$B$50)/('Assumptions'!$D$50-'Assumptions'!$B$50)),'Assumptions'!$B$50+SQRT(E667*('Assumptions'!$D$50-'Assumptions'!$B$50)*('Assumptions'!$C$50-'Assumptions'!$B$50)),'Assumptions'!$D$50-SQRT((1-E667)*('Assumptions'!$D$50-'Assumptions'!$B$50)*('Assumptions'!$D$50-'Assumptions'!$C$50)))</x:f>
        <x:v>0.06289768696200097</x:v>
      </x:c>
      <x:c r="K667" s="132" t="n">
        <x:f>IF(F667&lt;(('Assumptions'!$C$51-'Assumptions'!$B$51)/('Assumptions'!$D$51-'Assumptions'!$B$51)),'Assumptions'!$B$51+SQRT(F667*('Assumptions'!$D$51-'Assumptions'!$B$51)*('Assumptions'!$C$51-'Assumptions'!$B$51)),'Assumptions'!$D$51-SQRT((1-F667)*('Assumptions'!$D$51-'Assumptions'!$B$51)*('Assumptions'!$D$51-'Assumptions'!$C$51)))</x:f>
        <x:v>0.07377248293446581</x:v>
      </x:c>
      <x:c r="L667" s="133" t="n">
        <x:f>(('Assumptions'!$B$17*(1+G667)+'Assumptions'!$B$18)*(1-H667-'Assumptions'!$B$20)-SUM('Assumptions'!$B$21:$B$25)*(1+I667))-(('Assumptions'!$B$17*(1+G667)+'Assumptions'!$B$18)*(1-H667-'Assumptions'!$B$20)*'Assumptions'!$B$26)</x:f>
        <x:v>191797.8757517948</x:v>
      </x:c>
      <x:c r="M667" s="133" t="n">
        <x:f>'Assumptions'!$B$10*'Assumptions'!$B$33</x:f>
        <x:v>1950000</x:v>
      </x:c>
      <x:c r="N667" s="133" t="n">
        <x:f>-PMT(K667/12,'Assumptions'!$B$35*12,M667)*12</x:f>
        <x:v>161653.8417966332</x:v>
      </x:c>
      <x:c r="O667" s="133" t="n">
        <x:f>(L667*(1+'Assumptions'!$B$29)^('Assumptions'!$B$14/12)/J667)*(1-'Assumptions'!$B$42)-'Debt Schedule'!$F$9</x:f>
        <x:v>3322944.557551773</x:v>
      </x:c>
      <x:c r="P667" s="132" t="n">
        <x:f>((O667+(L667-N667-'Assumptions'!$B$27-'Assumptions'!$B$28)*('Assumptions'!$B$14/12))/ABS('Monthly Cash Flow'!$S$5))^(1/('Assumptions'!$B$14/12))-1</x:f>
        <x:v>0.2038889516431861</x:v>
      </x:c>
      <x:c r="Q667" s="133" t="n">
        <x:f>-ABS('Monthly Cash Flow'!$S$5)+((L667-N667-'Assumptions'!$B$27-'Assumptions'!$B$28)*(1-(1+'Assumptions'!$B$43)^-('Assumptions'!$B$14/12))/'Assumptions'!$B$43)+(O667/(1+'Assumptions'!$B$43)^('Assumptions'!$B$14/12))</x:f>
        <x:v>731425.2654447528</x:v>
      </x:c>
    </x:row>
    <x:row r="668">
      <x:c r="A668" s="131" t="n">
        <x:f>661</x:f>
        <x:v>661</x:v>
      </x:c>
      <x:c r="B668" s="131" t="n">
        <x:f>MOD(ABS(SIN((A668+1)*12.9898+78.233)*43758.5453),1)</x:f>
        <x:v>0.5016703121327737</x:v>
      </x:c>
      <x:c r="C668" s="131" t="n">
        <x:f>MOD(ABS(SIN((A668+2)*12.9898+78.233)*43758.5453),1)</x:f>
        <x:v>0.31035876337773516</x:v>
      </x:c>
      <x:c r="D668" s="131" t="n">
        <x:f>MOD(ABS(SIN((A668+3)*12.9898+78.233)*43758.5453),1)</x:f>
        <x:v>0.12948899795446778</x:v>
      </x:c>
      <x:c r="E668" s="131" t="n">
        <x:f>MOD(ABS(SIN((A668+4)*12.9898+78.233)*43758.5453),1)</x:f>
        <x:v>0.7380630868428852</x:v>
      </x:c>
      <x:c r="F668" s="131" t="n">
        <x:f>MOD(ABS(SIN((A668+5)*12.9898+78.233)*43758.5453),1)</x:f>
        <x:v>0.8237841862937785</x:v>
      </x:c>
      <x:c r="G668" s="132" t="n">
        <x:f>IF(B668&lt;(('Assumptions'!$C$47-'Assumptions'!$B$47)/('Assumptions'!$D$47-'Assumptions'!$B$47)),'Assumptions'!$B$47+SQRT(B668*('Assumptions'!$D$47-'Assumptions'!$B$47)*('Assumptions'!$C$47-'Assumptions'!$B$47)),'Assumptions'!$D$47-SQRT((1-B668)*('Assumptions'!$D$47-'Assumptions'!$B$47)*('Assumptions'!$D$47-'Assumptions'!$C$47)))</x:f>
        <x:v>0.009727332470932548</x:v>
      </x:c>
      <x:c r="H668" s="132" t="n">
        <x:f>IF(C668&lt;(('Assumptions'!$C$48-'Assumptions'!$B$48)/('Assumptions'!$D$48-'Assumptions'!$B$48)),'Assumptions'!$B$48+SQRT(C668*('Assumptions'!$D$48-'Assumptions'!$B$48)*('Assumptions'!$C$48-'Assumptions'!$B$48)),'Assumptions'!$D$48-SQRT((1-C668)*('Assumptions'!$D$48-'Assumptions'!$B$48)*('Assumptions'!$D$48-'Assumptions'!$C$48)))</x:f>
        <x:v>0.06209722160104987</x:v>
      </x:c>
      <x:c r="I668" s="132" t="n">
        <x:f>IF(D668&lt;(('Assumptions'!$C$49-'Assumptions'!$B$49)/('Assumptions'!$D$49-'Assumptions'!$B$49)),'Assumptions'!$B$49+SQRT(D668*('Assumptions'!$D$49-'Assumptions'!$B$49)*('Assumptions'!$C$49-'Assumptions'!$B$49)),'Assumptions'!$D$49-SQRT((1-D668)*('Assumptions'!$D$49-'Assumptions'!$B$49)*('Assumptions'!$D$49-'Assumptions'!$C$49)))</x:f>
        <x:v>0.007396272246151116</x:v>
      </x:c>
      <x:c r="J668" s="132" t="n">
        <x:f>IF(E668&lt;(('Assumptions'!$C$50-'Assumptions'!$B$50)/('Assumptions'!$D$50-'Assumptions'!$B$50)),'Assumptions'!$B$50+SQRT(E668*('Assumptions'!$D$50-'Assumptions'!$B$50)*('Assumptions'!$C$50-'Assumptions'!$B$50)),'Assumptions'!$D$50-SQRT((1-E668)*('Assumptions'!$D$50-'Assumptions'!$B$50)*('Assumptions'!$D$50-'Assumptions'!$C$50)))</x:f>
        <x:v>0.07141689119109873</x:v>
      </x:c>
      <x:c r="K668" s="132" t="n">
        <x:f>IF(F668&lt;(('Assumptions'!$C$51-'Assumptions'!$B$51)/('Assumptions'!$D$51-'Assumptions'!$B$51)),'Assumptions'!$B$51+SQRT(F668*('Assumptions'!$D$51-'Assumptions'!$B$51)*('Assumptions'!$C$51-'Assumptions'!$B$51)),'Assumptions'!$D$51-SQRT((1-F668)*('Assumptions'!$D$51-'Assumptions'!$B$51)*('Assumptions'!$D$51-'Assumptions'!$C$51)))</x:f>
        <x:v>0.07579109885240812</x:v>
      </x:c>
      <x:c r="L668" s="133" t="n">
        <x:f>(('Assumptions'!$B$17*(1+G668)+'Assumptions'!$B$18)*(1-H668-'Assumptions'!$B$20)-SUM('Assumptions'!$B$21:$B$25)*(1+I668))-(('Assumptions'!$B$17*(1+G668)+'Assumptions'!$B$18)*(1-H668-'Assumptions'!$B$20)*'Assumptions'!$B$26)</x:f>
        <x:v>212904.82202872675</x:v>
      </x:c>
      <x:c r="M668" s="133" t="n">
        <x:f>'Assumptions'!$B$10*'Assumptions'!$B$33</x:f>
        <x:v>1950000</x:v>
      </x:c>
      <x:c r="N668" s="133" t="n">
        <x:f>-PMT(K668/12,'Assumptions'!$B$35*12,M668)*12</x:f>
        <x:v>164885.65120957146</x:v>
      </x:c>
      <x:c r="O668" s="133" t="n">
        <x:f>(L668*(1+'Assumptions'!$B$29)^('Assumptions'!$B$14/12)/J668)*(1-'Assumptions'!$B$42)-'Debt Schedule'!$F$9</x:f>
        <x:v>3248617.1572810463</x:v>
      </x:c>
      <x:c r="P668" s="132" t="n">
        <x:f>((O668+(L668-N668-'Assumptions'!$B$27-'Assumptions'!$B$28)*('Assumptions'!$B$14/12))/ABS('Monthly Cash Flow'!$S$5))^(1/('Assumptions'!$B$14/12))-1</x:f>
        <x:v>0.20499372229671087</x:v>
      </x:c>
      <x:c r="Q668" s="133" t="n">
        <x:f>-ABS('Monthly Cash Flow'!$S$5)+((L668-N668-'Assumptions'!$B$27-'Assumptions'!$B$28)*(1-(1+'Assumptions'!$B$43)^-('Assumptions'!$B$14/12))/'Assumptions'!$B$43)+(O668/(1+'Assumptions'!$B$43)^('Assumptions'!$B$14/12))</x:f>
        <x:v>753034.6300544983</x:v>
      </x:c>
    </x:row>
    <x:row r="669">
      <x:c r="A669" s="131" t="n">
        <x:f>662</x:f>
        <x:v>662</x:v>
      </x:c>
      <x:c r="B669" s="131" t="n">
        <x:f>MOD(ABS(SIN((A669+1)*12.9898+78.233)*43758.5453),1)</x:f>
        <x:v>0.31035876337773516</x:v>
      </x:c>
      <x:c r="C669" s="131" t="n">
        <x:f>MOD(ABS(SIN((A669+2)*12.9898+78.233)*43758.5453),1)</x:f>
        <x:v>0.12948899795446778</x:v>
      </x:c>
      <x:c r="D669" s="131" t="n">
        <x:f>MOD(ABS(SIN((A669+3)*12.9898+78.233)*43758.5453),1)</x:f>
        <x:v>0.7380630868428852</x:v>
      </x:c>
      <x:c r="E669" s="131" t="n">
        <x:f>MOD(ABS(SIN((A669+4)*12.9898+78.233)*43758.5453),1)</x:f>
        <x:v>0.8237841862937785</x:v>
      </x:c>
      <x:c r="F669" s="131" t="n">
        <x:f>MOD(ABS(SIN((A669+5)*12.9898+78.233)*43758.5453),1)</x:f>
        <x:v>0.27160969573742477</x:v>
      </x:c>
      <x:c r="G669" s="132" t="n">
        <x:f>IF(B669&lt;(('Assumptions'!$C$47-'Assumptions'!$B$47)/('Assumptions'!$D$47-'Assumptions'!$B$47)),'Assumptions'!$B$47+SQRT(B669*('Assumptions'!$D$47-'Assumptions'!$B$47)*('Assumptions'!$C$47-'Assumptions'!$B$47)),'Assumptions'!$D$47-SQRT((1-B669)*('Assumptions'!$D$47-'Assumptions'!$B$47)*('Assumptions'!$D$47-'Assumptions'!$C$47)))</x:f>
        <x:v>-0.013694668061204673</x:v>
      </x:c>
      <x:c r="H669" s="132" t="n">
        <x:f>IF(C669&lt;(('Assumptions'!$C$48-'Assumptions'!$B$48)/('Assumptions'!$D$48-'Assumptions'!$B$48)),'Assumptions'!$B$48+SQRT(C669*('Assumptions'!$D$48-'Assumptions'!$B$48)*('Assumptions'!$C$48-'Assumptions'!$B$48)),'Assumptions'!$D$48-SQRT((1-C669)*('Assumptions'!$D$48-'Assumptions'!$B$48)*('Assumptions'!$D$48-'Assumptions'!$C$48)))</x:f>
        <x:v>0.05067156726641073</x:v>
      </x:c>
      <x:c r="I669" s="132" t="n">
        <x:f>IF(D669&lt;(('Assumptions'!$C$49-'Assumptions'!$B$49)/('Assumptions'!$D$49-'Assumptions'!$B$49)),'Assumptions'!$B$49+SQRT(D669*('Assumptions'!$D$49-'Assumptions'!$B$49)*('Assumptions'!$C$49-'Assumptions'!$B$49)),'Assumptions'!$D$49-SQRT((1-D669)*('Assumptions'!$D$49-'Assumptions'!$B$49)*('Assumptions'!$D$49-'Assumptions'!$C$49)))</x:f>
        <x:v>0.07478140306949566</x:v>
      </x:c>
      <x:c r="J669" s="132" t="n">
        <x:f>IF(E669&lt;(('Assumptions'!$C$50-'Assumptions'!$B$50)/('Assumptions'!$D$50-'Assumptions'!$B$50)),'Assumptions'!$B$50+SQRT(E669*('Assumptions'!$D$50-'Assumptions'!$B$50)*('Assumptions'!$C$50-'Assumptions'!$B$50)),'Assumptions'!$D$50-SQRT((1-E669)*('Assumptions'!$D$50-'Assumptions'!$B$50)*('Assumptions'!$D$50-'Assumptions'!$C$50)))</x:f>
        <x:v>0.0729600640908546</x:v>
      </x:c>
      <x:c r="K669" s="132" t="n">
        <x:f>IF(F669&lt;(('Assumptions'!$C$51-'Assumptions'!$B$51)/('Assumptions'!$D$51-'Assumptions'!$B$51)),'Assumptions'!$B$51+SQRT(F669*('Assumptions'!$D$51-'Assumptions'!$B$51)*('Assumptions'!$C$51-'Assumptions'!$B$51)),'Assumptions'!$D$51-SQRT((1-F669)*('Assumptions'!$D$51-'Assumptions'!$B$51)*('Assumptions'!$D$51-'Assumptions'!$C$51)))</x:f>
        <x:v>0.06614249190498851</x:v>
      </x:c>
      <x:c r="L669" s="133" t="n">
        <x:f>(('Assumptions'!$B$17*(1+G669)+'Assumptions'!$B$18)*(1-H669-'Assumptions'!$B$20)-SUM('Assumptions'!$B$21:$B$25)*(1+I669))-(('Assumptions'!$B$17*(1+G669)+'Assumptions'!$B$18)*(1-H669-'Assumptions'!$B$20)*'Assumptions'!$B$26)</x:f>
        <x:v>200995.3186840317</x:v>
      </x:c>
      <x:c r="M669" s="133" t="n">
        <x:f>'Assumptions'!$B$10*'Assumptions'!$B$33</x:f>
        <x:v>1950000</x:v>
      </x:c>
      <x:c r="N669" s="133" t="n">
        <x:f>-PMT(K669/12,'Assumptions'!$B$35*12,M669)*12</x:f>
        <x:v>149666.46297326803</x:v>
      </x:c>
      <x:c r="O669" s="133" t="n">
        <x:f>(L669*(1+'Assumptions'!$B$29)^('Assumptions'!$B$14/12)/J669)*(1-'Assumptions'!$B$42)-'Debt Schedule'!$F$9</x:f>
        <x:v>3002027.8218636485</x:v>
      </x:c>
      <x:c r="P669" s="132" t="n">
        <x:f>((O669+(L669-N669-'Assumptions'!$B$27-'Assumptions'!$B$28)*('Assumptions'!$B$14/12))/ABS('Monthly Cash Flow'!$S$5))^(1/('Assumptions'!$B$14/12))-1</x:f>
        <x:v>0.18764371111601275</x:v>
      </x:c>
      <x:c r="Q669" s="133" t="n">
        <x:f>-ABS('Monthly Cash Flow'!$S$5)+((L669-N669-'Assumptions'!$B$27-'Assumptions'!$B$28)*(1-(1+'Assumptions'!$B$43)^-('Assumptions'!$B$14/12))/'Assumptions'!$B$43)+(O669/(1+'Assumptions'!$B$43)^('Assumptions'!$B$14/12))</x:f>
        <x:v>612468.3633528701</x:v>
      </x:c>
    </x:row>
    <x:row r="670">
      <x:c r="A670" s="131" t="n">
        <x:f>663</x:f>
        <x:v>663</x:v>
      </x:c>
      <x:c r="B670" s="131" t="n">
        <x:f>MOD(ABS(SIN((A670+1)*12.9898+78.233)*43758.5453),1)</x:f>
        <x:v>0.12948899795446778</x:v>
      </x:c>
      <x:c r="C670" s="131" t="n">
        <x:f>MOD(ABS(SIN((A670+2)*12.9898+78.233)*43758.5453),1)</x:f>
        <x:v>0.7380630868428852</x:v>
      </x:c>
      <x:c r="D670" s="131" t="n">
        <x:f>MOD(ABS(SIN((A670+3)*12.9898+78.233)*43758.5453),1)</x:f>
        <x:v>0.8237841862937785</x:v>
      </x:c>
      <x:c r="E670" s="131" t="n">
        <x:f>MOD(ABS(SIN((A670+4)*12.9898+78.233)*43758.5453),1)</x:f>
        <x:v>0.27160969573742477</x:v>
      </x:c>
      <x:c r="F670" s="131" t="n">
        <x:f>MOD(ABS(SIN((A670+5)*12.9898+78.233)*43758.5453),1)</x:f>
        <x:v>0.554483352932948</x:v>
      </x:c>
      <x:c r="G670" s="132" t="n">
        <x:f>IF(B670&lt;(('Assumptions'!$C$47-'Assumptions'!$B$47)/('Assumptions'!$D$47-'Assumptions'!$B$47)),'Assumptions'!$B$47+SQRT(B670*('Assumptions'!$D$47-'Assumptions'!$B$47)*('Assumptions'!$C$47-'Assumptions'!$B$47)),'Assumptions'!$D$47-SQRT((1-B670)*('Assumptions'!$D$47-'Assumptions'!$B$47)*('Assumptions'!$D$47-'Assumptions'!$C$47)))</x:f>
        <x:v>-0.04425292876834491</x:v>
      </x:c>
      <x:c r="H670" s="132" t="n">
        <x:f>IF(C670&lt;(('Assumptions'!$C$48-'Assumptions'!$B$48)/('Assumptions'!$D$48-'Assumptions'!$B$48)),'Assumptions'!$B$48+SQRT(C670*('Assumptions'!$D$48-'Assumptions'!$B$48)*('Assumptions'!$C$48-'Assumptions'!$B$48)),'Assumptions'!$D$48-SQRT((1-C670)*('Assumptions'!$D$48-'Assumptions'!$B$48)*('Assumptions'!$D$48-'Assumptions'!$C$48)))</x:f>
        <x:v>0.09198911752755831</x:v>
      </x:c>
      <x:c r="I670" s="132" t="n">
        <x:f>IF(D670&lt;(('Assumptions'!$C$49-'Assumptions'!$B$49)/('Assumptions'!$D$49-'Assumptions'!$B$49)),'Assumptions'!$B$49+SQRT(D670*('Assumptions'!$D$49-'Assumptions'!$B$49)*('Assumptions'!$C$49-'Assumptions'!$B$49)),'Assumptions'!$D$49-SQRT((1-D670)*('Assumptions'!$D$49-'Assumptions'!$B$49)*('Assumptions'!$D$49-'Assumptions'!$C$49)))</x:f>
        <x:v>0.08830509278672682</x:v>
      </x:c>
      <x:c r="J670" s="132" t="n">
        <x:f>IF(E670&lt;(('Assumptions'!$C$50-'Assumptions'!$B$50)/('Assumptions'!$D$50-'Assumptions'!$B$50)),'Assumptions'!$B$50+SQRT(E670*('Assumptions'!$D$50-'Assumptions'!$B$50)*('Assumptions'!$C$50-'Assumptions'!$B$50)),'Assumptions'!$D$50-SQRT((1-E670)*('Assumptions'!$D$50-'Assumptions'!$B$50)*('Assumptions'!$D$50-'Assumptions'!$C$50)))</x:f>
        <x:v>0.06531742806432657</x:v>
      </x:c>
      <x:c r="K670" s="132" t="n">
        <x:f>IF(F670&lt;(('Assumptions'!$C$51-'Assumptions'!$B$51)/('Assumptions'!$D$51-'Assumptions'!$B$51)),'Assumptions'!$B$51+SQRT(F670*('Assumptions'!$D$51-'Assumptions'!$B$51)*('Assumptions'!$C$51-'Assumptions'!$B$51)),'Assumptions'!$D$51-SQRT((1-F670)*('Assumptions'!$D$51-'Assumptions'!$B$51)*('Assumptions'!$D$51-'Assumptions'!$C$51)))</x:f>
        <x:v>0.07035742896889284</x:v>
      </x:c>
      <x:c r="L670" s="133" t="n">
        <x:f>(('Assumptions'!$B$17*(1+G670)+'Assumptions'!$B$18)*(1-H670-'Assumptions'!$B$20)-SUM('Assumptions'!$B$21:$B$25)*(1+I670))-(('Assumptions'!$B$17*(1+G670)+'Assumptions'!$B$18)*(1-H670-'Assumptions'!$B$20)*'Assumptions'!$B$26)</x:f>
        <x:v>175009.73756624112</x:v>
      </x:c>
      <x:c r="M670" s="133" t="n">
        <x:f>'Assumptions'!$B$10*'Assumptions'!$B$33</x:f>
        <x:v>1950000</x:v>
      </x:c>
      <x:c r="N670" s="133" t="n">
        <x:f>-PMT(K670/12,'Assumptions'!$B$35*12,M670)*12</x:f>
        <x:v>156242.90093848624</x:v>
      </x:c>
      <x:c r="O670" s="133" t="n">
        <x:f>(L670*(1+'Assumptions'!$B$29)^('Assumptions'!$B$14/12)/J670)*(1-'Assumptions'!$B$42)-'Debt Schedule'!$F$9</x:f>
        <x:v>2919759.7344484623</x:v>
      </x:c>
      <x:c r="P670" s="132" t="n">
        <x:f>((O670+(L670-N670-'Assumptions'!$B$27-'Assumptions'!$B$28)*('Assumptions'!$B$14/12))/ABS('Monthly Cash Flow'!$S$5))^(1/('Assumptions'!$B$14/12))-1</x:f>
        <x:v>0.1679704962594324</x:v>
      </x:c>
      <x:c r="Q670" s="133" t="n">
        <x:f>-ABS('Monthly Cash Flow'!$S$5)+((L670-N670-'Assumptions'!$B$27-'Assumptions'!$B$28)*(1-(1+'Assumptions'!$B$43)^-('Assumptions'!$B$14/12))/'Assumptions'!$B$43)+(O670/(1+'Assumptions'!$B$43)^('Assumptions'!$B$14/12))</x:f>
        <x:v>437950.68254439114</x:v>
      </x:c>
    </x:row>
    <x:row r="671">
      <x:c r="A671" s="131" t="n">
        <x:f>664</x:f>
        <x:v>664</x:v>
      </x:c>
      <x:c r="B671" s="131" t="n">
        <x:f>MOD(ABS(SIN((A671+1)*12.9898+78.233)*43758.5453),1)</x:f>
        <x:v>0.7380630868428852</x:v>
      </x:c>
      <x:c r="C671" s="131" t="n">
        <x:f>MOD(ABS(SIN((A671+2)*12.9898+78.233)*43758.5453),1)</x:f>
        <x:v>0.8237841862937785</x:v>
      </x:c>
      <x:c r="D671" s="131" t="n">
        <x:f>MOD(ABS(SIN((A671+3)*12.9898+78.233)*43758.5453),1)</x:f>
        <x:v>0.27160969573742477</x:v>
      </x:c>
      <x:c r="E671" s="131" t="n">
        <x:f>MOD(ABS(SIN((A671+4)*12.9898+78.233)*43758.5453),1)</x:f>
        <x:v>0.554483352932948</x:v>
      </x:c>
      <x:c r="F671" s="131" t="n">
        <x:f>MOD(ABS(SIN((A671+5)*12.9898+78.233)*43758.5453),1)</x:f>
        <x:v>0.5793326266721124</x:v>
      </x:c>
      <x:c r="G671" s="132" t="n">
        <x:f>IF(B671&lt;(('Assumptions'!$C$47-'Assumptions'!$B$47)/('Assumptions'!$D$47-'Assumptions'!$B$47)),'Assumptions'!$B$47+SQRT(B671*('Assumptions'!$D$47-'Assumptions'!$B$47)*('Assumptions'!$C$47-'Assumptions'!$B$47)),'Assumptions'!$D$47-SQRT((1-B671)*('Assumptions'!$D$47-'Assumptions'!$B$47)*('Assumptions'!$D$47-'Assumptions'!$C$47)))</x:f>
        <x:v>0.03526213928068185</x:v>
      </x:c>
      <x:c r="H671" s="132" t="n">
        <x:f>IF(C671&lt;(('Assumptions'!$C$48-'Assumptions'!$B$48)/('Assumptions'!$D$48-'Assumptions'!$B$48)),'Assumptions'!$B$48+SQRT(C671*('Assumptions'!$D$48-'Assumptions'!$B$48)*('Assumptions'!$C$48-'Assumptions'!$B$48)),'Assumptions'!$D$48-SQRT((1-C671)*('Assumptions'!$D$48-'Assumptions'!$B$48)*('Assumptions'!$D$48-'Assumptions'!$C$48)))</x:f>
        <x:v>0.10062108228233349</x:v>
      </x:c>
      <x:c r="I671" s="132" t="n">
        <x:f>IF(D671&lt;(('Assumptions'!$C$49-'Assumptions'!$B$49)/('Assumptions'!$D$49-'Assumptions'!$B$49)),'Assumptions'!$B$49+SQRT(D671*('Assumptions'!$D$49-'Assumptions'!$B$49)*('Assumptions'!$C$49-'Assumptions'!$B$49)),'Assumptions'!$D$49-SQRT((1-D671)*('Assumptions'!$D$49-'Assumptions'!$B$49)*('Assumptions'!$D$49-'Assumptions'!$C$49)))</x:f>
        <x:v>0.024160730367713726</x:v>
      </x:c>
      <x:c r="J671" s="132" t="n">
        <x:f>IF(E671&lt;(('Assumptions'!$C$50-'Assumptions'!$B$50)/('Assumptions'!$D$50-'Assumptions'!$B$50)),'Assumptions'!$B$50+SQRT(E671*('Assumptions'!$D$50-'Assumptions'!$B$50)*('Assumptions'!$C$50-'Assumptions'!$B$50)),'Assumptions'!$D$50-SQRT((1-E671)*('Assumptions'!$D$50-'Assumptions'!$B$50)*('Assumptions'!$D$50-'Assumptions'!$C$50)))</x:f>
        <x:v>0.06880618219785545</x:v>
      </x:c>
      <x:c r="K671" s="132" t="n">
        <x:f>IF(F671&lt;(('Assumptions'!$C$51-'Assumptions'!$B$51)/('Assumptions'!$D$51-'Assumptions'!$B$51)),'Assumptions'!$B$51+SQRT(F671*('Assumptions'!$D$51-'Assumptions'!$B$51)*('Assumptions'!$C$51-'Assumptions'!$B$51)),'Assumptions'!$D$51-SQRT((1-F671)*('Assumptions'!$D$51-'Assumptions'!$B$51)*('Assumptions'!$D$51-'Assumptions'!$C$51)))</x:f>
        <x:v>0.07077164192838661</x:v>
      </x:c>
      <x:c r="L671" s="133" t="n">
        <x:f>(('Assumptions'!$B$17*(1+G671)+'Assumptions'!$B$18)*(1-H671-'Assumptions'!$B$20)-SUM('Assumptions'!$B$21:$B$25)*(1+I671))-(('Assumptions'!$B$17*(1+G671)+'Assumptions'!$B$18)*(1-H671-'Assumptions'!$B$20)*'Assumptions'!$B$26)</x:f>
        <x:v>204532.0706051193</x:v>
      </x:c>
      <x:c r="M671" s="133" t="n">
        <x:f>'Assumptions'!$B$10*'Assumptions'!$B$33</x:f>
        <x:v>1950000</x:v>
      </x:c>
      <x:c r="N671" s="133" t="n">
        <x:f>-PMT(K671/12,'Assumptions'!$B$35*12,M671)*12</x:f>
        <x:v>156895.32941225072</x:v>
      </x:c>
      <x:c r="O671" s="133" t="n">
        <x:f>(L671*(1+'Assumptions'!$B$29)^('Assumptions'!$B$14/12)/J671)*(1-'Assumptions'!$B$42)-'Debt Schedule'!$F$9</x:f>
        <x:v>3239275.8337554443</x:v>
      </x:c>
      <x:c r="P671" s="132" t="n">
        <x:f>((O671+(L671-N671-'Assumptions'!$B$27-'Assumptions'!$B$28)*('Assumptions'!$B$14/12))/ABS('Monthly Cash Flow'!$S$5))^(1/('Assumptions'!$B$14/12))-1</x:f>
        <x:v>0.20416793047814963</x:v>
      </x:c>
      <x:c r="Q671" s="133" t="n">
        <x:f>-ABS('Monthly Cash Flow'!$S$5)+((L671-N671-'Assumptions'!$B$27-'Assumptions'!$B$28)*(1-(1+'Assumptions'!$B$43)^-('Assumptions'!$B$14/12))/'Assumptions'!$B$43)+(O671/(1+'Assumptions'!$B$43)^('Assumptions'!$B$14/12))</x:f>
        <x:v>745784.6939243006</x:v>
      </x:c>
    </x:row>
    <x:row r="672">
      <x:c r="A672" s="131" t="n">
        <x:f>665</x:f>
        <x:v>665</x:v>
      </x:c>
      <x:c r="B672" s="131" t="n">
        <x:f>MOD(ABS(SIN((A672+1)*12.9898+78.233)*43758.5453),1)</x:f>
        <x:v>0.8237841862937785</x:v>
      </x:c>
      <x:c r="C672" s="131" t="n">
        <x:f>MOD(ABS(SIN((A672+2)*12.9898+78.233)*43758.5453),1)</x:f>
        <x:v>0.27160969573742477</x:v>
      </x:c>
      <x:c r="D672" s="131" t="n">
        <x:f>MOD(ABS(SIN((A672+3)*12.9898+78.233)*43758.5453),1)</x:f>
        <x:v>0.554483352932948</x:v>
      </x:c>
      <x:c r="E672" s="131" t="n">
        <x:f>MOD(ABS(SIN((A672+4)*12.9898+78.233)*43758.5453),1)</x:f>
        <x:v>0.5793326266721124</x:v>
      </x:c>
      <x:c r="F672" s="131" t="n">
        <x:f>MOD(ABS(SIN((A672+5)*12.9898+78.233)*43758.5453),1)</x:f>
        <x:v>0.06470650891424157</x:v>
      </x:c>
      <x:c r="G672" s="132" t="n">
        <x:f>IF(B672&lt;(('Assumptions'!$C$47-'Assumptions'!$B$47)/('Assumptions'!$D$47-'Assumptions'!$B$47)),'Assumptions'!$B$47+SQRT(B672*('Assumptions'!$D$47-'Assumptions'!$B$47)*('Assumptions'!$C$47-'Assumptions'!$B$47)),'Assumptions'!$D$47-SQRT((1-B672)*('Assumptions'!$D$47-'Assumptions'!$B$47)*('Assumptions'!$D$47-'Assumptions'!$C$47)))</x:f>
        <x:v>0.04690147818159583</x:v>
      </x:c>
      <x:c r="H672" s="132" t="n">
        <x:f>IF(C672&lt;(('Assumptions'!$C$48-'Assumptions'!$B$48)/('Assumptions'!$D$48-'Assumptions'!$B$48)),'Assumptions'!$B$48+SQRT(C672*('Assumptions'!$D$48-'Assumptions'!$B$48)*('Assumptions'!$C$48-'Assumptions'!$B$48)),'Assumptions'!$D$48-SQRT((1-C672)*('Assumptions'!$D$48-'Assumptions'!$B$48)*('Assumptions'!$D$48-'Assumptions'!$C$48)))</x:f>
        <x:v>0.059938470166885645</x:v>
      </x:c>
      <x:c r="I672" s="132" t="n">
        <x:f>IF(D672&lt;(('Assumptions'!$C$49-'Assumptions'!$B$49)/('Assumptions'!$D$49-'Assumptions'!$B$49)),'Assumptions'!$B$49+SQRT(D672*('Assumptions'!$D$49-'Assumptions'!$B$49)*('Assumptions'!$C$49-'Assumptions'!$B$49)),'Assumptions'!$D$49-SQRT((1-D672)*('Assumptions'!$D$49-'Assumptions'!$B$49)*('Assumptions'!$D$49-'Assumptions'!$C$49)))</x:f>
        <x:v>0.05190229576260043</x:v>
      </x:c>
      <x:c r="J672" s="132" t="n">
        <x:f>IF(E672&lt;(('Assumptions'!$C$50-'Assumptions'!$B$50)/('Assumptions'!$D$50-'Assumptions'!$B$50)),'Assumptions'!$B$50+SQRT(E672*('Assumptions'!$D$50-'Assumptions'!$B$50)*('Assumptions'!$C$50-'Assumptions'!$B$50)),'Assumptions'!$D$50-SQRT((1-E672)*('Assumptions'!$D$50-'Assumptions'!$B$50)*('Assumptions'!$D$50-'Assumptions'!$C$50)))</x:f>
        <x:v>0.06912283590505006</x:v>
      </x:c>
      <x:c r="K672" s="132" t="n">
        <x:f>IF(F672&lt;(('Assumptions'!$C$51-'Assumptions'!$B$51)/('Assumptions'!$D$51-'Assumptions'!$B$51)),'Assumptions'!$B$51+SQRT(F672*('Assumptions'!$D$51-'Assumptions'!$B$51)*('Assumptions'!$C$51-'Assumptions'!$B$51)),'Assumptions'!$D$51-SQRT((1-F672)*('Assumptions'!$D$51-'Assumptions'!$B$51)*('Assumptions'!$D$51-'Assumptions'!$C$51)))</x:f>
        <x:v>0.061718327862010786</x:v>
      </x:c>
      <x:c r="L672" s="133" t="n">
        <x:f>(('Assumptions'!$B$17*(1+G672)+'Assumptions'!$B$18)*(1-H672-'Assumptions'!$B$20)-SUM('Assumptions'!$B$21:$B$25)*(1+I672))-(('Assumptions'!$B$17*(1+G672)+'Assumptions'!$B$18)*(1-H672-'Assumptions'!$B$20)*'Assumptions'!$B$26)</x:f>
        <x:v>220036.54632549052</x:v>
      </x:c>
      <x:c r="M672" s="133" t="n">
        <x:f>'Assumptions'!$B$10*'Assumptions'!$B$33</x:f>
        <x:v>1950000</x:v>
      </x:c>
      <x:c r="N672" s="133" t="n">
        <x:f>-PMT(K672/12,'Assumptions'!$B$35*12,M672)*12</x:f>
        <x:v>142890.31409186873</x:v>
      </x:c>
      <x:c r="O672" s="133" t="n">
        <x:f>(L672*(1+'Assumptions'!$B$29)^('Assumptions'!$B$14/12)/J672)*(1-'Assumptions'!$B$42)-'Debt Schedule'!$F$9</x:f>
        <x:v>3468863.807465906</x:v>
      </x:c>
      <x:c r="P672" s="132" t="n">
        <x:f>((O672+(L672-N672-'Assumptions'!$B$27-'Assumptions'!$B$28)*('Assumptions'!$B$14/12))/ABS('Monthly Cash Flow'!$S$5))^(1/('Assumptions'!$B$14/12))-1</x:f>
        <x:v>0.23068650795312706</x:v>
      </x:c>
      <x:c r="Q672" s="133" t="n">
        <x:f>-ABS('Monthly Cash Flow'!$S$5)+((L672-N672-'Assumptions'!$B$27-'Assumptions'!$B$28)*(1-(1+'Assumptions'!$B$43)^-('Assumptions'!$B$14/12))/'Assumptions'!$B$43)+(O672/(1+'Assumptions'!$B$43)^('Assumptions'!$B$14/12))</x:f>
        <x:v>1000204.9505283353</x:v>
      </x:c>
    </x:row>
    <x:row r="673">
      <x:c r="A673" s="131" t="n">
        <x:f>666</x:f>
        <x:v>666</x:v>
      </x:c>
      <x:c r="B673" s="131" t="n">
        <x:f>MOD(ABS(SIN((A673+1)*12.9898+78.233)*43758.5453),1)</x:f>
        <x:v>0.27160969573742477</x:v>
      </x:c>
      <x:c r="C673" s="131" t="n">
        <x:f>MOD(ABS(SIN((A673+2)*12.9898+78.233)*43758.5453),1)</x:f>
        <x:v>0.554483352932948</x:v>
      </x:c>
      <x:c r="D673" s="131" t="n">
        <x:f>MOD(ABS(SIN((A673+3)*12.9898+78.233)*43758.5453),1)</x:f>
        <x:v>0.5793326266721124</x:v>
      </x:c>
      <x:c r="E673" s="131" t="n">
        <x:f>MOD(ABS(SIN((A673+4)*12.9898+78.233)*43758.5453),1)</x:f>
        <x:v>0.06470650891424157</x:v>
      </x:c>
      <x:c r="F673" s="131" t="n">
        <x:f>MOD(ABS(SIN((A673+5)*12.9898+78.233)*43758.5453),1)</x:f>
        <x:v>0.22404321745125344</x:v>
      </x:c>
      <x:c r="G673" s="132" t="n">
        <x:f>IF(B673&lt;(('Assumptions'!$C$47-'Assumptions'!$B$47)/('Assumptions'!$D$47-'Assumptions'!$B$47)),'Assumptions'!$B$47+SQRT(B673*('Assumptions'!$D$47-'Assumptions'!$B$47)*('Assumptions'!$C$47-'Assumptions'!$B$47)),'Assumptions'!$D$47-SQRT((1-B673)*('Assumptions'!$D$47-'Assumptions'!$B$47)*('Assumptions'!$D$47-'Assumptions'!$C$47)))</x:f>
        <x:v>-0.019261950124503296</x:v>
      </x:c>
      <x:c r="H673" s="132" t="n">
        <x:f>IF(C673&lt;(('Assumptions'!$C$48-'Assumptions'!$B$48)/('Assumptions'!$D$48-'Assumptions'!$B$48)),'Assumptions'!$B$48+SQRT(C673*('Assumptions'!$D$48-'Assumptions'!$B$48)*('Assumptions'!$C$48-'Assumptions'!$B$48)),'Assumptions'!$D$48-SQRT((1-C673)*('Assumptions'!$D$48-'Assumptions'!$B$48)*('Assumptions'!$D$48-'Assumptions'!$C$48)))</x:f>
        <x:v>0.07738573250296657</x:v>
      </x:c>
      <x:c r="I673" s="132" t="n">
        <x:f>IF(D673&lt;(('Assumptions'!$C$49-'Assumptions'!$B$49)/('Assumptions'!$D$49-'Assumptions'!$B$49)),'Assumptions'!$B$49+SQRT(D673*('Assumptions'!$D$49-'Assumptions'!$B$49)*('Assumptions'!$C$49-'Assumptions'!$B$49)),'Assumptions'!$D$49-SQRT((1-D673)*('Assumptions'!$D$49-'Assumptions'!$B$49)*('Assumptions'!$D$49-'Assumptions'!$C$49)))</x:f>
        <x:v>0.05467730981617035</x:v>
      </x:c>
      <x:c r="J673" s="132" t="n">
        <x:f>IF(E673&lt;(('Assumptions'!$C$50-'Assumptions'!$B$50)/('Assumptions'!$D$50-'Assumptions'!$B$50)),'Assumptions'!$B$50+SQRT(E673*('Assumptions'!$D$50-'Assumptions'!$B$50)*('Assumptions'!$C$50-'Assumptions'!$B$50)),'Assumptions'!$D$50-SQRT((1-E673)*('Assumptions'!$D$50-'Assumptions'!$B$50)*('Assumptions'!$D$50-'Assumptions'!$C$50)))</x:f>
        <x:v>0.06131562111663414</x:v>
      </x:c>
      <x:c r="K673" s="132" t="n">
        <x:f>IF(F673&lt;(('Assumptions'!$C$51-'Assumptions'!$B$51)/('Assumptions'!$D$51-'Assumptions'!$B$51)),'Assumptions'!$B$51+SQRT(F673*('Assumptions'!$D$51-'Assumptions'!$B$51)*('Assumptions'!$C$51-'Assumptions'!$B$51)),'Assumptions'!$D$51-SQRT((1-F673)*('Assumptions'!$D$51-'Assumptions'!$B$51)*('Assumptions'!$D$51-'Assumptions'!$C$51)))</x:f>
        <x:v>0.06534932384343357</x:v>
      </x:c>
      <x:c r="L673" s="133" t="n">
        <x:f>(('Assumptions'!$B$17*(1+G673)+'Assumptions'!$B$18)*(1-H673-'Assumptions'!$B$20)-SUM('Assumptions'!$B$21:$B$25)*(1+I673))-(('Assumptions'!$B$17*(1+G673)+'Assumptions'!$B$18)*(1-H673-'Assumptions'!$B$20)*'Assumptions'!$B$26)</x:f>
        <x:v>192204.91509049787</x:v>
      </x:c>
      <x:c r="M673" s="133" t="n">
        <x:f>'Assumptions'!$B$10*'Assumptions'!$B$33</x:f>
        <x:v>1950000</x:v>
      </x:c>
      <x:c r="N673" s="133" t="n">
        <x:f>-PMT(K673/12,'Assumptions'!$B$35*12,M673)*12</x:f>
        <x:v>148441.90181661438</x:v>
      </x:c>
      <x:c r="O673" s="133" t="n">
        <x:f>(L673*(1+'Assumptions'!$B$29)^('Assumptions'!$B$14/12)/J673)*(1-'Assumptions'!$B$42)-'Debt Schedule'!$F$9</x:f>
        <x:v>3415917.195358547</x:v>
      </x:c>
      <x:c r="P673" s="132" t="n">
        <x:f>((O673+(L673-N673-'Assumptions'!$B$27-'Assumptions'!$B$28)*('Assumptions'!$B$14/12))/ABS('Monthly Cash Flow'!$S$5))^(1/('Assumptions'!$B$14/12))-1</x:f>
        <x:v>0.21550896662411212</x:v>
      </x:c>
      <x:c r="Q673" s="133" t="n">
        <x:f>-ABS('Monthly Cash Flow'!$S$5)+((L673-N673-'Assumptions'!$B$27-'Assumptions'!$B$28)*(1-(1+'Assumptions'!$B$43)^-('Assumptions'!$B$14/12))/'Assumptions'!$B$43)+(O673/(1+'Assumptions'!$B$43)^('Assumptions'!$B$14/12))</x:f>
        <x:v>840780.6053342929</x:v>
      </x:c>
    </x:row>
    <x:row r="674">
      <x:c r="A674" s="131" t="n">
        <x:f>667</x:f>
        <x:v>667</x:v>
      </x:c>
      <x:c r="B674" s="131" t="n">
        <x:f>MOD(ABS(SIN((A674+1)*12.9898+78.233)*43758.5453),1)</x:f>
        <x:v>0.554483352932948</x:v>
      </x:c>
      <x:c r="C674" s="131" t="n">
        <x:f>MOD(ABS(SIN((A674+2)*12.9898+78.233)*43758.5453),1)</x:f>
        <x:v>0.5793326266721124</x:v>
      </x:c>
      <x:c r="D674" s="131" t="n">
        <x:f>MOD(ABS(SIN((A674+3)*12.9898+78.233)*43758.5453),1)</x:f>
        <x:v>0.06470650891424157</x:v>
      </x:c>
      <x:c r="E674" s="131" t="n">
        <x:f>MOD(ABS(SIN((A674+4)*12.9898+78.233)*43758.5453),1)</x:f>
        <x:v>0.22404321745125344</x:v>
      </x:c>
      <x:c r="F674" s="131" t="n">
        <x:f>MOD(ABS(SIN((A674+5)*12.9898+78.233)*43758.5453),1)</x:f>
        <x:v>0.8844755211757729</x:v>
      </x:c>
      <x:c r="G674" s="132" t="n">
        <x:f>IF(B674&lt;(('Assumptions'!$C$47-'Assumptions'!$B$47)/('Assumptions'!$D$47-'Assumptions'!$B$47)),'Assumptions'!$B$47+SQRT(B674*('Assumptions'!$D$47-'Assumptions'!$B$47)*('Assumptions'!$C$47-'Assumptions'!$B$47)),'Assumptions'!$D$47-SQRT((1-B674)*('Assumptions'!$D$47-'Assumptions'!$B$47)*('Assumptions'!$D$47-'Assumptions'!$C$47)))</x:f>
        <x:v>0.015358573458546007</x:v>
      </x:c>
      <x:c r="H674" s="132" t="n">
        <x:f>IF(C674&lt;(('Assumptions'!$C$48-'Assumptions'!$B$48)/('Assumptions'!$D$48-'Assumptions'!$B$48)),'Assumptions'!$B$48+SQRT(C674*('Assumptions'!$D$48-'Assumptions'!$B$48)*('Assumptions'!$C$48-'Assumptions'!$B$48)),'Assumptions'!$D$48-SQRT((1-C674)*('Assumptions'!$D$48-'Assumptions'!$B$48)*('Assumptions'!$D$48-'Assumptions'!$C$48)))</x:f>
        <x:v>0.079156981622495</x:v>
      </x:c>
      <x:c r="I674" s="132" t="n">
        <x:f>IF(D674&lt;(('Assumptions'!$C$49-'Assumptions'!$B$49)/('Assumptions'!$D$49-'Assumptions'!$B$49)),'Assumptions'!$B$49+SQRT(D674*('Assumptions'!$D$49-'Assumptions'!$B$49)*('Assumptions'!$C$49-'Assumptions'!$B$49)),'Assumptions'!$D$49-SQRT((1-D674)*('Assumptions'!$D$49-'Assumptions'!$B$49)*('Assumptions'!$D$49-'Assumptions'!$C$49)))</x:f>
        <x:v>-0.003564601454227913</x:v>
      </x:c>
      <x:c r="J674" s="132" t="n">
        <x:f>IF(E674&lt;(('Assumptions'!$C$50-'Assumptions'!$B$50)/('Assumptions'!$D$50-'Assumptions'!$B$50)),'Assumptions'!$B$50+SQRT(E674*('Assumptions'!$D$50-'Assumptions'!$B$50)*('Assumptions'!$C$50-'Assumptions'!$B$50)),'Assumptions'!$D$50-SQRT((1-E674)*('Assumptions'!$D$50-'Assumptions'!$B$50)*('Assumptions'!$D$50-'Assumptions'!$C$50)))</x:f>
        <x:v>0.06459998055817986</x:v>
      </x:c>
      <x:c r="K674" s="132" t="n">
        <x:f>IF(F674&lt;(('Assumptions'!$C$51-'Assumptions'!$B$51)/('Assumptions'!$D$51-'Assumptions'!$B$51)),'Assumptions'!$B$51+SQRT(F674*('Assumptions'!$D$51-'Assumptions'!$B$51)*('Assumptions'!$C$51-'Assumptions'!$B$51)),'Assumptions'!$D$51-SQRT((1-F674)*('Assumptions'!$D$51-'Assumptions'!$B$51)*('Assumptions'!$D$51-'Assumptions'!$C$51)))</x:f>
        <x:v>0.07754371704975199</x:v>
      </x:c>
      <x:c r="L674" s="133" t="n">
        <x:f>(('Assumptions'!$B$17*(1+G674)+'Assumptions'!$B$18)*(1-H674-'Assumptions'!$B$20)-SUM('Assumptions'!$B$21:$B$25)*(1+I674))-(('Assumptions'!$B$17*(1+G674)+'Assumptions'!$B$18)*(1-H674-'Assumptions'!$B$20)*'Assumptions'!$B$26)</x:f>
        <x:v>209810.5388871053</x:v>
      </x:c>
      <x:c r="M674" s="133" t="n">
        <x:f>'Assumptions'!$B$10*'Assumptions'!$B$33</x:f>
        <x:v>1950000</x:v>
      </x:c>
      <x:c r="N674" s="133" t="n">
        <x:f>-PMT(K674/12,'Assumptions'!$B$35*12,M674)*12</x:f>
        <x:v>167711.16231595317</x:v>
      </x:c>
      <x:c r="O674" s="133" t="n">
        <x:f>(L674*(1+'Assumptions'!$B$29)^('Assumptions'!$B$14/12)/J674)*(1-'Assumptions'!$B$42)-'Debt Schedule'!$F$9</x:f>
        <x:v>3539230.8353098836</x:v>
      </x:c>
      <x:c r="P674" s="132" t="n">
        <x:f>((O674+(L674-N674-'Assumptions'!$B$27-'Assumptions'!$B$28)*('Assumptions'!$B$14/12))/ABS('Monthly Cash Flow'!$S$5))^(1/('Assumptions'!$B$14/12))-1</x:f>
        <x:v>0.2235411988077649</x:v>
      </x:c>
      <x:c r="Q674" s="133" t="n">
        <x:f>-ABS('Monthly Cash Flow'!$S$5)+((L674-N674-'Assumptions'!$B$27-'Assumptions'!$B$28)*(1-(1+'Assumptions'!$B$43)^-('Assumptions'!$B$14/12))/'Assumptions'!$B$43)+(O674/(1+'Assumptions'!$B$43)^('Assumptions'!$B$14/12))</x:f>
        <x:v>911042.1818023007</x:v>
      </x:c>
    </x:row>
    <x:row r="675">
      <x:c r="A675" s="131" t="n">
        <x:f>668</x:f>
        <x:v>668</x:v>
      </x:c>
      <x:c r="B675" s="131" t="n">
        <x:f>MOD(ABS(SIN((A675+1)*12.9898+78.233)*43758.5453),1)</x:f>
        <x:v>0.5793326266721124</x:v>
      </x:c>
      <x:c r="C675" s="131" t="n">
        <x:f>MOD(ABS(SIN((A675+2)*12.9898+78.233)*43758.5453),1)</x:f>
        <x:v>0.06470650891424157</x:v>
      </x:c>
      <x:c r="D675" s="131" t="n">
        <x:f>MOD(ABS(SIN((A675+3)*12.9898+78.233)*43758.5453),1)</x:f>
        <x:v>0.22404321745125344</x:v>
      </x:c>
      <x:c r="E675" s="131" t="n">
        <x:f>MOD(ABS(SIN((A675+4)*12.9898+78.233)*43758.5453),1)</x:f>
        <x:v>0.8844755211757729</x:v>
      </x:c>
      <x:c r="F675" s="131" t="n">
        <x:f>MOD(ABS(SIN((A675+5)*12.9898+78.233)*43758.5453),1)</x:f>
        <x:v>0.03975358090974623</x:v>
      </x:c>
      <x:c r="G675" s="132" t="n">
        <x:f>IF(B675&lt;(('Assumptions'!$C$47-'Assumptions'!$B$47)/('Assumptions'!$D$47-'Assumptions'!$B$47)),'Assumptions'!$B$47+SQRT(B675*('Assumptions'!$D$47-'Assumptions'!$B$47)*('Assumptions'!$C$47-'Assumptions'!$B$47)),'Assumptions'!$D$47-SQRT((1-B675)*('Assumptions'!$D$47-'Assumptions'!$B$47)*('Assumptions'!$D$47-'Assumptions'!$C$47)))</x:f>
        <x:v>0.01791515186832733</x:v>
      </x:c>
      <x:c r="H675" s="132" t="n">
        <x:f>IF(C675&lt;(('Assumptions'!$C$48-'Assumptions'!$B$48)/('Assumptions'!$D$48-'Assumptions'!$B$48)),'Assumptions'!$B$48+SQRT(C675*('Assumptions'!$D$48-'Assumptions'!$B$48)*('Assumptions'!$C$48-'Assumptions'!$B$48)),'Assumptions'!$D$48-SQRT((1-C675)*('Assumptions'!$D$48-'Assumptions'!$B$48)*('Assumptions'!$D$48-'Assumptions'!$C$48)))</x:f>
        <x:v>0.04461271635997213</x:v>
      </x:c>
      <x:c r="I675" s="132" t="n">
        <x:f>IF(D675&lt;(('Assumptions'!$C$49-'Assumptions'!$B$49)/('Assumptions'!$D$49-'Assumptions'!$B$49)),'Assumptions'!$B$49+SQRT(D675*('Assumptions'!$D$49-'Assumptions'!$B$49)*('Assumptions'!$C$49-'Assumptions'!$B$49)),'Assumptions'!$D$49-SQRT((1-D675)*('Assumptions'!$D$49-'Assumptions'!$B$49)*('Assumptions'!$D$49-'Assumptions'!$C$49)))</x:f>
        <x:v>0.01919010823807503</x:v>
      </x:c>
      <x:c r="J675" s="132" t="n">
        <x:f>IF(E675&lt;(('Assumptions'!$C$50-'Assumptions'!$B$50)/('Assumptions'!$D$50-'Assumptions'!$B$50)),'Assumptions'!$B$50+SQRT(E675*('Assumptions'!$D$50-'Assumptions'!$B$50)*('Assumptions'!$C$50-'Assumptions'!$B$50)),'Assumptions'!$D$50-SQRT((1-E675)*('Assumptions'!$D$50-'Assumptions'!$B$50)*('Assumptions'!$D$50-'Assumptions'!$C$50)))</x:f>
        <x:v>0.07429988950376278</x:v>
      </x:c>
      <x:c r="K675" s="132" t="n">
        <x:f>IF(F675&lt;(('Assumptions'!$C$51-'Assumptions'!$B$51)/('Assumptions'!$D$51-'Assumptions'!$B$51)),'Assumptions'!$B$51+SQRT(F675*('Assumptions'!$D$51-'Assumptions'!$B$51)*('Assumptions'!$C$51-'Assumptions'!$B$51)),'Assumptions'!$D$51-SQRT((1-F675)*('Assumptions'!$D$51-'Assumptions'!$B$51)*('Assumptions'!$D$51-'Assumptions'!$C$51)))</x:f>
        <x:v>0.06080639301205713</x:v>
      </x:c>
      <x:c r="L675" s="133" t="n">
        <x:f>(('Assumptions'!$B$17*(1+G675)+'Assumptions'!$B$18)*(1-H675-'Assumptions'!$B$20)-SUM('Assumptions'!$B$21:$B$25)*(1+I675))-(('Assumptions'!$B$17*(1+G675)+'Assumptions'!$B$18)*(1-H675-'Assumptions'!$B$20)*'Assumptions'!$B$26)</x:f>
        <x:v>220497.5269858272</x:v>
      </x:c>
      <x:c r="M675" s="133" t="n">
        <x:f>'Assumptions'!$B$10*'Assumptions'!$B$33</x:f>
        <x:v>1950000</x:v>
      </x:c>
      <x:c r="N675" s="133" t="n">
        <x:f>-PMT(K675/12,'Assumptions'!$B$35*12,M675)*12</x:f>
        <x:v>141510.27981861148</x:v>
      </x:c>
      <x:c r="O675" s="133" t="n">
        <x:f>(L675*(1+'Assumptions'!$B$29)^('Assumptions'!$B$14/12)/J675)*(1-'Assumptions'!$B$42)-'Debt Schedule'!$F$9</x:f>
        <x:v>3233921.935790356</x:v>
      </x:c>
      <x:c r="P675" s="132" t="n">
        <x:f>((O675+(L675-N675-'Assumptions'!$B$27-'Assumptions'!$B$28)*('Assumptions'!$B$14/12))/ABS('Monthly Cash Flow'!$S$5))^(1/('Assumptions'!$B$14/12))-1</x:f>
        <x:v>0.2150929284581482</x:v>
      </x:c>
      <x:c r="Q675" s="133" t="n">
        <x:f>-ABS('Monthly Cash Flow'!$S$5)+((L675-N675-'Assumptions'!$B$27-'Assumptions'!$B$28)*(1-(1+'Assumptions'!$B$43)^-('Assumptions'!$B$14/12))/'Assumptions'!$B$43)+(O675/(1+'Assumptions'!$B$43)^('Assumptions'!$B$14/12))</x:f>
        <x:v>861303.4277781097</x:v>
      </x:c>
    </x:row>
    <x:row r="676">
      <x:c r="A676" s="131" t="n">
        <x:f>669</x:f>
        <x:v>669</x:v>
      </x:c>
      <x:c r="B676" s="131" t="n">
        <x:f>MOD(ABS(SIN((A676+1)*12.9898+78.233)*43758.5453),1)</x:f>
        <x:v>0.06470650891424157</x:v>
      </x:c>
      <x:c r="C676" s="131" t="n">
        <x:f>MOD(ABS(SIN((A676+2)*12.9898+78.233)*43758.5453),1)</x:f>
        <x:v>0.22404321745125344</x:v>
      </x:c>
      <x:c r="D676" s="131" t="n">
        <x:f>MOD(ABS(SIN((A676+3)*12.9898+78.233)*43758.5453),1)</x:f>
        <x:v>0.8844755211757729</x:v>
      </x:c>
      <x:c r="E676" s="131" t="n">
        <x:f>MOD(ABS(SIN((A676+4)*12.9898+78.233)*43758.5453),1)</x:f>
        <x:v>0.03975358090974623</x:v>
      </x:c>
      <x:c r="F676" s="131" t="n">
        <x:f>MOD(ABS(SIN((A676+5)*12.9898+78.233)*43758.5453),1)</x:f>
        <x:v>0.8804588433122262</x:v>
      </x:c>
      <x:c r="G676" s="132" t="n">
        <x:f>IF(B676&lt;(('Assumptions'!$C$47-'Assumptions'!$B$47)/('Assumptions'!$D$47-'Assumptions'!$B$47)),'Assumptions'!$B$47+SQRT(B676*('Assumptions'!$D$47-'Assumptions'!$B$47)*('Assumptions'!$C$47-'Assumptions'!$B$47)),'Assumptions'!$D$47-SQRT((1-B676)*('Assumptions'!$D$47-'Assumptions'!$B$47)*('Assumptions'!$D$47-'Assumptions'!$C$47)))</x:f>
        <x:v>-0.06059243455956969</x:v>
      </x:c>
      <x:c r="H676" s="132" t="n">
        <x:f>IF(C676&lt;(('Assumptions'!$C$48-'Assumptions'!$B$48)/('Assumptions'!$D$48-'Assumptions'!$B$48)),'Assumptions'!$B$48+SQRT(C676*('Assumptions'!$D$48-'Assumptions'!$B$48)*('Assumptions'!$C$48-'Assumptions'!$B$48)),'Assumptions'!$D$48-SQRT((1-C676)*('Assumptions'!$D$48-'Assumptions'!$B$48)*('Assumptions'!$D$48-'Assumptions'!$C$48)))</x:f>
        <x:v>0.05719085540377751</x:v>
      </x:c>
      <x:c r="I676" s="132" t="n">
        <x:f>IF(D676&lt;(('Assumptions'!$C$49-'Assumptions'!$B$49)/('Assumptions'!$D$49-'Assumptions'!$B$49)),'Assumptions'!$B$49+SQRT(D676*('Assumptions'!$D$49-'Assumptions'!$B$49)*('Assumptions'!$C$49-'Assumptions'!$B$49)),'Assumptions'!$D$49-SQRT((1-D676)*('Assumptions'!$D$49-'Assumptions'!$B$49)*('Assumptions'!$D$49-'Assumptions'!$C$49)))</x:f>
        <x:v>0.10004673441502242</x:v>
      </x:c>
      <x:c r="J676" s="132" t="n">
        <x:f>IF(E676&lt;(('Assumptions'!$C$50-'Assumptions'!$B$50)/('Assumptions'!$D$50-'Assumptions'!$B$50)),'Assumptions'!$B$50+SQRT(E676*('Assumptions'!$D$50-'Assumptions'!$B$50)*('Assumptions'!$C$50-'Assumptions'!$B$50)),'Assumptions'!$D$50-SQRT((1-E676)*('Assumptions'!$D$50-'Assumptions'!$B$50)*('Assumptions'!$D$50-'Assumptions'!$C$50)))</x:f>
        <x:v>0.060490745008303606</x:v>
      </x:c>
      <x:c r="K676" s="132" t="n">
        <x:f>IF(F676&lt;(('Assumptions'!$C$51-'Assumptions'!$B$51)/('Assumptions'!$D$51-'Assumptions'!$B$51)),'Assumptions'!$B$51+SQRT(F676*('Assumptions'!$D$51-'Assumptions'!$B$51)*('Assumptions'!$C$51-'Assumptions'!$B$51)),'Assumptions'!$D$51-SQRT((1-F676)*('Assumptions'!$D$51-'Assumptions'!$B$51)*('Assumptions'!$D$51-'Assumptions'!$C$51)))</x:f>
        <x:v>0.07741520061860625</x:v>
      </x:c>
      <x:c r="L676" s="133" t="n">
        <x:f>(('Assumptions'!$B$17*(1+G676)+'Assumptions'!$B$18)*(1-H676-'Assumptions'!$B$20)-SUM('Assumptions'!$B$21:$B$25)*(1+I676))-(('Assumptions'!$B$17*(1+G676)+'Assumptions'!$B$18)*(1-H676-'Assumptions'!$B$20)*'Assumptions'!$B$26)</x:f>
        <x:v>180358.1750661265</x:v>
      </x:c>
      <x:c r="M676" s="133" t="n">
        <x:f>'Assumptions'!$B$10*'Assumptions'!$B$33</x:f>
        <x:v>1950000</x:v>
      </x:c>
      <x:c r="N676" s="133" t="n">
        <x:f>-PMT(K676/12,'Assumptions'!$B$35*12,M676)*12</x:f>
        <x:v>167503.36401817572</x:v>
      </x:c>
      <x:c r="O676" s="133" t="n">
        <x:f>(L676*(1+'Assumptions'!$B$29)^('Assumptions'!$B$14/12)/J676)*(1-'Assumptions'!$B$42)-'Debt Schedule'!$F$9</x:f>
        <x:v>3249083.5255659153</x:v>
      </x:c>
      <x:c r="P676" s="132" t="n">
        <x:f>((O676+(L676-N676-'Assumptions'!$B$27-'Assumptions'!$B$28)*('Assumptions'!$B$14/12))/ABS('Monthly Cash Flow'!$S$5))^(1/('Assumptions'!$B$14/12))-1</x:f>
        <x:v>0.19186039836623747</x:v>
      </x:c>
      <x:c r="Q676" s="133" t="n">
        <x:f>-ABS('Monthly Cash Flow'!$S$5)+((L676-N676-'Assumptions'!$B$27-'Assumptions'!$B$28)*(1-(1+'Assumptions'!$B$43)^-('Assumptions'!$B$14/12))/'Assumptions'!$B$43)+(O676/(1+'Assumptions'!$B$43)^('Assumptions'!$B$14/12))</x:f>
        <x:v>620023.6182915713</x:v>
      </x:c>
    </x:row>
    <x:row r="677">
      <x:c r="A677" s="131" t="n">
        <x:f>670</x:f>
        <x:v>670</x:v>
      </x:c>
      <x:c r="B677" s="131" t="n">
        <x:f>MOD(ABS(SIN((A677+1)*12.9898+78.233)*43758.5453),1)</x:f>
        <x:v>0.22404321745125344</x:v>
      </x:c>
      <x:c r="C677" s="131" t="n">
        <x:f>MOD(ABS(SIN((A677+2)*12.9898+78.233)*43758.5453),1)</x:f>
        <x:v>0.8844755211757729</x:v>
      </x:c>
      <x:c r="D677" s="131" t="n">
        <x:f>MOD(ABS(SIN((A677+3)*12.9898+78.233)*43758.5453),1)</x:f>
        <x:v>0.03975358090974623</x:v>
      </x:c>
      <x:c r="E677" s="131" t="n">
        <x:f>MOD(ABS(SIN((A677+4)*12.9898+78.233)*43758.5453),1)</x:f>
        <x:v>0.8804588433122262</x:v>
      </x:c>
      <x:c r="F677" s="131" t="n">
        <x:f>MOD(ABS(SIN((A677+5)*12.9898+78.233)*43758.5453),1)</x:f>
        <x:v>0.3965820589528448</x:v>
      </x:c>
      <x:c r="G677" s="132" t="n">
        <x:f>IF(B677&lt;(('Assumptions'!$C$47-'Assumptions'!$B$47)/('Assumptions'!$D$47-'Assumptions'!$B$47)),'Assumptions'!$B$47+SQRT(B677*('Assumptions'!$D$47-'Assumptions'!$B$47)*('Assumptions'!$C$47-'Assumptions'!$B$47)),'Assumptions'!$D$47-SQRT((1-B677)*('Assumptions'!$D$47-'Assumptions'!$B$47)*('Assumptions'!$D$47-'Assumptions'!$C$47)))</x:f>
        <x:v>-0.026671716106061213</x:v>
      </x:c>
      <x:c r="H677" s="132" t="n">
        <x:f>IF(C677&lt;(('Assumptions'!$C$48-'Assumptions'!$B$48)/('Assumptions'!$D$48-'Assumptions'!$B$48)),'Assumptions'!$B$48+SQRT(C677*('Assumptions'!$D$48-'Assumptions'!$B$48)*('Assumptions'!$C$48-'Assumptions'!$B$48)),'Assumptions'!$D$48-SQRT((1-C677)*('Assumptions'!$D$48-'Assumptions'!$B$48)*('Assumptions'!$D$48-'Assumptions'!$C$48)))</x:f>
        <x:v>0.10811559293866047</x:v>
      </x:c>
      <x:c r="I677" s="132" t="n">
        <x:f>IF(D677&lt;(('Assumptions'!$C$49-'Assumptions'!$B$49)/('Assumptions'!$D$49-'Assumptions'!$B$49)),'Assumptions'!$B$49+SQRT(D677*('Assumptions'!$D$49-'Assumptions'!$B$49)*('Assumptions'!$C$49-'Assumptions'!$B$49)),'Assumptions'!$D$49-SQRT((1-D677)*('Assumptions'!$D$49-'Assumptions'!$B$49)*('Assumptions'!$D$49-'Assumptions'!$C$49)))</x:f>
        <x:v>-0.00927951077254064</x:v>
      </x:c>
      <x:c r="J677" s="132" t="n">
        <x:f>IF(E677&lt;(('Assumptions'!$C$50-'Assumptions'!$B$50)/('Assumptions'!$D$50-'Assumptions'!$B$50)),'Assumptions'!$B$50+SQRT(E677*('Assumptions'!$D$50-'Assumptions'!$B$50)*('Assumptions'!$C$50-'Assumptions'!$B$50)),'Assumptions'!$D$50-SQRT((1-E677)*('Assumptions'!$D$50-'Assumptions'!$B$50)*('Assumptions'!$D$50-'Assumptions'!$C$50)))</x:f>
        <x:v>0.07420164244648225</x:v>
      </x:c>
      <x:c r="K677" s="132" t="n">
        <x:f>IF(F677&lt;(('Assumptions'!$C$51-'Assumptions'!$B$51)/('Assumptions'!$D$51-'Assumptions'!$B$51)),'Assumptions'!$B$51+SQRT(F677*('Assumptions'!$D$51-'Assumptions'!$B$51)*('Assumptions'!$C$51-'Assumptions'!$B$51)),'Assumptions'!$D$51-SQRT((1-F677)*('Assumptions'!$D$51-'Assumptions'!$B$51)*('Assumptions'!$D$51-'Assumptions'!$C$51)))</x:f>
        <x:v>0.0679590233810106</x:v>
      </x:c>
      <x:c r="L677" s="133" t="n">
        <x:f>(('Assumptions'!$B$17*(1+G677)+'Assumptions'!$B$18)*(1-H677-'Assumptions'!$B$20)-SUM('Assumptions'!$B$21:$B$25)*(1+I677))-(('Assumptions'!$B$17*(1+G677)+'Assumptions'!$B$18)*(1-H677-'Assumptions'!$B$20)*'Assumptions'!$B$26)</x:f>
        <x:v>187058.44633192467</x:v>
      </x:c>
      <x:c r="M677" s="133" t="n">
        <x:f>'Assumptions'!$B$10*'Assumptions'!$B$33</x:f>
        <x:v>1950000</x:v>
      </x:c>
      <x:c r="N677" s="133" t="n">
        <x:f>-PMT(K677/12,'Assumptions'!$B$35*12,M677)*12</x:f>
        <x:v>152486.62904336667</x:v>
      </x:c>
      <x:c r="O677" s="133" t="n">
        <x:f>(L677*(1+'Assumptions'!$B$29)^('Assumptions'!$B$14/12)/J677)*(1-'Assumptions'!$B$42)-'Debt Schedule'!$F$9</x:f>
        <x:v>2747120.95390303</x:v>
      </x:c>
      <x:c r="P677" s="132" t="n">
        <x:f>((O677+(L677-N677-'Assumptions'!$B$27-'Assumptions'!$B$28)*('Assumptions'!$B$14/12))/ABS('Monthly Cash Flow'!$S$5))^(1/('Assumptions'!$B$14/12))-1</x:f>
        <x:v>0.160092802870337</x:v>
      </x:c>
      <x:c r="Q677" s="133" t="n">
        <x:f>-ABS('Monthly Cash Flow'!$S$5)+((L677-N677-'Assumptions'!$B$27-'Assumptions'!$B$28)*(1-(1+'Assumptions'!$B$43)^-('Assumptions'!$B$14/12))/'Assumptions'!$B$43)+(O677/(1+'Assumptions'!$B$43)^('Assumptions'!$B$14/12))</x:f>
        <x:v>390668.89409653144</x:v>
      </x:c>
    </x:row>
    <x:row r="678">
      <x:c r="A678" s="131" t="n">
        <x:f>671</x:f>
        <x:v>671</x:v>
      </x:c>
      <x:c r="B678" s="131" t="n">
        <x:f>MOD(ABS(SIN((A678+1)*12.9898+78.233)*43758.5453),1)</x:f>
        <x:v>0.8844755211757729</x:v>
      </x:c>
      <x:c r="C678" s="131" t="n">
        <x:f>MOD(ABS(SIN((A678+2)*12.9898+78.233)*43758.5453),1)</x:f>
        <x:v>0.03975358090974623</x:v>
      </x:c>
      <x:c r="D678" s="131" t="n">
        <x:f>MOD(ABS(SIN((A678+3)*12.9898+78.233)*43758.5453),1)</x:f>
        <x:v>0.8804588433122262</x:v>
      </x:c>
      <x:c r="E678" s="131" t="n">
        <x:f>MOD(ABS(SIN((A678+4)*12.9898+78.233)*43758.5453),1)</x:f>
        <x:v>0.3965820589528448</x:v>
      </x:c>
      <x:c r="F678" s="131" t="n">
        <x:f>MOD(ABS(SIN((A678+5)*12.9898+78.233)*43758.5453),1)</x:f>
        <x:v>0.7768596011460431</x:v>
      </x:c>
      <x:c r="G678" s="132" t="n">
        <x:f>IF(B678&lt;(('Assumptions'!$C$47-'Assumptions'!$B$47)/('Assumptions'!$D$47-'Assumptions'!$B$47)),'Assumptions'!$B$47+SQRT(B678*('Assumptions'!$D$47-'Assumptions'!$B$47)*('Assumptions'!$C$47-'Assumptions'!$B$47)),'Assumptions'!$D$47-SQRT((1-B678)*('Assumptions'!$D$47-'Assumptions'!$B$47)*('Assumptions'!$D$47-'Assumptions'!$C$47)))</x:f>
        <x:v>0.05700707428904572</x:v>
      </x:c>
      <x:c r="H678" s="132" t="n">
        <x:f>IF(C678&lt;(('Assumptions'!$C$48-'Assumptions'!$B$48)/('Assumptions'!$D$48-'Assumptions'!$B$48)),'Assumptions'!$B$48+SQRT(C678*('Assumptions'!$D$48-'Assumptions'!$B$48)*('Assumptions'!$C$48-'Assumptions'!$B$48)),'Assumptions'!$D$48-SQRT((1-C678)*('Assumptions'!$D$48-'Assumptions'!$B$48)*('Assumptions'!$D$48-'Assumptions'!$C$48)))</x:f>
        <x:v>0.04145368137334728</x:v>
      </x:c>
      <x:c r="I678" s="132" t="n">
        <x:f>IF(D678&lt;(('Assumptions'!$C$49-'Assumptions'!$B$49)/('Assumptions'!$D$49-'Assumptions'!$B$49)),'Assumptions'!$B$49+SQRT(D678*('Assumptions'!$D$49-'Assumptions'!$B$49)*('Assumptions'!$C$49-'Assumptions'!$B$49)),'Assumptions'!$D$49-SQRT((1-D678)*('Assumptions'!$D$49-'Assumptions'!$B$49)*('Assumptions'!$D$49-'Assumptions'!$C$49)))</x:f>
        <x:v>0.09918574034332574</x:v>
      </x:c>
      <x:c r="J678" s="132" t="n">
        <x:f>IF(E678&lt;(('Assumptions'!$C$50-'Assumptions'!$B$50)/('Assumptions'!$D$50-'Assumptions'!$B$50)),'Assumptions'!$B$50+SQRT(E678*('Assumptions'!$D$50-'Assumptions'!$B$50)*('Assumptions'!$C$50-'Assumptions'!$B$50)),'Assumptions'!$D$50-SQRT((1-E678)*('Assumptions'!$D$50-'Assumptions'!$B$50)*('Assumptions'!$D$50-'Assumptions'!$C$50)))</x:f>
        <x:v>0.0669462142292238</x:v>
      </x:c>
      <x:c r="K678" s="132" t="n">
        <x:f>IF(F678&lt;(('Assumptions'!$C$51-'Assumptions'!$B$51)/('Assumptions'!$D$51-'Assumptions'!$B$51)),'Assumptions'!$B$51+SQRT(F678*('Assumptions'!$D$51-'Assumptions'!$B$51)*('Assumptions'!$C$51-'Assumptions'!$B$51)),'Assumptions'!$D$51-SQRT((1-F678)*('Assumptions'!$D$51-'Assumptions'!$B$51)*('Assumptions'!$D$51-'Assumptions'!$C$51)))</x:f>
        <x:v>0.07463726305706515</x:v>
      </x:c>
      <x:c r="L678" s="133" t="n">
        <x:f>(('Assumptions'!$B$17*(1+G678)+'Assumptions'!$B$18)*(1-H678-'Assumptions'!$B$20)-SUM('Assumptions'!$B$21:$B$25)*(1+I678))-(('Assumptions'!$B$17*(1+G678)+'Assumptions'!$B$18)*(1-H678-'Assumptions'!$B$20)*'Assumptions'!$B$26)</x:f>
        <x:v>224399.00753638207</x:v>
      </x:c>
      <x:c r="M678" s="133" t="n">
        <x:f>'Assumptions'!$B$10*'Assumptions'!$B$33</x:f>
        <x:v>1950000</x:v>
      </x:c>
      <x:c r="N678" s="133" t="n">
        <x:f>-PMT(K678/12,'Assumptions'!$B$35*12,M678)*12</x:f>
        <x:v>163035.36779497587</x:v>
      </x:c>
      <x:c r="O678" s="133" t="n">
        <x:f>(L678*(1+'Assumptions'!$B$29)^('Assumptions'!$B$14/12)/J678)*(1-'Assumptions'!$B$42)-'Debt Schedule'!$F$9</x:f>
        <x:v>3652656.9492662796</x:v>
      </x:c>
      <x:c r="P678" s="132" t="n">
        <x:f>((O678+(L678-N678-'Assumptions'!$B$27-'Assumptions'!$B$28)*('Assumptions'!$B$14/12))/ABS('Monthly Cash Flow'!$S$5))^(1/('Assumptions'!$B$14/12))-1</x:f>
        <x:v>0.237670480297282</x:v>
      </x:c>
      <x:c r="Q678" s="133" t="n">
        <x:f>-ABS('Monthly Cash Flow'!$S$5)+((L678-N678-'Assumptions'!$B$27-'Assumptions'!$B$28)*(1-(1+'Assumptions'!$B$43)^-('Assumptions'!$B$14/12))/'Assumptions'!$B$43)+(O678/(1+'Assumptions'!$B$43)^('Assumptions'!$B$14/12))</x:f>
        <x:v>1054497.588497766</x:v>
      </x:c>
    </x:row>
    <x:row r="679">
      <x:c r="A679" s="131" t="n">
        <x:f>672</x:f>
        <x:v>672</x:v>
      </x:c>
      <x:c r="B679" s="131" t="n">
        <x:f>MOD(ABS(SIN((A679+1)*12.9898+78.233)*43758.5453),1)</x:f>
        <x:v>0.03975358090974623</x:v>
      </x:c>
      <x:c r="C679" s="131" t="n">
        <x:f>MOD(ABS(SIN((A679+2)*12.9898+78.233)*43758.5453),1)</x:f>
        <x:v>0.8804588433122262</x:v>
      </x:c>
      <x:c r="D679" s="131" t="n">
        <x:f>MOD(ABS(SIN((A679+3)*12.9898+78.233)*43758.5453),1)</x:f>
        <x:v>0.3965820589528448</x:v>
      </x:c>
      <x:c r="E679" s="131" t="n">
        <x:f>MOD(ABS(SIN((A679+4)*12.9898+78.233)*43758.5453),1)</x:f>
        <x:v>0.7768596011460431</x:v>
      </x:c>
      <x:c r="F679" s="131" t="n">
        <x:f>MOD(ABS(SIN((A679+5)*12.9898+78.233)*43758.5453),1)</x:f>
        <x:v>0.5485025600428344</x:v>
      </x:c>
      <x:c r="G679" s="132" t="n">
        <x:f>IF(B679&lt;(('Assumptions'!$C$47-'Assumptions'!$B$47)/('Assumptions'!$D$47-'Assumptions'!$B$47)),'Assumptions'!$B$47+SQRT(B679*('Assumptions'!$D$47-'Assumptions'!$B$47)*('Assumptions'!$C$47-'Assumptions'!$B$47)),'Assumptions'!$D$47-SQRT((1-B679)*('Assumptions'!$D$47-'Assumptions'!$B$47)*('Assumptions'!$D$47-'Assumptions'!$C$47)))</x:f>
        <x:v>-0.06911171837356585</x:v>
      </x:c>
      <x:c r="H679" s="132" t="n">
        <x:f>IF(C679&lt;(('Assumptions'!$C$48-'Assumptions'!$B$48)/('Assumptions'!$D$48-'Assumptions'!$B$48)),'Assumptions'!$B$48+SQRT(C679*('Assumptions'!$D$48-'Assumptions'!$B$48)*('Assumptions'!$C$48-'Assumptions'!$B$48)),'Assumptions'!$D$48-SQRT((1-C679)*('Assumptions'!$D$48-'Assumptions'!$B$48)*('Assumptions'!$D$48-'Assumptions'!$C$48)))</x:f>
        <x:v>0.10756603356275388</x:v>
      </x:c>
      <x:c r="I679" s="132" t="n">
        <x:f>IF(D679&lt;(('Assumptions'!$C$49-'Assumptions'!$B$49)/('Assumptions'!$D$49-'Assumptions'!$B$49)),'Assumptions'!$B$49+SQRT(D679*('Assumptions'!$D$49-'Assumptions'!$B$49)*('Assumptions'!$C$49-'Assumptions'!$B$49)),'Assumptions'!$D$49-SQRT((1-D679)*('Assumptions'!$D$49-'Assumptions'!$B$49)*('Assumptions'!$D$49-'Assumptions'!$C$49)))</x:f>
        <x:v>0.03583421034907808</x:v>
      </x:c>
      <x:c r="J679" s="132" t="n">
        <x:f>IF(E679&lt;(('Assumptions'!$C$50-'Assumptions'!$B$50)/('Assumptions'!$D$50-'Assumptions'!$B$50)),'Assumptions'!$B$50+SQRT(E679*('Assumptions'!$D$50-'Assumptions'!$B$50)*('Assumptions'!$C$50-'Assumptions'!$B$50)),'Assumptions'!$D$50-SQRT((1-E679)*('Assumptions'!$D$50-'Assumptions'!$B$50)*('Assumptions'!$D$50-'Assumptions'!$C$50)))</x:f>
        <x:v>0.07207799033213949</x:v>
      </x:c>
      <x:c r="K679" s="132" t="n">
        <x:f>IF(F679&lt;(('Assumptions'!$C$51-'Assumptions'!$B$51)/('Assumptions'!$D$51-'Assumptions'!$B$51)),'Assumptions'!$B$51+SQRT(F679*('Assumptions'!$D$51-'Assumptions'!$B$51)*('Assumptions'!$C$51-'Assumptions'!$B$51)),'Assumptions'!$D$51-SQRT((1-F679)*('Assumptions'!$D$51-'Assumptions'!$B$51)*('Assumptions'!$D$51-'Assumptions'!$C$51)))</x:f>
        <x:v>0.0702594727713224</x:v>
      </x:c>
      <x:c r="L679" s="133" t="n">
        <x:f>(('Assumptions'!$B$17*(1+G679)+'Assumptions'!$B$18)*(1-H679-'Assumptions'!$B$20)-SUM('Assumptions'!$B$21:$B$25)*(1+I679))-(('Assumptions'!$B$17*(1+G679)+'Assumptions'!$B$18)*(1-H679-'Assumptions'!$B$20)*'Assumptions'!$B$26)</x:f>
        <x:v>168625.58323887154</x:v>
      </x:c>
      <x:c r="M679" s="133" t="n">
        <x:f>'Assumptions'!$B$10*'Assumptions'!$B$33</x:f>
        <x:v>1950000</x:v>
      </x:c>
      <x:c r="N679" s="133" t="n">
        <x:f>-PMT(K679/12,'Assumptions'!$B$35*12,M679)*12</x:f>
        <x:v>156088.76796920472</x:v>
      </x:c>
      <x:c r="O679" s="133" t="n">
        <x:f>(L679*(1+'Assumptions'!$B$29)^('Assumptions'!$B$14/12)/J679)*(1-'Assumptions'!$B$42)-'Debt Schedule'!$F$9</x:f>
        <x:v>2549381.16408404</x:v>
      </x:c>
      <x:c r="P679" s="132" t="n">
        <x:f>((O679+(L679-N679-'Assumptions'!$B$27-'Assumptions'!$B$28)*('Assumptions'!$B$14/12))/ABS('Monthly Cash Flow'!$S$5))^(1/('Assumptions'!$B$14/12))-1</x:f>
        <x:v>0.13255003828191558</x:v>
      </x:c>
      <x:c r="Q679" s="133" t="n">
        <x:f>-ABS('Monthly Cash Flow'!$S$5)+((L679-N679-'Assumptions'!$B$27-'Assumptions'!$B$28)*(1-(1+'Assumptions'!$B$43)^-('Assumptions'!$B$14/12))/'Assumptions'!$B$43)+(O679/(1+'Assumptions'!$B$43)^('Assumptions'!$B$14/12))</x:f>
        <x:v>184358.04806358344</x:v>
      </x:c>
    </x:row>
    <x:row r="680">
      <x:c r="A680" s="131" t="n">
        <x:f>673</x:f>
        <x:v>673</x:v>
      </x:c>
      <x:c r="B680" s="131" t="n">
        <x:f>MOD(ABS(SIN((A680+1)*12.9898+78.233)*43758.5453),1)</x:f>
        <x:v>0.8804588433122262</x:v>
      </x:c>
      <x:c r="C680" s="131" t="n">
        <x:f>MOD(ABS(SIN((A680+2)*12.9898+78.233)*43758.5453),1)</x:f>
        <x:v>0.3965820589528448</x:v>
      </x:c>
      <x:c r="D680" s="131" t="n">
        <x:f>MOD(ABS(SIN((A680+3)*12.9898+78.233)*43758.5453),1)</x:f>
        <x:v>0.7768596011460431</x:v>
      </x:c>
      <x:c r="E680" s="131" t="n">
        <x:f>MOD(ABS(SIN((A680+4)*12.9898+78.233)*43758.5453),1)</x:f>
        <x:v>0.5485025600428344</x:v>
      </x:c>
      <x:c r="F680" s="131" t="n">
        <x:f>MOD(ABS(SIN((A680+5)*12.9898+78.233)*43758.5453),1)</x:f>
        <x:v>0.3079751424593269</x:v>
      </x:c>
      <x:c r="G680" s="132" t="n">
        <x:f>IF(B680&lt;(('Assumptions'!$C$47-'Assumptions'!$B$47)/('Assumptions'!$D$47-'Assumptions'!$B$47)),'Assumptions'!$B$47+SQRT(B680*('Assumptions'!$D$47-'Assumptions'!$B$47)*('Assumptions'!$C$47-'Assumptions'!$B$47)),'Assumptions'!$D$47-SQRT((1-B680)*('Assumptions'!$D$47-'Assumptions'!$B$47)*('Assumptions'!$D$47-'Assumptions'!$C$47)))</x:f>
        <x:v>0.056266048577742485</x:v>
      </x:c>
      <x:c r="H680" s="132" t="n">
        <x:f>IF(C680&lt;(('Assumptions'!$C$48-'Assumptions'!$B$48)/('Assumptions'!$D$48-'Assumptions'!$B$48)),'Assumptions'!$B$48+SQRT(C680*('Assumptions'!$D$48-'Assumptions'!$B$48)*('Assumptions'!$C$48-'Assumptions'!$B$48)),'Assumptions'!$D$48-SQRT((1-C680)*('Assumptions'!$D$48-'Assumptions'!$B$48)*('Assumptions'!$D$48-'Assumptions'!$C$48)))</x:f>
        <x:v>0.0671297188065329</x:v>
      </x:c>
      <x:c r="I680" s="132" t="n">
        <x:f>IF(D680&lt;(('Assumptions'!$C$49-'Assumptions'!$B$49)/('Assumptions'!$D$49-'Assumptions'!$B$49)),'Assumptions'!$B$49+SQRT(D680*('Assumptions'!$D$49-'Assumptions'!$B$49)*('Assumptions'!$C$49-'Assumptions'!$B$49)),'Assumptions'!$D$49-SQRT((1-D680)*('Assumptions'!$D$49-'Assumptions'!$B$49)*('Assumptions'!$D$49-'Assumptions'!$C$49)))</x:f>
        <x:v>0.08057498566622065</x:v>
      </x:c>
      <x:c r="J680" s="132" t="n">
        <x:f>IF(E680&lt;(('Assumptions'!$C$50-'Assumptions'!$B$50)/('Assumptions'!$D$50-'Assumptions'!$B$50)),'Assumptions'!$B$50+SQRT(E680*('Assumptions'!$D$50-'Assumptions'!$B$50)*('Assumptions'!$C$50-'Assumptions'!$B$50)),'Assumptions'!$D$50-SQRT((1-E680)*('Assumptions'!$D$50-'Assumptions'!$B$50)*('Assumptions'!$D$50-'Assumptions'!$C$50)))</x:f>
        <x:v>0.06873129754639191</x:v>
      </x:c>
      <x:c r="K680" s="132" t="n">
        <x:f>IF(F680&lt;(('Assumptions'!$C$51-'Assumptions'!$B$51)/('Assumptions'!$D$51-'Assumptions'!$B$51)),'Assumptions'!$B$51+SQRT(F680*('Assumptions'!$D$51-'Assumptions'!$B$51)*('Assumptions'!$C$51-'Assumptions'!$B$51)),'Assumptions'!$D$51-SQRT((1-F680)*('Assumptions'!$D$51-'Assumptions'!$B$51)*('Assumptions'!$D$51-'Assumptions'!$C$51)))</x:f>
        <x:v>0.06670288890383422</x:v>
      </x:c>
      <x:c r="L680" s="133" t="n">
        <x:f>(('Assumptions'!$B$17*(1+G680)+'Assumptions'!$B$18)*(1-H680-'Assumptions'!$B$20)-SUM('Assumptions'!$B$21:$B$25)*(1+I680))-(('Assumptions'!$B$17*(1+G680)+'Assumptions'!$B$18)*(1-H680-'Assumptions'!$B$20)*'Assumptions'!$B$26)</x:f>
        <x:v>216684.43630902734</x:v>
      </x:c>
      <x:c r="M680" s="133" t="n">
        <x:f>'Assumptions'!$B$10*'Assumptions'!$B$33</x:f>
        <x:v>1950000</x:v>
      </x:c>
      <x:c r="N680" s="133" t="n">
        <x:f>-PMT(K680/12,'Assumptions'!$B$35*12,M680)*12</x:f>
        <x:v>150534.16769823935</x:v>
      </x:c>
      <x:c r="O680" s="133" t="n">
        <x:f>(L680*(1+'Assumptions'!$B$29)^('Assumptions'!$B$14/12)/J680)*(1-'Assumptions'!$B$42)-'Debt Schedule'!$F$9</x:f>
        <x:v>3435477.850522823</x:v>
      </x:c>
      <x:c r="P680" s="132" t="n">
        <x:f>((O680+(L680-N680-'Assumptions'!$B$27-'Assumptions'!$B$28)*('Assumptions'!$B$14/12))/ABS('Monthly Cash Flow'!$S$5))^(1/('Assumptions'!$B$14/12))-1</x:f>
        <x:v>0.22467665470584897</x:v>
      </x:c>
      <x:c r="Q680" s="133" t="n">
        <x:f>-ABS('Monthly Cash Flow'!$S$5)+((L680-N680-'Assumptions'!$B$27-'Assumptions'!$B$28)*(1-(1+'Assumptions'!$B$43)^-('Assumptions'!$B$14/12))/'Assumptions'!$B$43)+(O680/(1+'Assumptions'!$B$43)^('Assumptions'!$B$14/12))</x:f>
        <x:v>937791.5445533055</x:v>
      </x:c>
    </x:row>
    <x:row r="681">
      <x:c r="A681" s="131" t="n">
        <x:f>674</x:f>
        <x:v>674</x:v>
      </x:c>
      <x:c r="B681" s="131" t="n">
        <x:f>MOD(ABS(SIN((A681+1)*12.9898+78.233)*43758.5453),1)</x:f>
        <x:v>0.3965820589528448</x:v>
      </x:c>
      <x:c r="C681" s="131" t="n">
        <x:f>MOD(ABS(SIN((A681+2)*12.9898+78.233)*43758.5453),1)</x:f>
        <x:v>0.7768596011460431</x:v>
      </x:c>
      <x:c r="D681" s="131" t="n">
        <x:f>MOD(ABS(SIN((A681+3)*12.9898+78.233)*43758.5453),1)</x:f>
        <x:v>0.5485025600428344</x:v>
      </x:c>
      <x:c r="E681" s="131" t="n">
        <x:f>MOD(ABS(SIN((A681+4)*12.9898+78.233)*43758.5453),1)</x:f>
        <x:v>0.3079751424593269</x:v>
      </x:c>
      <x:c r="F681" s="131" t="n">
        <x:f>MOD(ABS(SIN((A681+5)*12.9898+78.233)*43758.5453),1)</x:f>
        <x:v>0.6506136872412753</x:v>
      </x:c>
      <x:c r="G681" s="132" t="n">
        <x:f>IF(B681&lt;(('Assumptions'!$C$47-'Assumptions'!$B$47)/('Assumptions'!$D$47-'Assumptions'!$B$47)),'Assumptions'!$B$47+SQRT(B681*('Assumptions'!$D$47-'Assumptions'!$B$47)*('Assumptions'!$C$47-'Assumptions'!$B$47)),'Assumptions'!$D$47-SQRT((1-B681)*('Assumptions'!$D$47-'Assumptions'!$B$47)*('Assumptions'!$D$47-'Assumptions'!$C$47)))</x:f>
        <x:v>-0.0024399189480232286</x:v>
      </x:c>
      <x:c r="H681" s="132" t="n">
        <x:f>IF(C681&lt;(('Assumptions'!$C$48-'Assumptions'!$B$48)/('Assumptions'!$D$48-'Assumptions'!$B$48)),'Assumptions'!$B$48+SQRT(C681*('Assumptions'!$D$48-'Assumptions'!$B$48)*('Assumptions'!$C$48-'Assumptions'!$B$48)),'Assumptions'!$D$48-SQRT((1-C681)*('Assumptions'!$D$48-'Assumptions'!$B$48)*('Assumptions'!$D$48-'Assumptions'!$C$48)))</x:f>
        <x:v>0.09568707288031156</x:v>
      </x:c>
      <x:c r="I681" s="132" t="n">
        <x:f>IF(D681&lt;(('Assumptions'!$C$49-'Assumptions'!$B$49)/('Assumptions'!$D$49-'Assumptions'!$B$49)),'Assumptions'!$B$49+SQRT(D681*('Assumptions'!$D$49-'Assumptions'!$B$49)*('Assumptions'!$C$49-'Assumptions'!$B$49)),'Assumptions'!$D$49-SQRT((1-D681)*('Assumptions'!$D$49-'Assumptions'!$B$49)*('Assumptions'!$D$49-'Assumptions'!$C$49)))</x:f>
        <x:v>0.05124603955752065</x:v>
      </x:c>
      <x:c r="J681" s="132" t="n">
        <x:f>IF(E681&lt;(('Assumptions'!$C$50-'Assumptions'!$B$50)/('Assumptions'!$D$50-'Assumptions'!$B$50)),'Assumptions'!$B$50+SQRT(E681*('Assumptions'!$D$50-'Assumptions'!$B$50)*('Assumptions'!$C$50-'Assumptions'!$B$50)),'Assumptions'!$D$50-SQRT((1-E681)*('Assumptions'!$D$50-'Assumptions'!$B$50)*('Assumptions'!$D$50-'Assumptions'!$C$50)))</x:f>
        <x:v>0.06582432622218451</x:v>
      </x:c>
      <x:c r="K681" s="132" t="n">
        <x:f>IF(F681&lt;(('Assumptions'!$C$51-'Assumptions'!$B$51)/('Assumptions'!$D$51-'Assumptions'!$B$51)),'Assumptions'!$B$51+SQRT(F681*('Assumptions'!$D$51-'Assumptions'!$B$51)*('Assumptions'!$C$51-'Assumptions'!$B$51)),'Assumptions'!$D$51-SQRT((1-F681)*('Assumptions'!$D$51-'Assumptions'!$B$51)*('Assumptions'!$D$51-'Assumptions'!$C$51)))</x:f>
        <x:v>0.0720330357054885</x:v>
      </x:c>
      <x:c r="L681" s="133" t="n">
        <x:f>(('Assumptions'!$B$17*(1+G681)+'Assumptions'!$B$18)*(1-H681-'Assumptions'!$B$20)-SUM('Assumptions'!$B$21:$B$25)*(1+I681))-(('Assumptions'!$B$17*(1+G681)+'Assumptions'!$B$18)*(1-H681-'Assumptions'!$B$20)*'Assumptions'!$B$26)</x:f>
        <x:v>191317.15716387331</x:v>
      </x:c>
      <x:c r="M681" s="133" t="n">
        <x:f>'Assumptions'!$B$10*'Assumptions'!$B$33</x:f>
        <x:v>1950000</x:v>
      </x:c>
      <x:c r="N681" s="133" t="n">
        <x:f>-PMT(K681/12,'Assumptions'!$B$35*12,M681)*12</x:f>
        <x:v>158888.77532028413</x:v>
      </x:c>
      <x:c r="O681" s="133" t="n">
        <x:f>(L681*(1+'Assumptions'!$B$29)^('Assumptions'!$B$14/12)/J681)*(1-'Assumptions'!$B$42)-'Debt Schedule'!$F$9</x:f>
        <x:v>3167243.647113272</x:v>
      </x:c>
      <x:c r="P681" s="132" t="n">
        <x:f>((O681+(L681-N681-'Assumptions'!$B$27-'Assumptions'!$B$28)*('Assumptions'!$B$14/12))/ABS('Monthly Cash Flow'!$S$5))^(1/('Assumptions'!$B$14/12))-1</x:f>
        <x:v>0.19308504999997922</x:v>
      </x:c>
      <x:c r="Q681" s="133" t="n">
        <x:f>-ABS('Monthly Cash Flow'!$S$5)+((L681-N681-'Assumptions'!$B$27-'Assumptions'!$B$28)*(1-(1+'Assumptions'!$B$43)^-('Assumptions'!$B$14/12))/'Assumptions'!$B$43)+(O681/(1+'Assumptions'!$B$43)^('Assumptions'!$B$14/12))</x:f>
        <x:v>643406.7258859412</x:v>
      </x:c>
    </x:row>
    <x:row r="682">
      <x:c r="A682" s="131" t="n">
        <x:f>675</x:f>
        <x:v>675</x:v>
      </x:c>
      <x:c r="B682" s="131" t="n">
        <x:f>MOD(ABS(SIN((A682+1)*12.9898+78.233)*43758.5453),1)</x:f>
        <x:v>0.7768596011460431</x:v>
      </x:c>
      <x:c r="C682" s="131" t="n">
        <x:f>MOD(ABS(SIN((A682+2)*12.9898+78.233)*43758.5453),1)</x:f>
        <x:v>0.5485025600428344</x:v>
      </x:c>
      <x:c r="D682" s="131" t="n">
        <x:f>MOD(ABS(SIN((A682+3)*12.9898+78.233)*43758.5453),1)</x:f>
        <x:v>0.3079751424593269</x:v>
      </x:c>
      <x:c r="E682" s="131" t="n">
        <x:f>MOD(ABS(SIN((A682+4)*12.9898+78.233)*43758.5453),1)</x:f>
        <x:v>0.6506136872412753</x:v>
      </x:c>
      <x:c r="F682" s="131" t="n">
        <x:f>MOD(ABS(SIN((A682+5)*12.9898+78.233)*43758.5453),1)</x:f>
        <x:v>0.9087593255608226</x:v>
      </x:c>
      <x:c r="G682" s="132" t="n">
        <x:f>IF(B682&lt;(('Assumptions'!$C$47-'Assumptions'!$B$47)/('Assumptions'!$D$47-'Assumptions'!$B$47)),'Assumptions'!$B$47+SQRT(B682*('Assumptions'!$D$47-'Assumptions'!$B$47)*('Assumptions'!$C$47-'Assumptions'!$B$47)),'Assumptions'!$D$47-SQRT((1-B682)*('Assumptions'!$D$47-'Assumptions'!$B$47)*('Assumptions'!$D$47-'Assumptions'!$C$47)))</x:f>
        <x:v>0.04024846126112475</x:v>
      </x:c>
      <x:c r="H682" s="132" t="n">
        <x:f>IF(C682&lt;(('Assumptions'!$C$48-'Assumptions'!$B$48)/('Assumptions'!$D$48-'Assumptions'!$B$48)),'Assumptions'!$B$48+SQRT(C682*('Assumptions'!$D$48-'Assumptions'!$B$48)*('Assumptions'!$C$48-'Assumptions'!$B$48)),'Assumptions'!$D$48-SQRT((1-C682)*('Assumptions'!$D$48-'Assumptions'!$B$48)*('Assumptions'!$D$48-'Assumptions'!$C$48)))</x:f>
        <x:v>0.07696685418271544</x:v>
      </x:c>
      <x:c r="I682" s="132" t="n">
        <x:f>IF(D682&lt;(('Assumptions'!$C$49-'Assumptions'!$B$49)/('Assumptions'!$D$49-'Assumptions'!$B$49)),'Assumptions'!$B$49+SQRT(D682*('Assumptions'!$D$49-'Assumptions'!$B$49)*('Assumptions'!$C$49-'Assumptions'!$B$49)),'Assumptions'!$D$49-SQRT((1-D682)*('Assumptions'!$D$49-'Assumptions'!$B$49)*('Assumptions'!$D$49-'Assumptions'!$C$49)))</x:f>
        <x:v>0.02767262382240581</x:v>
      </x:c>
      <x:c r="J682" s="132" t="n">
        <x:f>IF(E682&lt;(('Assumptions'!$C$50-'Assumptions'!$B$50)/('Assumptions'!$D$50-'Assumptions'!$B$50)),'Assumptions'!$B$50+SQRT(E682*('Assumptions'!$D$50-'Assumptions'!$B$50)*('Assumptions'!$C$50-'Assumptions'!$B$50)),'Assumptions'!$D$50-SQRT((1-E682)*('Assumptions'!$D$50-'Assumptions'!$B$50)*('Assumptions'!$D$50-'Assumptions'!$C$50)))</x:f>
        <x:v>0.07008713459874537</x:v>
      </x:c>
      <x:c r="K682" s="132" t="n">
        <x:f>IF(F682&lt;(('Assumptions'!$C$51-'Assumptions'!$B$51)/('Assumptions'!$D$51-'Assumptions'!$B$51)),'Assumptions'!$B$51+SQRT(F682*('Assumptions'!$D$51-'Assumptions'!$B$51)*('Assumptions'!$C$51-'Assumptions'!$B$51)),'Assumptions'!$D$51-SQRT((1-F682)*('Assumptions'!$D$51-'Assumptions'!$B$51)*('Assumptions'!$D$51-'Assumptions'!$C$51)))</x:f>
        <x:v>0.07837356999781527</x:v>
      </x:c>
      <x:c r="L682" s="133" t="n">
        <x:f>(('Assumptions'!$B$17*(1+G682)+'Assumptions'!$B$18)*(1-H682-'Assumptions'!$B$20)-SUM('Assumptions'!$B$21:$B$25)*(1+I682))-(('Assumptions'!$B$17*(1+G682)+'Assumptions'!$B$18)*(1-H682-'Assumptions'!$B$20)*'Assumptions'!$B$26)</x:f>
        <x:v>214534.88808391747</x:v>
      </x:c>
      <x:c r="M682" s="133" t="n">
        <x:f>'Assumptions'!$B$10*'Assumptions'!$B$33</x:f>
        <x:v>1950000</x:v>
      </x:c>
      <x:c r="N682" s="133" t="n">
        <x:f>-PMT(K682/12,'Assumptions'!$B$35*12,M682)*12</x:f>
        <x:v>169055.24550290842</x:v>
      </x:c>
      <x:c r="O682" s="133" t="n">
        <x:f>(L682*(1+'Assumptions'!$B$29)^('Assumptions'!$B$14/12)/J682)*(1-'Assumptions'!$B$42)-'Debt Schedule'!$F$9</x:f>
        <x:v>3335597.1976832706</x:v>
      </x:c>
      <x:c r="P682" s="132" t="n">
        <x:f>((O682+(L682-N682-'Assumptions'!$B$27-'Assumptions'!$B$28)*('Assumptions'!$B$14/12))/ABS('Monthly Cash Flow'!$S$5))^(1/('Assumptions'!$B$14/12))-1</x:f>
        <x:v>0.21038865386279015</x:v>
      </x:c>
      <x:c r="Q682" s="133" t="n">
        <x:f>-ABS('Monthly Cash Flow'!$S$5)+((L682-N682-'Assumptions'!$B$27-'Assumptions'!$B$28)*(1-(1+'Assumptions'!$B$43)^-('Assumptions'!$B$14/12))/'Assumptions'!$B$43)+(O682/(1+'Assumptions'!$B$43)^('Assumptions'!$B$14/12))</x:f>
        <x:v>797415.5817750823</x:v>
      </x:c>
    </x:row>
    <x:row r="683">
      <x:c r="A683" s="131" t="n">
        <x:f>676</x:f>
        <x:v>676</x:v>
      </x:c>
      <x:c r="B683" s="131" t="n">
        <x:f>MOD(ABS(SIN((A683+1)*12.9898+78.233)*43758.5453),1)</x:f>
        <x:v>0.5485025600428344</x:v>
      </x:c>
      <x:c r="C683" s="131" t="n">
        <x:f>MOD(ABS(SIN((A683+2)*12.9898+78.233)*43758.5453),1)</x:f>
        <x:v>0.3079751424593269</x:v>
      </x:c>
      <x:c r="D683" s="131" t="n">
        <x:f>MOD(ABS(SIN((A683+3)*12.9898+78.233)*43758.5453),1)</x:f>
        <x:v>0.6506136872412753</x:v>
      </x:c>
      <x:c r="E683" s="131" t="n">
        <x:f>MOD(ABS(SIN((A683+4)*12.9898+78.233)*43758.5453),1)</x:f>
        <x:v>0.9087593255608226</x:v>
      </x:c>
      <x:c r="F683" s="131" t="n">
        <x:f>MOD(ABS(SIN((A683+5)*12.9898+78.233)*43758.5453),1)</x:f>
        <x:v>0.7956259804195724</x:v>
      </x:c>
      <x:c r="G683" s="132" t="n">
        <x:f>IF(B683&lt;(('Assumptions'!$C$47-'Assumptions'!$B$47)/('Assumptions'!$D$47-'Assumptions'!$B$47)),'Assumptions'!$B$47+SQRT(B683*('Assumptions'!$D$47-'Assumptions'!$B$47)*('Assumptions'!$C$47-'Assumptions'!$B$47)),'Assumptions'!$D$47-SQRT((1-B683)*('Assumptions'!$D$47-'Assumptions'!$B$47)*('Assumptions'!$D$47-'Assumptions'!$C$47)))</x:f>
        <x:v>0.014734743826915947</x:v>
      </x:c>
      <x:c r="H683" s="132" t="n">
        <x:f>IF(C683&lt;(('Assumptions'!$C$48-'Assumptions'!$B$48)/('Assumptions'!$D$48-'Assumptions'!$B$48)),'Assumptions'!$B$48+SQRT(C683*('Assumptions'!$D$48-'Assumptions'!$B$48)*('Assumptions'!$C$48-'Assumptions'!$B$48)),'Assumptions'!$D$48-SQRT((1-C683)*('Assumptions'!$D$48-'Assumptions'!$B$48)*('Assumptions'!$D$48-'Assumptions'!$C$48)))</x:f>
        <x:v>0.06196270925795845</x:v>
      </x:c>
      <x:c r="I683" s="132" t="n">
        <x:f>IF(D683&lt;(('Assumptions'!$C$49-'Assumptions'!$B$49)/('Assumptions'!$D$49-'Assumptions'!$B$49)),'Assumptions'!$B$49+SQRT(D683*('Assumptions'!$D$49-'Assumptions'!$B$49)*('Assumptions'!$C$49-'Assumptions'!$B$49)),'Assumptions'!$D$49-SQRT((1-D683)*('Assumptions'!$D$49-'Assumptions'!$B$49)*('Assumptions'!$D$49-'Assumptions'!$C$49)))</x:f>
        <x:v>0.06312800016352534</x:v>
      </x:c>
      <x:c r="J683" s="132" t="n">
        <x:f>IF(E683&lt;(('Assumptions'!$C$50-'Assumptions'!$B$50)/('Assumptions'!$D$50-'Assumptions'!$B$50)),'Assumptions'!$B$50+SQRT(E683*('Assumptions'!$D$50-'Assumptions'!$B$50)*('Assumptions'!$C$50-'Assumptions'!$B$50)),'Assumptions'!$D$50-SQRT((1-E683)*('Assumptions'!$D$50-'Assumptions'!$B$50)*('Assumptions'!$D$50-'Assumptions'!$C$50)))</x:f>
        <x:v>0.07493428784019279</x:v>
      </x:c>
      <x:c r="K683" s="132" t="n">
        <x:f>IF(F683&lt;(('Assumptions'!$C$51-'Assumptions'!$B$51)/('Assumptions'!$D$51-'Assumptions'!$B$51)),'Assumptions'!$B$51+SQRT(F683*('Assumptions'!$D$51-'Assumptions'!$B$51)*('Assumptions'!$C$51-'Assumptions'!$B$51)),'Assumptions'!$D$51-SQRT((1-F683)*('Assumptions'!$D$51-'Assumptions'!$B$51)*('Assumptions'!$D$51-'Assumptions'!$C$51)))</x:f>
        <x:v>0.07508259121932141</x:v>
      </x:c>
      <x:c r="L683" s="133" t="n">
        <x:f>(('Assumptions'!$B$17*(1+G683)+'Assumptions'!$B$18)*(1-H683-'Assumptions'!$B$20)-SUM('Assumptions'!$B$21:$B$25)*(1+I683))-(('Assumptions'!$B$17*(1+G683)+'Assumptions'!$B$18)*(1-H683-'Assumptions'!$B$20)*'Assumptions'!$B$26)</x:f>
        <x:v>207537.91382952605</x:v>
      </x:c>
      <x:c r="M683" s="133" t="n">
        <x:f>'Assumptions'!$B$10*'Assumptions'!$B$33</x:f>
        <x:v>1950000</x:v>
      </x:c>
      <x:c r="N683" s="133" t="n">
        <x:f>-PMT(K683/12,'Assumptions'!$B$35*12,M683)*12</x:f>
        <x:v>163748.55293056837</x:v>
      </x:c>
      <x:c r="O683" s="133" t="n">
        <x:f>(L683*(1+'Assumptions'!$B$29)^('Assumptions'!$B$14/12)/J683)*(1-'Assumptions'!$B$42)-'Debt Schedule'!$F$9</x:f>
        <x:v>3018080.642108395</x:v>
      </x:c>
      <x:c r="P683" s="132" t="n">
        <x:f>((O683+(L683-N683-'Assumptions'!$B$27-'Assumptions'!$B$28)*('Assumptions'!$B$14/12))/ABS('Monthly Cash Flow'!$S$5))^(1/('Assumptions'!$B$14/12))-1</x:f>
        <x:v>0.1859580638625642</x:v>
      </x:c>
      <x:c r="Q683" s="133" t="n">
        <x:f>-ABS('Monthly Cash Flow'!$S$5)+((L683-N683-'Assumptions'!$B$27-'Assumptions'!$B$28)*(1-(1+'Assumptions'!$B$43)^-('Assumptions'!$B$14/12))/'Assumptions'!$B$43)+(O683/(1+'Assumptions'!$B$43)^('Assumptions'!$B$14/12))</x:f>
        <x:v>593855.2845574513</x:v>
      </x:c>
    </x:row>
    <x:row r="684">
      <x:c r="A684" s="131" t="n">
        <x:f>677</x:f>
        <x:v>677</x:v>
      </x:c>
      <x:c r="B684" s="131" t="n">
        <x:f>MOD(ABS(SIN((A684+1)*12.9898+78.233)*43758.5453),1)</x:f>
        <x:v>0.3079751424593269</x:v>
      </x:c>
      <x:c r="C684" s="131" t="n">
        <x:f>MOD(ABS(SIN((A684+2)*12.9898+78.233)*43758.5453),1)</x:f>
        <x:v>0.6506136872412753</x:v>
      </x:c>
      <x:c r="D684" s="131" t="n">
        <x:f>MOD(ABS(SIN((A684+3)*12.9898+78.233)*43758.5453),1)</x:f>
        <x:v>0.9087593255608226</x:v>
      </x:c>
      <x:c r="E684" s="131" t="n">
        <x:f>MOD(ABS(SIN((A684+4)*12.9898+78.233)*43758.5453),1)</x:f>
        <x:v>0.7956259804195724</x:v>
      </x:c>
      <x:c r="F684" s="131" t="n">
        <x:f>MOD(ABS(SIN((A684+5)*12.9898+78.233)*43758.5453),1)</x:f>
        <x:v>0.6542086083100003</x:v>
      </x:c>
      <x:c r="G684" s="132" t="n">
        <x:f>IF(B684&lt;(('Assumptions'!$C$47-'Assumptions'!$B$47)/('Assumptions'!$D$47-'Assumptions'!$B$47)),'Assumptions'!$B$47+SQRT(B684*('Assumptions'!$D$47-'Assumptions'!$B$47)*('Assumptions'!$C$47-'Assumptions'!$B$47)),'Assumptions'!$D$47-SQRT((1-B684)*('Assumptions'!$D$47-'Assumptions'!$B$47)*('Assumptions'!$D$47-'Assumptions'!$C$47)))</x:f>
        <x:v>-0.01402672846155123</x:v>
      </x:c>
      <x:c r="H684" s="132" t="n">
        <x:f>IF(C684&lt;(('Assumptions'!$C$48-'Assumptions'!$B$48)/('Assumptions'!$D$48-'Assumptions'!$B$48)),'Assumptions'!$B$48+SQRT(C684*('Assumptions'!$D$48-'Assumptions'!$B$48)*('Assumptions'!$C$48-'Assumptions'!$B$48)),'Assumptions'!$D$48-SQRT((1-C684)*('Assumptions'!$D$48-'Assumptions'!$B$48)*('Assumptions'!$D$48-'Assumptions'!$C$48)))</x:f>
        <x:v>0.08455092830103667</x:v>
      </x:c>
      <x:c r="I684" s="132" t="n">
        <x:f>IF(D684&lt;(('Assumptions'!$C$49-'Assumptions'!$B$49)/('Assumptions'!$D$49-'Assumptions'!$B$49)),'Assumptions'!$B$49+SQRT(D684*('Assumptions'!$D$49-'Assumptions'!$B$49)*('Assumptions'!$C$49-'Assumptions'!$B$49)),'Assumptions'!$D$49-SQRT((1-D684)*('Assumptions'!$D$49-'Assumptions'!$B$49)*('Assumptions'!$D$49-'Assumptions'!$C$49)))</x:f>
        <x:v>0.105606322883926</x:v>
      </x:c>
      <x:c r="J684" s="132" t="n">
        <x:f>IF(E684&lt;(('Assumptions'!$C$50-'Assumptions'!$B$50)/('Assumptions'!$D$50-'Assumptions'!$B$50)),'Assumptions'!$B$50+SQRT(E684*('Assumptions'!$D$50-'Assumptions'!$B$50)*('Assumptions'!$C$50-'Assumptions'!$B$50)),'Assumptions'!$D$50-SQRT((1-E684)*('Assumptions'!$D$50-'Assumptions'!$B$50)*('Assumptions'!$D$50-'Assumptions'!$C$50)))</x:f>
        <x:v>0.07241843070288247</x:v>
      </x:c>
      <x:c r="K684" s="132" t="n">
        <x:f>IF(F684&lt;(('Assumptions'!$C$51-'Assumptions'!$B$51)/('Assumptions'!$D$51-'Assumptions'!$B$51)),'Assumptions'!$B$51+SQRT(F684*('Assumptions'!$D$51-'Assumptions'!$B$51)*('Assumptions'!$C$51-'Assumptions'!$B$51)),'Assumptions'!$D$51-SQRT((1-F684)*('Assumptions'!$D$51-'Assumptions'!$B$51)*('Assumptions'!$D$51-'Assumptions'!$C$51)))</x:f>
        <x:v>0.0720999183238705</x:v>
      </x:c>
      <x:c r="L684" s="133" t="n">
        <x:f>(('Assumptions'!$B$17*(1+G684)+'Assumptions'!$B$18)*(1-H684-'Assumptions'!$B$20)-SUM('Assumptions'!$B$21:$B$25)*(1+I684))-(('Assumptions'!$B$17*(1+G684)+'Assumptions'!$B$18)*(1-H684-'Assumptions'!$B$20)*'Assumptions'!$B$26)</x:f>
        <x:v>184873.67371053915</x:v>
      </x:c>
      <x:c r="M684" s="133" t="n">
        <x:f>'Assumptions'!$B$10*'Assumptions'!$B$33</x:f>
        <x:v>1950000</x:v>
      </x:c>
      <x:c r="N684" s="133" t="n">
        <x:f>-PMT(K684/12,'Assumptions'!$B$35*12,M684)*12</x:f>
        <x:v>158994.74970858003</x:v>
      </x:c>
      <x:c r="O684" s="133" t="n">
        <x:f>(L684*(1+'Assumptions'!$B$29)^('Assumptions'!$B$14/12)/J684)*(1-'Assumptions'!$B$42)-'Debt Schedule'!$F$9</x:f>
        <x:v>2781889.9081447963</x:v>
      </x:c>
      <x:c r="P684" s="132" t="n">
        <x:f>((O684+(L684-N684-'Assumptions'!$B$27-'Assumptions'!$B$28)*('Assumptions'!$B$14/12))/ABS('Monthly Cash Flow'!$S$5))^(1/('Assumptions'!$B$14/12))-1</x:f>
        <x:v>0.15935011171878544</x:v>
      </x:c>
      <x:c r="Q684" s="133" t="n">
        <x:f>-ABS('Monthly Cash Flow'!$S$5)+((L684-N684-'Assumptions'!$B$27-'Assumptions'!$B$28)*(1-(1+'Assumptions'!$B$43)^-('Assumptions'!$B$14/12))/'Assumptions'!$B$43)+(O684/(1+'Assumptions'!$B$43)^('Assumptions'!$B$14/12))</x:f>
        <x:v>379304.77430699347</x:v>
      </x:c>
    </x:row>
    <x:row r="685">
      <x:c r="A685" s="131" t="n">
        <x:f>678</x:f>
        <x:v>678</x:v>
      </x:c>
      <x:c r="B685" s="131" t="n">
        <x:f>MOD(ABS(SIN((A685+1)*12.9898+78.233)*43758.5453),1)</x:f>
        <x:v>0.6506136872412753</x:v>
      </x:c>
      <x:c r="C685" s="131" t="n">
        <x:f>MOD(ABS(SIN((A685+2)*12.9898+78.233)*43758.5453),1)</x:f>
        <x:v>0.9087593255608226</x:v>
      </x:c>
      <x:c r="D685" s="131" t="n">
        <x:f>MOD(ABS(SIN((A685+3)*12.9898+78.233)*43758.5453),1)</x:f>
        <x:v>0.7956259804195724</x:v>
      </x:c>
      <x:c r="E685" s="131" t="n">
        <x:f>MOD(ABS(SIN((A685+4)*12.9898+78.233)*43758.5453),1)</x:f>
        <x:v>0.6542086083100003</x:v>
      </x:c>
      <x:c r="F685" s="131" t="n">
        <x:f>MOD(ABS(SIN((A685+5)*12.9898+78.233)*43758.5453),1)</x:f>
        <x:v>0.028157989974715747</x:v>
      </x:c>
      <x:c r="G685" s="132" t="n">
        <x:f>IF(B685&lt;(('Assumptions'!$C$47-'Assumptions'!$B$47)/('Assumptions'!$D$47-'Assumptions'!$B$47)),'Assumptions'!$B$47+SQRT(B685*('Assumptions'!$D$47-'Assumptions'!$B$47)*('Assumptions'!$C$47-'Assumptions'!$B$47)),'Assumptions'!$D$47-SQRT((1-B685)*('Assumptions'!$D$47-'Assumptions'!$B$47)*('Assumptions'!$D$47-'Assumptions'!$C$47)))</x:f>
        <x:v>0.025232486973688933</x:v>
      </x:c>
      <x:c r="H685" s="132" t="n">
        <x:f>IF(C685&lt;(('Assumptions'!$C$48-'Assumptions'!$B$48)/('Assumptions'!$D$48-'Assumptions'!$B$48)),'Assumptions'!$B$48+SQRT(C685*('Assumptions'!$D$48-'Assumptions'!$B$48)*('Assumptions'!$C$48-'Assumptions'!$B$48)),'Assumptions'!$D$48-SQRT((1-C685)*('Assumptions'!$D$48-'Assumptions'!$B$48)*('Assumptions'!$D$48-'Assumptions'!$C$48)))</x:f>
        <x:v>0.1116641934107257</x:v>
      </x:c>
      <x:c r="I685" s="132" t="n">
        <x:f>IF(D685&lt;(('Assumptions'!$C$49-'Assumptions'!$B$49)/('Assumptions'!$D$49-'Assumptions'!$B$49)),'Assumptions'!$B$49+SQRT(D685*('Assumptions'!$D$49-'Assumptions'!$B$49)*('Assumptions'!$C$49-'Assumptions'!$B$49)),'Assumptions'!$D$49-SQRT((1-D685)*('Assumptions'!$D$49-'Assumptions'!$B$49)*('Assumptions'!$D$49-'Assumptions'!$C$49)))</x:f>
        <x:v>0.08355845559488223</x:v>
      </x:c>
      <x:c r="J685" s="132" t="n">
        <x:f>IF(E685&lt;(('Assumptions'!$C$50-'Assumptions'!$B$50)/('Assumptions'!$D$50-'Assumptions'!$B$50)),'Assumptions'!$B$50+SQRT(E685*('Assumptions'!$D$50-'Assumptions'!$B$50)*('Assumptions'!$C$50-'Assumptions'!$B$50)),'Assumptions'!$D$50-SQRT((1-E685)*('Assumptions'!$D$50-'Assumptions'!$B$50)*('Assumptions'!$D$50-'Assumptions'!$C$50)))</x:f>
        <x:v>0.07013826440666693</x:v>
      </x:c>
      <x:c r="K685" s="132" t="n">
        <x:f>IF(F685&lt;(('Assumptions'!$C$51-'Assumptions'!$B$51)/('Assumptions'!$D$51-'Assumptions'!$B$51)),'Assumptions'!$B$51+SQRT(F685*('Assumptions'!$D$51-'Assumptions'!$B$51)*('Assumptions'!$C$51-'Assumptions'!$B$51)),'Assumptions'!$D$51-SQRT((1-F685)*('Assumptions'!$D$51-'Assumptions'!$B$51)*('Assumptions'!$D$51-'Assumptions'!$C$51)))</x:f>
        <x:v>0.06028270502264377</x:v>
      </x:c>
      <x:c r="L685" s="133" t="n">
        <x:f>(('Assumptions'!$B$17*(1+G685)+'Assumptions'!$B$18)*(1-H685-'Assumptions'!$B$20)-SUM('Assumptions'!$B$21:$B$25)*(1+I685))-(('Assumptions'!$B$17*(1+G685)+'Assumptions'!$B$18)*(1-H685-'Assumptions'!$B$20)*'Assumptions'!$B$26)</x:f>
        <x:v>189861.5255436492</x:v>
      </x:c>
      <x:c r="M685" s="133" t="n">
        <x:f>'Assumptions'!$B$10*'Assumptions'!$B$33</x:f>
        <x:v>1950000</x:v>
      </x:c>
      <x:c r="N685" s="133" t="n">
        <x:f>-PMT(K685/12,'Assumptions'!$B$35*12,M685)*12</x:f>
        <x:v>140720.4155242372</x:v>
      </x:c>
      <x:c r="O685" s="133" t="n">
        <x:f>(L685*(1+'Assumptions'!$B$29)^('Assumptions'!$B$14/12)/J685)*(1-'Assumptions'!$B$42)-'Debt Schedule'!$F$9</x:f>
        <x:v>2949822.801631023</x:v>
      </x:c>
      <x:c r="P685" s="132" t="n">
        <x:f>((O685+(L685-N685-'Assumptions'!$B$27-'Assumptions'!$B$28)*('Assumptions'!$B$14/12))/ABS('Monthly Cash Flow'!$S$5))^(1/('Assumptions'!$B$14/12))-1</x:f>
        <x:v>0.1826991261473161</x:v>
      </x:c>
      <x:c r="Q685" s="133" t="n">
        <x:f>-ABS('Monthly Cash Flow'!$S$5)+((L685-N685-'Assumptions'!$B$27-'Assumptions'!$B$28)*(1-(1+'Assumptions'!$B$43)^-('Assumptions'!$B$14/12))/'Assumptions'!$B$43)+(O685/(1+'Assumptions'!$B$43)^('Assumptions'!$B$14/12))</x:f>
        <x:v>571759.8756980922</x:v>
      </x:c>
    </x:row>
    <x:row r="686">
      <x:c r="A686" s="131" t="n">
        <x:f>679</x:f>
        <x:v>679</x:v>
      </x:c>
      <x:c r="B686" s="131" t="n">
        <x:f>MOD(ABS(SIN((A686+1)*12.9898+78.233)*43758.5453),1)</x:f>
        <x:v>0.9087593255608226</x:v>
      </x:c>
      <x:c r="C686" s="131" t="n">
        <x:f>MOD(ABS(SIN((A686+2)*12.9898+78.233)*43758.5453),1)</x:f>
        <x:v>0.7956259804195724</x:v>
      </x:c>
      <x:c r="D686" s="131" t="n">
        <x:f>MOD(ABS(SIN((A686+3)*12.9898+78.233)*43758.5453),1)</x:f>
        <x:v>0.6542086083100003</x:v>
      </x:c>
      <x:c r="E686" s="131" t="n">
        <x:f>MOD(ABS(SIN((A686+4)*12.9898+78.233)*43758.5453),1)</x:f>
        <x:v>0.028157989974715747</x:v>
      </x:c>
      <x:c r="F686" s="131" t="n">
        <x:f>MOD(ABS(SIN((A686+5)*12.9898+78.233)*43758.5453),1)</x:f>
        <x:v>0.7474806200680177</x:v>
      </x:c>
      <x:c r="G686" s="132" t="n">
        <x:f>IF(B686&lt;(('Assumptions'!$C$47-'Assumptions'!$B$47)/('Assumptions'!$D$47-'Assumptions'!$B$47)),'Assumptions'!$B$47+SQRT(B686*('Assumptions'!$D$47-'Assumptions'!$B$47)*('Assumptions'!$C$47-'Assumptions'!$B$47)),'Assumptions'!$D$47-SQRT((1-B686)*('Assumptions'!$D$47-'Assumptions'!$B$47)*('Assumptions'!$D$47-'Assumptions'!$C$47)))</x:f>
        <x:v>0.06179200618945248</x:v>
      </x:c>
      <x:c r="H686" s="132" t="n">
        <x:f>IF(C686&lt;(('Assumptions'!$C$48-'Assumptions'!$B$48)/('Assumptions'!$D$48-'Assumptions'!$B$48)),'Assumptions'!$B$48+SQRT(C686*('Assumptions'!$D$48-'Assumptions'!$B$48)*('Assumptions'!$C$48-'Assumptions'!$B$48)),'Assumptions'!$D$48-SQRT((1-C686)*('Assumptions'!$D$48-'Assumptions'!$B$48)*('Assumptions'!$D$48-'Assumptions'!$C$48)))</x:f>
        <x:v>0.09759137620356254</x:v>
      </x:c>
      <x:c r="I686" s="132" t="n">
        <x:f>IF(D686&lt;(('Assumptions'!$C$49-'Assumptions'!$B$49)/('Assumptions'!$D$49-'Assumptions'!$B$49)),'Assumptions'!$B$49+SQRT(D686*('Assumptions'!$D$49-'Assumptions'!$B$49)*('Assumptions'!$C$49-'Assumptions'!$B$49)),'Assumptions'!$D$49-SQRT((1-D686)*('Assumptions'!$D$49-'Assumptions'!$B$49)*('Assumptions'!$D$49-'Assumptions'!$C$49)))</x:f>
        <x:v>0.06357607935007811</x:v>
      </x:c>
      <x:c r="J686" s="132" t="n">
        <x:f>IF(E686&lt;(('Assumptions'!$C$50-'Assumptions'!$B$50)/('Assumptions'!$D$50-'Assumptions'!$B$50)),'Assumptions'!$B$50+SQRT(E686*('Assumptions'!$D$50-'Assumptions'!$B$50)*('Assumptions'!$C$50-'Assumptions'!$B$50)),'Assumptions'!$D$50-SQRT((1-E686)*('Assumptions'!$D$50-'Assumptions'!$B$50)*('Assumptions'!$D$50-'Assumptions'!$C$50)))</x:f>
        <x:v>0.06001705139882185</x:v>
      </x:c>
      <x:c r="K686" s="132" t="n">
        <x:f>IF(F686&lt;(('Assumptions'!$C$51-'Assumptions'!$B$51)/('Assumptions'!$D$51-'Assumptions'!$B$51)),'Assumptions'!$B$51+SQRT(F686*('Assumptions'!$D$51-'Assumptions'!$B$51)*('Assumptions'!$C$51-'Assumptions'!$B$51)),'Assumptions'!$D$51-SQRT((1-F686)*('Assumptions'!$D$51-'Assumptions'!$B$51)*('Assumptions'!$D$51-'Assumptions'!$C$51)))</x:f>
        <x:v>0.07397616438836889</x:v>
      </x:c>
      <x:c r="L686" s="133" t="n">
        <x:f>(('Assumptions'!$B$17*(1+G686)+'Assumptions'!$B$18)*(1-H686-'Assumptions'!$B$20)-SUM('Assumptions'!$B$21:$B$25)*(1+I686))-(('Assumptions'!$B$17*(1+G686)+'Assumptions'!$B$18)*(1-H686-'Assumptions'!$B$20)*'Assumptions'!$B$26)</x:f>
        <x:v>208884.32476244133</x:v>
      </x:c>
      <x:c r="M686" s="133" t="n">
        <x:f>'Assumptions'!$B$10*'Assumptions'!$B$33</x:f>
        <x:v>1950000</x:v>
      </x:c>
      <x:c r="N686" s="133" t="n">
        <x:f>-PMT(K686/12,'Assumptions'!$B$35*12,M686)*12</x:f>
        <x:v>161978.82587761615</x:v>
      </x:c>
      <x:c r="O686" s="133" t="n">
        <x:f>(L686*(1+'Assumptions'!$B$29)^('Assumptions'!$B$14/12)/J686)*(1-'Assumptions'!$B$42)-'Debt Schedule'!$F$9</x:f>
        <x:v>3792671.015753075</x:v>
      </x:c>
      <x:c r="P686" s="132" t="n">
        <x:f>((O686+(L686-N686-'Assumptions'!$B$27-'Assumptions'!$B$28)*('Assumptions'!$B$14/12))/ABS('Monthly Cash Flow'!$S$5))^(1/('Assumptions'!$B$14/12))-1</x:f>
        <x:v>0.24209778360178635</x:v>
      </x:c>
      <x:c r="Q686" s="133" t="n">
        <x:f>-ABS('Monthly Cash Flow'!$S$5)+((L686-N686-'Assumptions'!$B$27-'Assumptions'!$B$28)*(1-(1+'Assumptions'!$B$43)^-('Assumptions'!$B$14/12))/'Assumptions'!$B$43)+(O686/(1+'Assumptions'!$B$43)^('Assumptions'!$B$14/12))</x:f>
        <x:v>1086627.5788382688</x:v>
      </x:c>
    </x:row>
    <x:row r="687">
      <x:c r="A687" s="131" t="n">
        <x:f>680</x:f>
        <x:v>680</x:v>
      </x:c>
      <x:c r="B687" s="131" t="n">
        <x:f>MOD(ABS(SIN((A687+1)*12.9898+78.233)*43758.5453),1)</x:f>
        <x:v>0.7956259804195724</x:v>
      </x:c>
      <x:c r="C687" s="131" t="n">
        <x:f>MOD(ABS(SIN((A687+2)*12.9898+78.233)*43758.5453),1)</x:f>
        <x:v>0.6542086083100003</x:v>
      </x:c>
      <x:c r="D687" s="131" t="n">
        <x:f>MOD(ABS(SIN((A687+3)*12.9898+78.233)*43758.5453),1)</x:f>
        <x:v>0.028157989974715747</x:v>
      </x:c>
      <x:c r="E687" s="131" t="n">
        <x:f>MOD(ABS(SIN((A687+4)*12.9898+78.233)*43758.5453),1)</x:f>
        <x:v>0.7474806200680177</x:v>
      </x:c>
      <x:c r="F687" s="131" t="n">
        <x:f>MOD(ABS(SIN((A687+5)*12.9898+78.233)*43758.5453),1)</x:f>
        <x:v>0.9153563164472871</x:v>
      </x:c>
      <x:c r="G687" s="132" t="n">
        <x:f>IF(B687&lt;(('Assumptions'!$C$47-'Assumptions'!$B$47)/('Assumptions'!$D$47-'Assumptions'!$B$47)),'Assumptions'!$B$47+SQRT(B687*('Assumptions'!$D$47-'Assumptions'!$B$47)*('Assumptions'!$C$47-'Assumptions'!$B$47)),'Assumptions'!$D$47-SQRT((1-B687)*('Assumptions'!$D$47-'Assumptions'!$B$47)*('Assumptions'!$D$47-'Assumptions'!$C$47)))</x:f>
        <x:v>0.04281622333837297</x:v>
      </x:c>
      <x:c r="H687" s="132" t="n">
        <x:f>IF(C687&lt;(('Assumptions'!$C$48-'Assumptions'!$B$48)/('Assumptions'!$D$48-'Assumptions'!$B$48)),'Assumptions'!$B$48+SQRT(C687*('Assumptions'!$D$48-'Assumptions'!$B$48)*('Assumptions'!$C$48-'Assumptions'!$B$48)),'Assumptions'!$D$48-SQRT((1-C687)*('Assumptions'!$D$48-'Assumptions'!$B$48)*('Assumptions'!$D$48-'Assumptions'!$C$48)))</x:f>
        <x:v>0.08483693040745469</x:v>
      </x:c>
      <x:c r="I687" s="132" t="n">
        <x:f>IF(D687&lt;(('Assumptions'!$C$49-'Assumptions'!$B$49)/('Assumptions'!$D$49-'Assumptions'!$B$49)),'Assumptions'!$B$49+SQRT(D687*('Assumptions'!$D$49-'Assumptions'!$B$49)*('Assumptions'!$C$49-'Assumptions'!$B$49)),'Assumptions'!$D$49-SQRT((1-D687)*('Assumptions'!$D$49-'Assumptions'!$B$49)*('Assumptions'!$D$49-'Assumptions'!$C$49)))</x:f>
        <x:v>-0.012561356367912953</x:v>
      </x:c>
      <x:c r="J687" s="132" t="n">
        <x:f>IF(E687&lt;(('Assumptions'!$C$50-'Assumptions'!$B$50)/('Assumptions'!$D$50-'Assumptions'!$B$50)),'Assumptions'!$B$50+SQRT(E687*('Assumptions'!$D$50-'Assumptions'!$B$50)*('Assumptions'!$C$50-'Assumptions'!$B$50)),'Assumptions'!$D$50-SQRT((1-E687)*('Assumptions'!$D$50-'Assumptions'!$B$50)*('Assumptions'!$D$50-'Assumptions'!$C$50)))</x:f>
        <x:v>0.07157259971249319</x:v>
      </x:c>
      <x:c r="K687" s="132" t="n">
        <x:f>IF(F687&lt;(('Assumptions'!$C$51-'Assumptions'!$B$51)/('Assumptions'!$D$51-'Assumptions'!$B$51)),'Assumptions'!$B$51+SQRT(F687*('Assumptions'!$D$51-'Assumptions'!$B$51)*('Assumptions'!$C$51-'Assumptions'!$B$51)),'Assumptions'!$D$51-SQRT((1-F687)*('Assumptions'!$D$51-'Assumptions'!$B$51)*('Assumptions'!$D$51-'Assumptions'!$C$51)))</x:f>
        <x:v>0.07861762013746103</x:v>
      </x:c>
      <x:c r="L687" s="133" t="n">
        <x:f>(('Assumptions'!$B$17*(1+G687)+'Assumptions'!$B$18)*(1-H687-'Assumptions'!$B$20)-SUM('Assumptions'!$B$21:$B$25)*(1+I687))-(('Assumptions'!$B$17*(1+G687)+'Assumptions'!$B$18)*(1-H687-'Assumptions'!$B$20)*'Assumptions'!$B$26)</x:f>
        <x:v>217442.26312472302</x:v>
      </x:c>
      <x:c r="M687" s="133" t="n">
        <x:f>'Assumptions'!$B$10*'Assumptions'!$B$33</x:f>
        <x:v>1950000</x:v>
      </x:c>
      <x:c r="N687" s="133" t="n">
        <x:f>-PMT(K687/12,'Assumptions'!$B$35*12,M687)*12</x:f>
        <x:v>169451.27672766402</x:v>
      </x:c>
      <x:c r="O687" s="133" t="n">
        <x:f>(L687*(1+'Assumptions'!$B$29)^('Assumptions'!$B$14/12)/J687)*(1-'Assumptions'!$B$42)-'Debt Schedule'!$F$9</x:f>
        <x:v>3310633.7977324207</x:v>
      </x:c>
      <x:c r="P687" s="132" t="n">
        <x:f>((O687+(L687-N687-'Assumptions'!$B$27-'Assumptions'!$B$28)*('Assumptions'!$B$14/12))/ABS('Monthly Cash Flow'!$S$5))^(1/('Assumptions'!$B$14/12))-1</x:f>
        <x:v>0.20949426578897867</x:v>
      </x:c>
      <x:c r="Q687" s="133" t="n">
        <x:f>-ABS('Monthly Cash Flow'!$S$5)+((L687-N687-'Assumptions'!$B$27-'Assumptions'!$B$28)*(1-(1+'Assumptions'!$B$43)^-('Assumptions'!$B$14/12))/'Assumptions'!$B$43)+(O687/(1+'Assumptions'!$B$43)^('Assumptions'!$B$14/12))</x:f>
        <x:v>791435.2433608638</x:v>
      </x:c>
    </x:row>
    <x:row r="688">
      <x:c r="A688" s="131" t="n">
        <x:f>681</x:f>
        <x:v>681</x:v>
      </x:c>
      <x:c r="B688" s="131" t="n">
        <x:f>MOD(ABS(SIN((A688+1)*12.9898+78.233)*43758.5453),1)</x:f>
        <x:v>0.6542086083100003</x:v>
      </x:c>
      <x:c r="C688" s="131" t="n">
        <x:f>MOD(ABS(SIN((A688+2)*12.9898+78.233)*43758.5453),1)</x:f>
        <x:v>0.028157989974715747</x:v>
      </x:c>
      <x:c r="D688" s="131" t="n">
        <x:f>MOD(ABS(SIN((A688+3)*12.9898+78.233)*43758.5453),1)</x:f>
        <x:v>0.7474806200680177</x:v>
      </x:c>
      <x:c r="E688" s="131" t="n">
        <x:f>MOD(ABS(SIN((A688+4)*12.9898+78.233)*43758.5453),1)</x:f>
        <x:v>0.9153563164472871</x:v>
      </x:c>
      <x:c r="F688" s="131" t="n">
        <x:f>MOD(ABS(SIN((A688+5)*12.9898+78.233)*43758.5453),1)</x:f>
        <x:v>0.17955965351575287</x:v>
      </x:c>
      <x:c r="G688" s="132" t="n">
        <x:f>IF(B688&lt;(('Assumptions'!$C$47-'Assumptions'!$B$47)/('Assumptions'!$D$47-'Assumptions'!$B$47)),'Assumptions'!$B$47+SQRT(B688*('Assumptions'!$D$47-'Assumptions'!$B$47)*('Assumptions'!$C$47-'Assumptions'!$B$47)),'Assumptions'!$D$47-SQRT((1-B688)*('Assumptions'!$D$47-'Assumptions'!$B$47)*('Assumptions'!$D$47-'Assumptions'!$C$47)))</x:f>
        <x:v>0.025618132135311403</x:v>
      </x:c>
      <x:c r="H688" s="132" t="n">
        <x:f>IF(C688&lt;(('Assumptions'!$C$48-'Assumptions'!$B$48)/('Assumptions'!$D$48-'Assumptions'!$B$48)),'Assumptions'!$B$48+SQRT(C688*('Assumptions'!$D$48-'Assumptions'!$B$48)*('Assumptions'!$C$48-'Assumptions'!$B$48)),'Assumptions'!$D$48-SQRT((1-C688)*('Assumptions'!$D$48-'Assumptions'!$B$48)*('Assumptions'!$D$48-'Assumptions'!$C$48)))</x:f>
        <x:v>0.039639572963392204</x:v>
      </x:c>
      <x:c r="I688" s="132" t="n">
        <x:f>IF(D688&lt;(('Assumptions'!$C$49-'Assumptions'!$B$49)/('Assumptions'!$D$49-'Assumptions'!$B$49)),'Assumptions'!$B$49+SQRT(D688*('Assumptions'!$D$49-'Assumptions'!$B$49)*('Assumptions'!$C$49-'Assumptions'!$B$49)),'Assumptions'!$D$49-SQRT((1-D688)*('Assumptions'!$D$49-'Assumptions'!$B$49)*('Assumptions'!$D$49-'Assumptions'!$C$49)))</x:f>
        <x:v>0.07614596418251188</x:v>
      </x:c>
      <x:c r="J688" s="132" t="n">
        <x:f>IF(E688&lt;(('Assumptions'!$C$50-'Assumptions'!$B$50)/('Assumptions'!$D$50-'Assumptions'!$B$50)),'Assumptions'!$B$50+SQRT(E688*('Assumptions'!$D$50-'Assumptions'!$B$50)*('Assumptions'!$C$50-'Assumptions'!$B$50)),'Assumptions'!$D$50-SQRT((1-E688)*('Assumptions'!$D$50-'Assumptions'!$B$50)*('Assumptions'!$D$50-'Assumptions'!$C$50)))</x:f>
        <x:v>0.07512085704255343</x:v>
      </x:c>
      <x:c r="K688" s="132" t="n">
        <x:f>IF(F688&lt;(('Assumptions'!$C$51-'Assumptions'!$B$51)/('Assumptions'!$D$51-'Assumptions'!$B$51)),'Assumptions'!$B$51+SQRT(F688*('Assumptions'!$D$51-'Assumptions'!$B$51)*('Assumptions'!$C$51-'Assumptions'!$B$51)),'Assumptions'!$D$51-SQRT((1-F688)*('Assumptions'!$D$51-'Assumptions'!$B$51)*('Assumptions'!$D$51-'Assumptions'!$C$51)))</x:f>
        <x:v>0.0645270125029654</x:v>
      </x:c>
      <x:c r="L688" s="133" t="n">
        <x:f>(('Assumptions'!$B$17*(1+G688)+'Assumptions'!$B$18)*(1-H688-'Assumptions'!$B$20)-SUM('Assumptions'!$B$21:$B$25)*(1+I688))-(('Assumptions'!$B$17*(1+G688)+'Assumptions'!$B$18)*(1-H688-'Assumptions'!$B$20)*'Assumptions'!$B$26)</x:f>
        <x:v>217686.53650506356</x:v>
      </x:c>
      <x:c r="M688" s="133" t="n">
        <x:f>'Assumptions'!$B$10*'Assumptions'!$B$33</x:f>
        <x:v>1950000</x:v>
      </x:c>
      <x:c r="N688" s="133" t="n">
        <x:f>-PMT(K688/12,'Assumptions'!$B$35*12,M688)*12</x:f>
        <x:v>147176.78781601918</x:v>
      </x:c>
      <x:c r="O688" s="133" t="n">
        <x:f>(L688*(1+'Assumptions'!$B$29)^('Assumptions'!$B$14/12)/J688)*(1-'Assumptions'!$B$42)-'Debt Schedule'!$F$9</x:f>
        <x:v>3157802.8519354686</x:v>
      </x:c>
      <x:c r="P688" s="132" t="n">
        <x:f>((O688+(L688-N688-'Assumptions'!$B$27-'Assumptions'!$B$28)*('Assumptions'!$B$14/12))/ABS('Monthly Cash Flow'!$S$5))^(1/('Assumptions'!$B$14/12))-1</x:f>
        <x:v>0.20657525302897906</x:v>
      </x:c>
      <x:c r="Q688" s="133" t="n">
        <x:f>-ABS('Monthly Cash Flow'!$S$5)+((L688-N688-'Assumptions'!$B$27-'Assumptions'!$B$28)*(1-(1+'Assumptions'!$B$43)^-('Assumptions'!$B$14/12))/'Assumptions'!$B$43)+(O688/(1+'Assumptions'!$B$43)^('Assumptions'!$B$14/12))</x:f>
        <x:v>781903.0764521505</x:v>
      </x:c>
    </x:row>
    <x:row r="689">
      <x:c r="A689" s="131" t="n">
        <x:f>682</x:f>
        <x:v>682</x:v>
      </x:c>
      <x:c r="B689" s="131" t="n">
        <x:f>MOD(ABS(SIN((A689+1)*12.9898+78.233)*43758.5453),1)</x:f>
        <x:v>0.028157989974715747</x:v>
      </x:c>
      <x:c r="C689" s="131" t="n">
        <x:f>MOD(ABS(SIN((A689+2)*12.9898+78.233)*43758.5453),1)</x:f>
        <x:v>0.7474806200680177</x:v>
      </x:c>
      <x:c r="D689" s="131" t="n">
        <x:f>MOD(ABS(SIN((A689+3)*12.9898+78.233)*43758.5453),1)</x:f>
        <x:v>0.9153563164472871</x:v>
      </x:c>
      <x:c r="E689" s="131" t="n">
        <x:f>MOD(ABS(SIN((A689+4)*12.9898+78.233)*43758.5453),1)</x:f>
        <x:v>0.17955965351575287</x:v>
      </x:c>
      <x:c r="F689" s="131" t="n">
        <x:f>MOD(ABS(SIN((A689+5)*12.9898+78.233)*43758.5453),1)</x:f>
        <x:v>0.09243803059507627</x:v>
      </x:c>
      <x:c r="G689" s="132" t="n">
        <x:f>IF(B689&lt;(('Assumptions'!$C$47-'Assumptions'!$B$47)/('Assumptions'!$D$47-'Assumptions'!$B$47)),'Assumptions'!$B$47+SQRT(B689*('Assumptions'!$D$47-'Assumptions'!$B$47)*('Assumptions'!$C$47-'Assumptions'!$B$47)),'Assumptions'!$D$47-SQRT((1-B689)*('Assumptions'!$D$47-'Assumptions'!$B$47)*('Assumptions'!$D$47-'Assumptions'!$C$47)))</x:f>
        <x:v>-0.07400400493550635</x:v>
      </x:c>
      <x:c r="H689" s="132" t="n">
        <x:f>IF(C689&lt;(('Assumptions'!$C$48-'Assumptions'!$B$48)/('Assumptions'!$D$48-'Assumptions'!$B$48)),'Assumptions'!$B$48+SQRT(C689*('Assumptions'!$D$48-'Assumptions'!$B$48)*('Assumptions'!$C$48-'Assumptions'!$B$48)),'Assumptions'!$D$48-SQRT((1-C689)*('Assumptions'!$D$48-'Assumptions'!$B$48)*('Assumptions'!$D$48-'Assumptions'!$C$48)))</x:f>
        <x:v>0.0928600960607529</x:v>
      </x:c>
      <x:c r="I689" s="132" t="n">
        <x:f>IF(D689&lt;(('Assumptions'!$C$49-'Assumptions'!$B$49)/('Assumptions'!$D$49-'Assumptions'!$B$49)),'Assumptions'!$B$49+SQRT(D689*('Assumptions'!$D$49-'Assumptions'!$B$49)*('Assumptions'!$C$49-'Assumptions'!$B$49)),'Assumptions'!$D$49-SQRT((1-D689)*('Assumptions'!$D$49-'Assumptions'!$B$49)*('Assumptions'!$D$49-'Assumptions'!$C$49)))</x:f>
        <x:v>0.10724133345462468</x:v>
      </x:c>
      <x:c r="J689" s="132" t="n">
        <x:f>IF(E689&lt;(('Assumptions'!$C$50-'Assumptions'!$B$50)/('Assumptions'!$D$50-'Assumptions'!$B$50)),'Assumptions'!$B$50+SQRT(E689*('Assumptions'!$D$50-'Assumptions'!$B$50)*('Assumptions'!$C$50-'Assumptions'!$B$50)),'Assumptions'!$D$50-SQRT((1-E689)*('Assumptions'!$D$50-'Assumptions'!$B$50)*('Assumptions'!$D$50-'Assumptions'!$C$50)))</x:f>
        <x:v>0.06385617196440156</x:v>
      </x:c>
      <x:c r="K689" s="132" t="n">
        <x:f>IF(F689&lt;(('Assumptions'!$C$51-'Assumptions'!$B$51)/('Assumptions'!$D$51-'Assumptions'!$B$51)),'Assumptions'!$B$51+SQRT(F689*('Assumptions'!$D$51-'Assumptions'!$B$51)*('Assumptions'!$C$51-'Assumptions'!$B$51)),'Assumptions'!$D$51-SQRT((1-F689)*('Assumptions'!$D$51-'Assumptions'!$B$51)*('Assumptions'!$D$51-'Assumptions'!$C$51)))</x:f>
        <x:v>0.0625418705272593</x:v>
      </x:c>
      <x:c r="L689" s="133" t="n">
        <x:f>(('Assumptions'!$B$17*(1+G689)+'Assumptions'!$B$18)*(1-H689-'Assumptions'!$B$20)-SUM('Assumptions'!$B$21:$B$25)*(1+I689))-(('Assumptions'!$B$17*(1+G689)+'Assumptions'!$B$18)*(1-H689-'Assumptions'!$B$20)*'Assumptions'!$B$26)</x:f>
        <x:v>163096.66383042277</x:v>
      </x:c>
      <x:c r="M689" s="133" t="n">
        <x:f>'Assumptions'!$B$10*'Assumptions'!$B$33</x:f>
        <x:v>1950000</x:v>
      </x:c>
      <x:c r="N689" s="133" t="n">
        <x:f>-PMT(K689/12,'Assumptions'!$B$35*12,M689)*12</x:f>
        <x:v>144141.55349119948</x:v>
      </x:c>
      <x:c r="O689" s="133" t="n">
        <x:f>(L689*(1+'Assumptions'!$B$29)^('Assumptions'!$B$14/12)/J689)*(1-'Assumptions'!$B$42)-'Debt Schedule'!$F$9</x:f>
        <x:v>2783275.3589348574</x:v>
      </x:c>
      <x:c r="P689" s="132" t="n">
        <x:f>((O689+(L689-N689-'Assumptions'!$B$27-'Assumptions'!$B$28)*('Assumptions'!$B$14/12))/ABS('Monthly Cash Flow'!$S$5))^(1/('Assumptions'!$B$14/12))-1</x:f>
        <x:v>0.15649392240566984</x:v>
      </x:c>
      <x:c r="Q689" s="133" t="n">
        <x:f>-ABS('Monthly Cash Flow'!$S$5)+((L689-N689-'Assumptions'!$B$27-'Assumptions'!$B$28)*(1-(1+'Assumptions'!$B$43)^-('Assumptions'!$B$14/12))/'Assumptions'!$B$43)+(O689/(1+'Assumptions'!$B$43)^('Assumptions'!$B$14/12))</x:f>
        <x:v>353918.3290180431</x:v>
      </x:c>
    </x:row>
    <x:row r="690">
      <x:c r="A690" s="131" t="n">
        <x:f>683</x:f>
        <x:v>683</x:v>
      </x:c>
      <x:c r="B690" s="131" t="n">
        <x:f>MOD(ABS(SIN((A690+1)*12.9898+78.233)*43758.5453),1)</x:f>
        <x:v>0.7474806200680177</x:v>
      </x:c>
      <x:c r="C690" s="131" t="n">
        <x:f>MOD(ABS(SIN((A690+2)*12.9898+78.233)*43758.5453),1)</x:f>
        <x:v>0.9153563164472871</x:v>
      </x:c>
      <x:c r="D690" s="131" t="n">
        <x:f>MOD(ABS(SIN((A690+3)*12.9898+78.233)*43758.5453),1)</x:f>
        <x:v>0.17955965351575287</x:v>
      </x:c>
      <x:c r="E690" s="131" t="n">
        <x:f>MOD(ABS(SIN((A690+4)*12.9898+78.233)*43758.5453),1)</x:f>
        <x:v>0.09243803059507627</x:v>
      </x:c>
      <x:c r="F690" s="131" t="n">
        <x:f>MOD(ABS(SIN((A690+5)*12.9898+78.233)*43758.5453),1)</x:f>
        <x:v>0.20810172316123499</x:v>
      </x:c>
      <x:c r="G690" s="132" t="n">
        <x:f>IF(B690&lt;(('Assumptions'!$C$47-'Assumptions'!$B$47)/('Assumptions'!$D$47-'Assumptions'!$B$47)),'Assumptions'!$B$47+SQRT(B690*('Assumptions'!$D$47-'Assumptions'!$B$47)*('Assumptions'!$C$47-'Assumptions'!$B$47)),'Assumptions'!$D$47-SQRT((1-B690)*('Assumptions'!$D$47-'Assumptions'!$B$47)*('Assumptions'!$D$47-'Assumptions'!$C$47)))</x:f>
        <x:v>0.036436566495258324</x:v>
      </x:c>
      <x:c r="H690" s="132" t="n">
        <x:f>IF(C690&lt;(('Assumptions'!$C$48-'Assumptions'!$B$48)/('Assumptions'!$D$48-'Assumptions'!$B$48)),'Assumptions'!$B$48+SQRT(C690*('Assumptions'!$D$48-'Assumptions'!$B$48)*('Assumptions'!$C$48-'Assumptions'!$B$48)),'Assumptions'!$D$48-SQRT((1-C690)*('Assumptions'!$D$48-'Assumptions'!$B$48)*('Assumptions'!$D$48-'Assumptions'!$C$48)))</x:f>
        <x:v>0.11270779570529575</x:v>
      </x:c>
      <x:c r="I690" s="132" t="n">
        <x:f>IF(D690&lt;(('Assumptions'!$C$49-'Assumptions'!$B$49)/('Assumptions'!$D$49-'Assumptions'!$B$49)),'Assumptions'!$B$49+SQRT(D690*('Assumptions'!$D$49-'Assumptions'!$B$49)*('Assumptions'!$C$49-'Assumptions'!$B$49)),'Assumptions'!$D$49-SQRT((1-D690)*('Assumptions'!$D$49-'Assumptions'!$B$49)*('Assumptions'!$D$49-'Assumptions'!$C$49)))</x:f>
        <x:v>0.014036851135953522</x:v>
      </x:c>
      <x:c r="J690" s="132" t="n">
        <x:f>IF(E690&lt;(('Assumptions'!$C$50-'Assumptions'!$B$50)/('Assumptions'!$D$50-'Assumptions'!$B$50)),'Assumptions'!$B$50+SQRT(E690*('Assumptions'!$D$50-'Assumptions'!$B$50)*('Assumptions'!$C$50-'Assumptions'!$B$50)),'Assumptions'!$D$50-SQRT((1-E690)*('Assumptions'!$D$50-'Assumptions'!$B$50)*('Assumptions'!$D$50-'Assumptions'!$C$50)))</x:f>
        <x:v>0.062060543485582854</x:v>
      </x:c>
      <x:c r="K690" s="132" t="n">
        <x:f>IF(F690&lt;(('Assumptions'!$C$51-'Assumptions'!$B$51)/('Assumptions'!$D$51-'Assumptions'!$B$51)),'Assumptions'!$B$51+SQRT(F690*('Assumptions'!$D$51-'Assumptions'!$B$51)*('Assumptions'!$C$51-'Assumptions'!$B$51)),'Assumptions'!$D$51-SQRT((1-F690)*('Assumptions'!$D$51-'Assumptions'!$B$51)*('Assumptions'!$D$51-'Assumptions'!$C$51)))</x:f>
        <x:v>0.06506491730750176</x:v>
      </x:c>
      <x:c r="L690" s="133" t="n">
        <x:f>(('Assumptions'!$B$17*(1+G690)+'Assumptions'!$B$18)*(1-H690-'Assumptions'!$B$20)-SUM('Assumptions'!$B$21:$B$25)*(1+I690))-(('Assumptions'!$B$17*(1+G690)+'Assumptions'!$B$18)*(1-H690-'Assumptions'!$B$20)*'Assumptions'!$B$26)</x:f>
        <x:v>201630.43409023143</x:v>
      </x:c>
      <x:c r="M690" s="133" t="n">
        <x:f>'Assumptions'!$B$10*'Assumptions'!$B$33</x:f>
        <x:v>1950000</x:v>
      </x:c>
      <x:c r="N690" s="133" t="n">
        <x:f>-PMT(K690/12,'Assumptions'!$B$35*12,M690)*12</x:f>
        <x:v>148003.83304807052</x:v>
      </x:c>
      <x:c r="O690" s="133" t="n">
        <x:f>(L690*(1+'Assumptions'!$B$29)^('Assumptions'!$B$14/12)/J690)*(1-'Assumptions'!$B$42)-'Debt Schedule'!$F$9</x:f>
        <x:v>3540417.572911898</x:v>
      </x:c>
      <x:c r="P690" s="132" t="n">
        <x:f>((O690+(L690-N690-'Assumptions'!$B$27-'Assumptions'!$B$28)*('Assumptions'!$B$14/12))/ABS('Monthly Cash Flow'!$S$5))^(1/('Assumptions'!$B$14/12))-1</x:f>
        <x:v>0.227569666572625</x:v>
      </x:c>
      <x:c r="Q690" s="133" t="n">
        <x:f>-ABS('Monthly Cash Flow'!$S$5)+((L690-N690-'Assumptions'!$B$27-'Assumptions'!$B$28)*(1-(1+'Assumptions'!$B$43)^-('Assumptions'!$B$14/12))/'Assumptions'!$B$43)+(O690/(1+'Assumptions'!$B$43)^('Assumptions'!$B$14/12))</x:f>
        <x:v>955476.3024969688</x:v>
      </x:c>
    </x:row>
    <x:row r="691">
      <x:c r="A691" s="131" t="n">
        <x:f>684</x:f>
        <x:v>684</x:v>
      </x:c>
      <x:c r="B691" s="131" t="n">
        <x:f>MOD(ABS(SIN((A691+1)*12.9898+78.233)*43758.5453),1)</x:f>
        <x:v>0.9153563164472871</x:v>
      </x:c>
      <x:c r="C691" s="131" t="n">
        <x:f>MOD(ABS(SIN((A691+2)*12.9898+78.233)*43758.5453),1)</x:f>
        <x:v>0.17955965351575287</x:v>
      </x:c>
      <x:c r="D691" s="131" t="n">
        <x:f>MOD(ABS(SIN((A691+3)*12.9898+78.233)*43758.5453),1)</x:f>
        <x:v>0.09243803059507627</x:v>
      </x:c>
      <x:c r="E691" s="131" t="n">
        <x:f>MOD(ABS(SIN((A691+4)*12.9898+78.233)*43758.5453),1)</x:f>
        <x:v>0.20810172316123499</x:v>
      </x:c>
      <x:c r="F691" s="131" t="n">
        <x:f>MOD(ABS(SIN((A691+5)*12.9898+78.233)*43758.5453),1)</x:f>
        <x:v>0.21492976196532254</x:v>
      </x:c>
      <x:c r="G691" s="132" t="n">
        <x:f>IF(B691&lt;(('Assumptions'!$C$47-'Assumptions'!$B$47)/('Assumptions'!$D$47-'Assumptions'!$B$47)),'Assumptions'!$B$47+SQRT(B691*('Assumptions'!$D$47-'Assumptions'!$B$47)*('Assumptions'!$C$47-'Assumptions'!$B$47)),'Assumptions'!$D$47-SQRT((1-B691)*('Assumptions'!$D$47-'Assumptions'!$B$47)*('Assumptions'!$D$47-'Assumptions'!$C$47)))</x:f>
        <x:v>0.06319919923638337</x:v>
      </x:c>
      <x:c r="H691" s="132" t="n">
        <x:f>IF(C691&lt;(('Assumptions'!$C$48-'Assumptions'!$B$48)/('Assumptions'!$D$48-'Assumptions'!$B$48)),'Assumptions'!$B$48+SQRT(C691*('Assumptions'!$D$48-'Assumptions'!$B$48)*('Assumptions'!$C$48-'Assumptions'!$B$48)),'Assumptions'!$D$48-SQRT((1-C691)*('Assumptions'!$D$48-'Assumptions'!$B$48)*('Assumptions'!$D$48-'Assumptions'!$C$48)))</x:f>
        <x:v>0.054342285361115635</x:v>
      </x:c>
      <x:c r="I691" s="132" t="n">
        <x:f>IF(D691&lt;(('Assumptions'!$C$49-'Assumptions'!$B$49)/('Assumptions'!$D$49-'Assumptions'!$B$49)),'Assumptions'!$B$49+SQRT(D691*('Assumptions'!$D$49-'Assumptions'!$B$49)*('Assumptions'!$C$49-'Assumptions'!$B$49)),'Assumptions'!$D$49-SQRT((1-D691)*('Assumptions'!$D$49-'Assumptions'!$B$49)*('Assumptions'!$D$49-'Assumptions'!$C$49)))</x:f>
        <x:v>0.0015963721086270227</x:v>
      </x:c>
      <x:c r="J691" s="132" t="n">
        <x:f>IF(E691&lt;(('Assumptions'!$C$50-'Assumptions'!$B$50)/('Assumptions'!$D$50-'Assumptions'!$B$50)),'Assumptions'!$B$50+SQRT(E691*('Assumptions'!$D$50-'Assumptions'!$B$50)*('Assumptions'!$C$50-'Assumptions'!$B$50)),'Assumptions'!$D$50-SQRT((1-E691)*('Assumptions'!$D$50-'Assumptions'!$B$50)*('Assumptions'!$D$50-'Assumptions'!$C$50)))</x:f>
        <x:v>0.06434272516701335</x:v>
      </x:c>
      <x:c r="K691" s="132" t="n">
        <x:f>IF(F691&lt;(('Assumptions'!$C$51-'Assumptions'!$B$51)/('Assumptions'!$D$51-'Assumptions'!$B$51)),'Assumptions'!$B$51+SQRT(F691*('Assumptions'!$D$51-'Assumptions'!$B$51)*('Assumptions'!$C$51-'Assumptions'!$B$51)),'Assumptions'!$D$51-SQRT((1-F691)*('Assumptions'!$D$51-'Assumptions'!$B$51)*('Assumptions'!$D$51-'Assumptions'!$C$51)))</x:f>
        <x:v>0.06518802214750086</x:v>
      </x:c>
      <x:c r="L691" s="133" t="n">
        <x:f>(('Assumptions'!$B$17*(1+G691)+'Assumptions'!$B$18)*(1-H691-'Assumptions'!$B$20)-SUM('Assumptions'!$B$21:$B$25)*(1+I691))-(('Assumptions'!$B$17*(1+G691)+'Assumptions'!$B$18)*(1-H691-'Assumptions'!$B$20)*'Assumptions'!$B$26)</x:f>
        <x:v>233766.63061542617</x:v>
      </x:c>
      <x:c r="M691" s="133" t="n">
        <x:f>'Assumptions'!$B$10*'Assumptions'!$B$33</x:f>
        <x:v>1950000</x:v>
      </x:c>
      <x:c r="N691" s="133" t="n">
        <x:f>-PMT(K691/12,'Assumptions'!$B$35*12,M691)*12</x:f>
        <x:v>148193.38381407276</x:v>
      </x:c>
      <x:c r="O691" s="133" t="n">
        <x:f>(L691*(1+'Assumptions'!$B$29)^('Assumptions'!$B$14/12)/J691)*(1-'Assumptions'!$B$42)-'Debt Schedule'!$F$9</x:f>
        <x:v>3959105.2133581396</x:v>
      </x:c>
      <x:c r="P691" s="132" t="n">
        <x:f>((O691+(L691-N691-'Assumptions'!$B$27-'Assumptions'!$B$28)*('Assumptions'!$B$14/12))/ABS('Monthly Cash Flow'!$S$5))^(1/('Assumptions'!$B$14/12))-1</x:f>
        <x:v>0.2646186692349928</x:v>
      </x:c>
      <x:c r="Q691" s="133" t="n">
        <x:f>-ABS('Monthly Cash Flow'!$S$5)+((L691-N691-'Assumptions'!$B$27-'Assumptions'!$B$28)*(1-(1+'Assumptions'!$B$43)^-('Assumptions'!$B$14/12))/'Assumptions'!$B$43)+(O691/(1+'Assumptions'!$B$43)^('Assumptions'!$B$14/12))</x:f>
        <x:v>1336551.3082222906</x:v>
      </x:c>
    </x:row>
    <x:row r="692">
      <x:c r="A692" s="131" t="n">
        <x:f>685</x:f>
        <x:v>685</x:v>
      </x:c>
      <x:c r="B692" s="131" t="n">
        <x:f>MOD(ABS(SIN((A692+1)*12.9898+78.233)*43758.5453),1)</x:f>
        <x:v>0.17955965351575287</x:v>
      </x:c>
      <x:c r="C692" s="131" t="n">
        <x:f>MOD(ABS(SIN((A692+2)*12.9898+78.233)*43758.5453),1)</x:f>
        <x:v>0.09243803059507627</x:v>
      </x:c>
      <x:c r="D692" s="131" t="n">
        <x:f>MOD(ABS(SIN((A692+3)*12.9898+78.233)*43758.5453),1)</x:f>
        <x:v>0.20810172316123499</x:v>
      </x:c>
      <x:c r="E692" s="131" t="n">
        <x:f>MOD(ABS(SIN((A692+4)*12.9898+78.233)*43758.5453),1)</x:f>
        <x:v>0.21492976196532254</x:v>
      </x:c>
      <x:c r="F692" s="131" t="n">
        <x:f>MOD(ABS(SIN((A692+5)*12.9898+78.233)*43758.5453),1)</x:f>
        <x:v>0.9449718515388668</x:v>
      </x:c>
      <x:c r="G692" s="132" t="n">
        <x:f>IF(B692&lt;(('Assumptions'!$C$47-'Assumptions'!$B$47)/('Assumptions'!$D$47-'Assumptions'!$B$47)),'Assumptions'!$B$47+SQRT(B692*('Assumptions'!$D$47-'Assumptions'!$B$47)*('Assumptions'!$C$47-'Assumptions'!$B$47)),'Assumptions'!$D$47-SQRT((1-B692)*('Assumptions'!$D$47-'Assumptions'!$B$47)*('Assumptions'!$D$47-'Assumptions'!$C$47)))</x:f>
        <x:v>-0.034353738229979405</x:v>
      </x:c>
      <x:c r="H692" s="132" t="n">
        <x:f>IF(C692&lt;(('Assumptions'!$C$48-'Assumptions'!$B$48)/('Assumptions'!$D$48-'Assumptions'!$B$48)),'Assumptions'!$B$48+SQRT(C692*('Assumptions'!$D$48-'Assumptions'!$B$48)*('Assumptions'!$C$48-'Assumptions'!$B$48)),'Assumptions'!$D$48-SQRT((1-C692)*('Assumptions'!$D$48-'Assumptions'!$B$48)*('Assumptions'!$D$48-'Assumptions'!$C$48)))</x:f>
        <x:v>0.047465551836794385</x:v>
      </x:c>
      <x:c r="I692" s="132" t="n">
        <x:f>IF(D692&lt;(('Assumptions'!$C$49-'Assumptions'!$B$49)/('Assumptions'!$D$49-'Assumptions'!$B$49)),'Assumptions'!$B$49+SQRT(D692*('Assumptions'!$D$49-'Assumptions'!$B$49)*('Assumptions'!$C$49-'Assumptions'!$B$49)),'Assumptions'!$D$49-SQRT((1-D692)*('Assumptions'!$D$49-'Assumptions'!$B$49)*('Assumptions'!$D$49-'Assumptions'!$C$49)))</x:f>
        <x:v>0.01740779060598941</x:v>
      </x:c>
      <x:c r="J692" s="132" t="n">
        <x:f>IF(E692&lt;(('Assumptions'!$C$50-'Assumptions'!$B$50)/('Assumptions'!$D$50-'Assumptions'!$B$50)),'Assumptions'!$B$50+SQRT(E692*('Assumptions'!$D$50-'Assumptions'!$B$50)*('Assumptions'!$C$50-'Assumptions'!$B$50)),'Assumptions'!$D$50-SQRT((1-E692)*('Assumptions'!$D$50-'Assumptions'!$B$50)*('Assumptions'!$D$50-'Assumptions'!$C$50)))</x:f>
        <x:v>0.06445407768450984</x:v>
      </x:c>
      <x:c r="K692" s="132" t="n">
        <x:f>IF(F692&lt;(('Assumptions'!$C$51-'Assumptions'!$B$51)/('Assumptions'!$D$51-'Assumptions'!$B$51)),'Assumptions'!$B$51+SQRT(F692*('Assumptions'!$D$51-'Assumptions'!$B$51)*('Assumptions'!$C$51-'Assumptions'!$B$51)),'Assumptions'!$D$51-SQRT((1-F692)*('Assumptions'!$D$51-'Assumptions'!$B$51)*('Assumptions'!$D$51-'Assumptions'!$C$51)))</x:f>
        <x:v>0.07985390473786966</x:v>
      </x:c>
      <x:c r="L692" s="133" t="n">
        <x:f>(('Assumptions'!$B$17*(1+G692)+'Assumptions'!$B$18)*(1-H692-'Assumptions'!$B$20)-SUM('Assumptions'!$B$21:$B$25)*(1+I692))-(('Assumptions'!$B$17*(1+G692)+'Assumptions'!$B$18)*(1-H692-'Assumptions'!$B$20)*'Assumptions'!$B$26)</x:f>
        <x:v>202643.13549588315</x:v>
      </x:c>
      <x:c r="M692" s="133" t="n">
        <x:f>'Assumptions'!$B$10*'Assumptions'!$B$33</x:f>
        <x:v>1950000</x:v>
      </x:c>
      <x:c r="N692" s="133" t="n">
        <x:f>-PMT(K692/12,'Assumptions'!$B$35*12,M692)*12</x:f>
        <x:v>171462.650782592</x:v>
      </x:c>
      <x:c r="O692" s="133" t="n">
        <x:f>(L692*(1+'Assumptions'!$B$29)^('Assumptions'!$B$14/12)/J692)*(1-'Assumptions'!$B$42)-'Debt Schedule'!$F$9</x:f>
        <x:v>3426064.032708909</x:v>
      </x:c>
      <x:c r="P692" s="132" t="n">
        <x:f>((O692+(L692-N692-'Assumptions'!$B$27-'Assumptions'!$B$28)*('Assumptions'!$B$14/12))/ABS('Monthly Cash Flow'!$S$5))^(1/('Assumptions'!$B$14/12))-1</x:f>
        <x:v>0.2117511713243907</x:v>
      </x:c>
      <x:c r="Q692" s="133" t="n">
        <x:f>-ABS('Monthly Cash Flow'!$S$5)+((L692-N692-'Assumptions'!$B$27-'Assumptions'!$B$28)*(1-(1+'Assumptions'!$B$43)^-('Assumptions'!$B$14/12))/'Assumptions'!$B$43)+(O692/(1+'Assumptions'!$B$43)^('Assumptions'!$B$14/12))</x:f>
        <x:v>799383.3102135481</x:v>
      </x:c>
    </x:row>
    <x:row r="693">
      <x:c r="A693" s="131" t="n">
        <x:f>686</x:f>
        <x:v>686</x:v>
      </x:c>
      <x:c r="B693" s="131" t="n">
        <x:f>MOD(ABS(SIN((A693+1)*12.9898+78.233)*43758.5453),1)</x:f>
        <x:v>0.09243803059507627</x:v>
      </x:c>
      <x:c r="C693" s="131" t="n">
        <x:f>MOD(ABS(SIN((A693+2)*12.9898+78.233)*43758.5453),1)</x:f>
        <x:v>0.20810172316123499</x:v>
      </x:c>
      <x:c r="D693" s="131" t="n">
        <x:f>MOD(ABS(SIN((A693+3)*12.9898+78.233)*43758.5453),1)</x:f>
        <x:v>0.21492976196532254</x:v>
      </x:c>
      <x:c r="E693" s="131" t="n">
        <x:f>MOD(ABS(SIN((A693+4)*12.9898+78.233)*43758.5453),1)</x:f>
        <x:v>0.9449718515388668</x:v>
      </x:c>
      <x:c r="F693" s="131" t="n">
        <x:f>MOD(ABS(SIN((A693+5)*12.9898+78.233)*43758.5453),1)</x:f>
        <x:v>0.25238127791817533</x:v>
      </x:c>
      <x:c r="G693" s="132" t="n">
        <x:f>IF(B693&lt;(('Assumptions'!$C$47-'Assumptions'!$B$47)/('Assumptions'!$D$47-'Assumptions'!$B$47)),'Assumptions'!$B$47+SQRT(B693*('Assumptions'!$D$47-'Assumptions'!$B$47)*('Assumptions'!$C$47-'Assumptions'!$B$47)),'Assumptions'!$D$47-SQRT((1-B693)*('Assumptions'!$D$47-'Assumptions'!$B$47)*('Assumptions'!$D$47-'Assumptions'!$C$47)))</x:f>
        <x:v>-0.052898909415154405</x:v>
      </x:c>
      <x:c r="H693" s="132" t="n">
        <x:f>IF(C693&lt;(('Assumptions'!$C$48-'Assumptions'!$B$48)/('Assumptions'!$D$48-'Assumptions'!$B$48)),'Assumptions'!$B$48+SQRT(C693*('Assumptions'!$D$48-'Assumptions'!$B$48)*('Assumptions'!$C$48-'Assumptions'!$B$48)),'Assumptions'!$D$48-SQRT((1-C693)*('Assumptions'!$D$48-'Assumptions'!$B$48)*('Assumptions'!$D$48-'Assumptions'!$C$48)))</x:f>
        <x:v>0.05620564226330039</x:v>
      </x:c>
      <x:c r="I693" s="132" t="n">
        <x:f>IF(D693&lt;(('Assumptions'!$C$49-'Assumptions'!$B$49)/('Assumptions'!$D$49-'Assumptions'!$B$49)),'Assumptions'!$B$49+SQRT(D693*('Assumptions'!$D$49-'Assumptions'!$B$49)*('Assumptions'!$C$49-'Assumptions'!$B$49)),'Assumptions'!$D$49-SQRT((1-D693)*('Assumptions'!$D$49-'Assumptions'!$B$49)*('Assumptions'!$D$49-'Assumptions'!$C$49)))</x:f>
        <x:v>0.018179263477407823</x:v>
      </x:c>
      <x:c r="J693" s="132" t="n">
        <x:f>IF(E693&lt;(('Assumptions'!$C$50-'Assumptions'!$B$50)/('Assumptions'!$D$50-'Assumptions'!$B$50)),'Assumptions'!$B$50+SQRT(E693*('Assumptions'!$D$50-'Assumptions'!$B$50)*('Assumptions'!$C$50-'Assumptions'!$B$50)),'Assumptions'!$D$50-SQRT((1-E693)*('Assumptions'!$D$50-'Assumptions'!$B$50)*('Assumptions'!$D$50-'Assumptions'!$C$50)))</x:f>
        <x:v>0.0760659605041772</x:v>
      </x:c>
      <x:c r="K693" s="132" t="n">
        <x:f>IF(F693&lt;(('Assumptions'!$C$51-'Assumptions'!$B$51)/('Assumptions'!$D$51-'Assumptions'!$B$51)),'Assumptions'!$B$51+SQRT(F693*('Assumptions'!$D$51-'Assumptions'!$B$51)*('Assumptions'!$C$51-'Assumptions'!$B$51)),'Assumptions'!$D$51-SQRT((1-F693)*('Assumptions'!$D$51-'Assumptions'!$B$51)*('Assumptions'!$D$51-'Assumptions'!$C$51)))</x:f>
        <x:v>0.06583095741361689</x:v>
      </x:c>
      <x:c r="L693" s="133" t="n">
        <x:f>(('Assumptions'!$B$17*(1+G693)+'Assumptions'!$B$18)*(1-H693-'Assumptions'!$B$20)-SUM('Assumptions'!$B$21:$B$25)*(1+I693))-(('Assumptions'!$B$17*(1+G693)+'Assumptions'!$B$18)*(1-H693-'Assumptions'!$B$20)*'Assumptions'!$B$26)</x:f>
        <x:v>193493.2087313627</x:v>
      </x:c>
      <x:c r="M693" s="133" t="n">
        <x:f>'Assumptions'!$B$10*'Assumptions'!$B$33</x:f>
        <x:v>1950000</x:v>
      </x:c>
      <x:c r="N693" s="133" t="n">
        <x:f>-PMT(K693/12,'Assumptions'!$B$35*12,M693)*12</x:f>
        <x:v>149184.98998346587</x:v>
      </x:c>
      <x:c r="O693" s="133" t="n">
        <x:f>(L693*(1+'Assumptions'!$B$29)^('Assumptions'!$B$14/12)/J693)*(1-'Assumptions'!$B$42)-'Debt Schedule'!$F$9</x:f>
        <x:v>2771975.262150076</x:v>
      </x:c>
      <x:c r="P693" s="132" t="n">
        <x:f>((O693+(L693-N693-'Assumptions'!$B$27-'Assumptions'!$B$28)*('Assumptions'!$B$14/12))/ABS('Monthly Cash Flow'!$S$5))^(1/('Assumptions'!$B$14/12))-1</x:f>
        <x:v>0.16629881063053564</x:v>
      </x:c>
      <x:c r="Q693" s="133" t="n">
        <x:f>-ABS('Monthly Cash Flow'!$S$5)+((L693-N693-'Assumptions'!$B$27-'Assumptions'!$B$28)*(1-(1+'Assumptions'!$B$43)^-('Assumptions'!$B$14/12))/'Assumptions'!$B$43)+(O693/(1+'Assumptions'!$B$43)^('Assumptions'!$B$14/12))</x:f>
        <x:v>443010.08589071804</x:v>
      </x:c>
    </x:row>
    <x:row r="694">
      <x:c r="A694" s="131" t="n">
        <x:f>687</x:f>
        <x:v>687</x:v>
      </x:c>
      <x:c r="B694" s="131" t="n">
        <x:f>MOD(ABS(SIN((A694+1)*12.9898+78.233)*43758.5453),1)</x:f>
        <x:v>0.20810172316123499</x:v>
      </x:c>
      <x:c r="C694" s="131" t="n">
        <x:f>MOD(ABS(SIN((A694+2)*12.9898+78.233)*43758.5453),1)</x:f>
        <x:v>0.21492976196532254</x:v>
      </x:c>
      <x:c r="D694" s="131" t="n">
        <x:f>MOD(ABS(SIN((A694+3)*12.9898+78.233)*43758.5453),1)</x:f>
        <x:v>0.9449718515388668</x:v>
      </x:c>
      <x:c r="E694" s="131" t="n">
        <x:f>MOD(ABS(SIN((A694+4)*12.9898+78.233)*43758.5453),1)</x:f>
        <x:v>0.25238127791817533</x:v>
      </x:c>
      <x:c r="F694" s="131" t="n">
        <x:f>MOD(ABS(SIN((A694+5)*12.9898+78.233)*43758.5453),1)</x:f>
        <x:v>0.3142903375373862</x:v>
      </x:c>
      <x:c r="G694" s="132" t="n">
        <x:f>IF(B694&lt;(('Assumptions'!$C$47-'Assumptions'!$B$47)/('Assumptions'!$D$47-'Assumptions'!$B$47)),'Assumptions'!$B$47+SQRT(B694*('Assumptions'!$D$47-'Assumptions'!$B$47)*('Assumptions'!$C$47-'Assumptions'!$B$47)),'Assumptions'!$D$47-SQRT((1-B694)*('Assumptions'!$D$47-'Assumptions'!$B$47)*('Assumptions'!$D$47-'Assumptions'!$C$47)))</x:f>
        <x:v>-0.029328638361287823</x:v>
      </x:c>
      <x:c r="H694" s="132" t="n">
        <x:f>IF(C694&lt;(('Assumptions'!$C$48-'Assumptions'!$B$48)/('Assumptions'!$D$48-'Assumptions'!$B$48)),'Assumptions'!$B$48+SQRT(C694*('Assumptions'!$D$48-'Assumptions'!$B$48)*('Assumptions'!$C$48-'Assumptions'!$B$48)),'Assumptions'!$D$48-SQRT((1-C694)*('Assumptions'!$D$48-'Assumptions'!$B$48)*('Assumptions'!$D$48-'Assumptions'!$C$48)))</x:f>
        <x:v>0.05663208993837255</x:v>
      </x:c>
      <x:c r="I694" s="132" t="n">
        <x:f>IF(D694&lt;(('Assumptions'!$C$49-'Assumptions'!$B$49)/('Assumptions'!$D$49-'Assumptions'!$B$49)),'Assumptions'!$B$49+SQRT(D694*('Assumptions'!$D$49-'Assumptions'!$B$49)*('Assumptions'!$C$49-'Assumptions'!$B$49)),'Assumptions'!$D$49-SQRT((1-D694)*('Assumptions'!$D$49-'Assumptions'!$B$49)*('Assumptions'!$D$49-'Assumptions'!$C$49)))</x:f>
        <x:v>0.11552380521634562</x:v>
      </x:c>
      <x:c r="J694" s="132" t="n">
        <x:f>IF(E694&lt;(('Assumptions'!$C$50-'Assumptions'!$B$50)/('Assumptions'!$D$50-'Assumptions'!$B$50)),'Assumptions'!$B$50+SQRT(E694*('Assumptions'!$D$50-'Assumptions'!$B$50)*('Assumptions'!$C$50-'Assumptions'!$B$50)),'Assumptions'!$D$50-SQRT((1-E694)*('Assumptions'!$D$50-'Assumptions'!$B$50)*('Assumptions'!$D$50-'Assumptions'!$C$50)))</x:f>
        <x:v>0.06503563451419915</x:v>
      </x:c>
      <x:c r="K694" s="132" t="n">
        <x:f>IF(F694&lt;(('Assumptions'!$C$51-'Assumptions'!$B$51)/('Assumptions'!$D$51-'Assumptions'!$B$51)),'Assumptions'!$B$51+SQRT(F694*('Assumptions'!$D$51-'Assumptions'!$B$51)*('Assumptions'!$C$51-'Assumptions'!$B$51)),'Assumptions'!$D$51-SQRT((1-F694)*('Assumptions'!$D$51-'Assumptions'!$B$51)*('Assumptions'!$D$51-'Assumptions'!$C$51)))</x:f>
        <x:v>0.06679676518057659</x:v>
      </x:c>
      <x:c r="L694" s="133" t="n">
        <x:f>(('Assumptions'!$B$17*(1+G694)+'Assumptions'!$B$18)*(1-H694-'Assumptions'!$B$20)-SUM('Assumptions'!$B$21:$B$25)*(1+I694))-(('Assumptions'!$B$17*(1+G694)+'Assumptions'!$B$18)*(1-H694-'Assumptions'!$B$20)*'Assumptions'!$B$26)</x:f>
        <x:v>188683.95168714965</x:v>
      </x:c>
      <x:c r="M694" s="133" t="n">
        <x:f>'Assumptions'!$B$10*'Assumptions'!$B$33</x:f>
        <x:v>1950000</x:v>
      </x:c>
      <x:c r="N694" s="133" t="n">
        <x:f>-PMT(K694/12,'Assumptions'!$B$35*12,M694)*12</x:f>
        <x:v>150679.72598283473</x:v>
      </x:c>
      <x:c r="O694" s="133" t="n">
        <x:f>(L694*(1+'Assumptions'!$B$29)^('Assumptions'!$B$14/12)/J694)*(1-'Assumptions'!$B$42)-'Debt Schedule'!$F$9</x:f>
        <x:v>3161531.8303206847</x:v>
      </x:c>
      <x:c r="P694" s="132" t="n">
        <x:f>((O694+(L694-N694-'Assumptions'!$B$27-'Assumptions'!$B$28)*('Assumptions'!$B$14/12))/ABS('Monthly Cash Flow'!$S$5))^(1/('Assumptions'!$B$14/12))-1</x:f>
        <x:v>0.19477055503062046</x:v>
      </x:c>
      <x:c r="Q694" s="133" t="n">
        <x:f>-ABS('Monthly Cash Flow'!$S$5)+((L694-N694-'Assumptions'!$B$27-'Assumptions'!$B$28)*(1-(1+'Assumptions'!$B$43)^-('Assumptions'!$B$14/12))/'Assumptions'!$B$43)+(O694/(1+'Assumptions'!$B$43)^('Assumptions'!$B$14/12))</x:f>
        <x:v>660996.972181543</x:v>
      </x:c>
    </x:row>
    <x:row r="695">
      <x:c r="A695" s="131" t="n">
        <x:f>688</x:f>
        <x:v>688</x:v>
      </x:c>
      <x:c r="B695" s="131" t="n">
        <x:f>MOD(ABS(SIN((A695+1)*12.9898+78.233)*43758.5453),1)</x:f>
        <x:v>0.21492976196532254</x:v>
      </x:c>
      <x:c r="C695" s="131" t="n">
        <x:f>MOD(ABS(SIN((A695+2)*12.9898+78.233)*43758.5453),1)</x:f>
        <x:v>0.9449718515388668</x:v>
      </x:c>
      <x:c r="D695" s="131" t="n">
        <x:f>MOD(ABS(SIN((A695+3)*12.9898+78.233)*43758.5453),1)</x:f>
        <x:v>0.25238127791817533</x:v>
      </x:c>
      <x:c r="E695" s="131" t="n">
        <x:f>MOD(ABS(SIN((A695+4)*12.9898+78.233)*43758.5453),1)</x:f>
        <x:v>0.3142903375373862</x:v>
      </x:c>
      <x:c r="F695" s="131" t="n">
        <x:f>MOD(ABS(SIN((A695+5)*12.9898+78.233)*43758.5453),1)</x:f>
        <x:v>0.5190249411534751</x:v>
      </x:c>
      <x:c r="G695" s="132" t="n">
        <x:f>IF(B695&lt;(('Assumptions'!$C$47-'Assumptions'!$B$47)/('Assumptions'!$D$47-'Assumptions'!$B$47)),'Assumptions'!$B$47+SQRT(B695*('Assumptions'!$D$47-'Assumptions'!$B$47)*('Assumptions'!$C$47-'Assumptions'!$B$47)),'Assumptions'!$D$47-SQRT((1-B695)*('Assumptions'!$D$47-'Assumptions'!$B$47)*('Assumptions'!$D$47-'Assumptions'!$C$47)))</x:f>
        <x:v>-0.028178594505762142</x:v>
      </x:c>
      <x:c r="H695" s="132" t="n">
        <x:f>IF(C695&lt;(('Assumptions'!$C$48-'Assumptions'!$B$48)/('Assumptions'!$D$48-'Assumptions'!$B$48)),'Assumptions'!$B$48+SQRT(C695*('Assumptions'!$D$48-'Assumptions'!$B$48)*('Assumptions'!$C$48-'Assumptions'!$B$48)),'Assumptions'!$D$48-SQRT((1-C695)*('Assumptions'!$D$48-'Assumptions'!$B$48)*('Assumptions'!$D$48-'Assumptions'!$C$48)))</x:f>
        <x:v>0.11799437102789442</x:v>
      </x:c>
      <x:c r="I695" s="132" t="n">
        <x:f>IF(D695&lt;(('Assumptions'!$C$49-'Assumptions'!$B$49)/('Assumptions'!$D$49-'Assumptions'!$B$49)),'Assumptions'!$B$49+SQRT(D695*('Assumptions'!$D$49-'Assumptions'!$B$49)*('Assumptions'!$C$49-'Assumptions'!$B$49)),'Assumptions'!$D$49-SQRT((1-D695)*('Assumptions'!$D$49-'Assumptions'!$B$49)*('Assumptions'!$D$49-'Assumptions'!$C$49)))</x:f>
        <x:v>0.02220840738345016</x:v>
      </x:c>
      <x:c r="J695" s="132" t="n">
        <x:f>IF(E695&lt;(('Assumptions'!$C$50-'Assumptions'!$B$50)/('Assumptions'!$D$50-'Assumptions'!$B$50)),'Assumptions'!$B$50+SQRT(E695*('Assumptions'!$D$50-'Assumptions'!$B$50)*('Assumptions'!$C$50-'Assumptions'!$B$50)),'Assumptions'!$D$50-SQRT((1-E695)*('Assumptions'!$D$50-'Assumptions'!$B$50)*('Assumptions'!$D$50-'Assumptions'!$C$50)))</x:f>
        <x:v>0.06590924050945815</x:v>
      </x:c>
      <x:c r="K695" s="132" t="n">
        <x:f>IF(F695&lt;(('Assumptions'!$C$51-'Assumptions'!$B$51)/('Assumptions'!$D$51-'Assumptions'!$B$51)),'Assumptions'!$B$51+SQRT(F695*('Assumptions'!$D$51-'Assumptions'!$B$51)*('Assumptions'!$C$51-'Assumptions'!$B$51)),'Assumptions'!$D$51-SQRT((1-F695)*('Assumptions'!$D$51-'Assumptions'!$B$51)*('Assumptions'!$D$51-'Assumptions'!$C$51)))</x:f>
        <x:v>0.06978588658285045</x:v>
      </x:c>
      <x:c r="L695" s="133" t="n">
        <x:f>(('Assumptions'!$B$17*(1+G695)+'Assumptions'!$B$18)*(1-H695-'Assumptions'!$B$20)-SUM('Assumptions'!$B$21:$B$25)*(1+I695))-(('Assumptions'!$B$17*(1+G695)+'Assumptions'!$B$18)*(1-H695-'Assumptions'!$B$20)*'Assumptions'!$B$26)</x:f>
        <x:v>179143.09708145392</x:v>
      </x:c>
      <x:c r="M695" s="133" t="n">
        <x:f>'Assumptions'!$B$10*'Assumptions'!$B$33</x:f>
        <x:v>1950000</x:v>
      </x:c>
      <x:c r="N695" s="133" t="n">
        <x:f>-PMT(K695/12,'Assumptions'!$B$35*12,M695)*12</x:f>
        <x:v>155344.4423975204</x:v>
      </x:c>
      <x:c r="O695" s="133" t="n">
        <x:f>(L695*(1+'Assumptions'!$B$29)^('Assumptions'!$B$14/12)/J695)*(1-'Assumptions'!$B$42)-'Debt Schedule'!$F$9</x:f>
        <x:v>2961881.9704976473</x:v>
      </x:c>
      <x:c r="P695" s="132" t="n">
        <x:f>((O695+(L695-N695-'Assumptions'!$B$27-'Assumptions'!$B$28)*('Assumptions'!$B$14/12))/ABS('Monthly Cash Flow'!$S$5))^(1/('Assumptions'!$B$14/12))-1</x:f>
        <x:v>0.17350374355596565</x:v>
      </x:c>
      <x:c r="Q695" s="133" t="n">
        <x:f>-ABS('Monthly Cash Flow'!$S$5)+((L695-N695-'Assumptions'!$B$27-'Assumptions'!$B$28)*(1-(1+'Assumptions'!$B$43)^-('Assumptions'!$B$14/12))/'Assumptions'!$B$43)+(O695/(1+'Assumptions'!$B$43)^('Assumptions'!$B$14/12))</x:f>
        <x:v>483179.8263956937</x:v>
      </x:c>
    </x:row>
    <x:row r="696">
      <x:c r="A696" s="131" t="n">
        <x:f>689</x:f>
        <x:v>689</x:v>
      </x:c>
      <x:c r="B696" s="131" t="n">
        <x:f>MOD(ABS(SIN((A696+1)*12.9898+78.233)*43758.5453),1)</x:f>
        <x:v>0.9449718515388668</x:v>
      </x:c>
      <x:c r="C696" s="131" t="n">
        <x:f>MOD(ABS(SIN((A696+2)*12.9898+78.233)*43758.5453),1)</x:f>
        <x:v>0.25238127791817533</x:v>
      </x:c>
      <x:c r="D696" s="131" t="n">
        <x:f>MOD(ABS(SIN((A696+3)*12.9898+78.233)*43758.5453),1)</x:f>
        <x:v>0.3142903375373862</x:v>
      </x:c>
      <x:c r="E696" s="131" t="n">
        <x:f>MOD(ABS(SIN((A696+4)*12.9898+78.233)*43758.5453),1)</x:f>
        <x:v>0.5190249411534751</x:v>
      </x:c>
      <x:c r="F696" s="131" t="n">
        <x:f>MOD(ABS(SIN((A696+5)*12.9898+78.233)*43758.5453),1)</x:f>
        <x:v>0.926055457086477</x:v>
      </x:c>
      <x:c r="G696" s="132" t="n">
        <x:f>IF(B696&lt;(('Assumptions'!$C$47-'Assumptions'!$B$47)/('Assumptions'!$D$47-'Assumptions'!$B$47)),'Assumptions'!$B$47+SQRT(B696*('Assumptions'!$D$47-'Assumptions'!$B$47)*('Assumptions'!$C$47-'Assumptions'!$B$47)),'Assumptions'!$D$47-SQRT((1-B696)*('Assumptions'!$D$47-'Assumptions'!$B$47)*('Assumptions'!$D$47-'Assumptions'!$C$47)))</x:f>
        <x:v>0.07032761594717857</x:v>
      </x:c>
      <x:c r="H696" s="132" t="n">
        <x:f>IF(C696&lt;(('Assumptions'!$C$48-'Assumptions'!$B$48)/('Assumptions'!$D$48-'Assumptions'!$B$48)),'Assumptions'!$B$48+SQRT(C696*('Assumptions'!$D$48-'Assumptions'!$B$48)*('Assumptions'!$C$48-'Assumptions'!$B$48)),'Assumptions'!$D$48-SQRT((1-C696)*('Assumptions'!$D$48-'Assumptions'!$B$48)*('Assumptions'!$D$48-'Assumptions'!$C$48)))</x:f>
        <x:v>0.05885928303215412</x:v>
      </x:c>
      <x:c r="I696" s="132" t="n">
        <x:f>IF(D696&lt;(('Assumptions'!$C$49-'Assumptions'!$B$49)/('Assumptions'!$D$49-'Assumptions'!$B$49)),'Assumptions'!$B$49+SQRT(D696*('Assumptions'!$D$49-'Assumptions'!$B$49)*('Assumptions'!$C$49-'Assumptions'!$B$49)),'Assumptions'!$D$49-SQRT((1-D696)*('Assumptions'!$D$49-'Assumptions'!$B$49)*('Assumptions'!$D$49-'Assumptions'!$C$49)))</x:f>
        <x:v>0.028260927261791594</x:v>
      </x:c>
      <x:c r="J696" s="132" t="n">
        <x:f>IF(E696&lt;(('Assumptions'!$C$50-'Assumptions'!$B$50)/('Assumptions'!$D$50-'Assumptions'!$B$50)),'Assumptions'!$B$50+SQRT(E696*('Assumptions'!$D$50-'Assumptions'!$B$50)*('Assumptions'!$C$50-'Assumptions'!$B$50)),'Assumptions'!$D$50-SQRT((1-E696)*('Assumptions'!$D$50-'Assumptions'!$B$50)*('Assumptions'!$D$50-'Assumptions'!$C$50)))</x:f>
        <x:v>0.06836925474010436</x:v>
      </x:c>
      <x:c r="K696" s="132" t="n">
        <x:f>IF(F696&lt;(('Assumptions'!$C$51-'Assumptions'!$B$51)/('Assumptions'!$D$51-'Assumptions'!$B$51)),'Assumptions'!$B$51+SQRT(F696*('Assumptions'!$D$51-'Assumptions'!$B$51)*('Assumptions'!$C$51-'Assumptions'!$B$51)),'Assumptions'!$D$51-SQRT((1-F696)*('Assumptions'!$D$51-'Assumptions'!$B$51)*('Assumptions'!$D$51-'Assumptions'!$C$51)))</x:f>
        <x:v>0.07903461558010443</x:v>
      </x:c>
      <x:c r="L696" s="133" t="n">
        <x:f>(('Assumptions'!$B$17*(1+G696)+'Assumptions'!$B$18)*(1-H696-'Assumptions'!$B$20)-SUM('Assumptions'!$B$21:$B$25)*(1+I696))-(('Assumptions'!$B$17*(1+G696)+'Assumptions'!$B$18)*(1-H696-'Assumptions'!$B$20)*'Assumptions'!$B$26)</x:f>
        <x:v>230963.05030616248</x:v>
      </x:c>
      <x:c r="M696" s="133" t="n">
        <x:f>'Assumptions'!$B$10*'Assumptions'!$B$33</x:f>
        <x:v>1950000</x:v>
      </x:c>
      <x:c r="N696" s="133" t="n">
        <x:f>-PMT(K696/12,'Assumptions'!$B$35*12,M696)*12</x:f>
        <x:v>170128.7399657126</x:v>
      </x:c>
      <x:c r="O696" s="133" t="n">
        <x:f>(L696*(1+'Assumptions'!$B$29)^('Assumptions'!$B$14/12)/J696)*(1-'Assumptions'!$B$42)-'Debt Schedule'!$F$9</x:f>
        <x:v>3681252.760724854</x:v>
      </x:c>
      <x:c r="P696" s="132" t="n">
        <x:f>((O696+(L696-N696-'Assumptions'!$B$27-'Assumptions'!$B$28)*('Assumptions'!$B$14/12))/ABS('Monthly Cash Flow'!$S$5))^(1/('Assumptions'!$B$14/12))-1</x:f>
        <x:v>0.23937434625879783</x:v>
      </x:c>
      <x:c r="Q696" s="133" t="n">
        <x:f>-ABS('Monthly Cash Flow'!$S$5)+((L696-N696-'Assumptions'!$B$27-'Assumptions'!$B$28)*(1-(1+'Assumptions'!$B$43)^-('Assumptions'!$B$14/12))/'Assumptions'!$B$43)+(O696/(1+'Assumptions'!$B$43)^('Assumptions'!$B$14/12))</x:f>
        <x:v>1070246.7626927705</x:v>
      </x:c>
    </x:row>
    <x:row r="697">
      <x:c r="A697" s="131" t="n">
        <x:f>690</x:f>
        <x:v>690</x:v>
      </x:c>
      <x:c r="B697" s="131" t="n">
        <x:f>MOD(ABS(SIN((A697+1)*12.9898+78.233)*43758.5453),1)</x:f>
        <x:v>0.25238127791817533</x:v>
      </x:c>
      <x:c r="C697" s="131" t="n">
        <x:f>MOD(ABS(SIN((A697+2)*12.9898+78.233)*43758.5453),1)</x:f>
        <x:v>0.3142903375373862</x:v>
      </x:c>
      <x:c r="D697" s="131" t="n">
        <x:f>MOD(ABS(SIN((A697+3)*12.9898+78.233)*43758.5453),1)</x:f>
        <x:v>0.5190249411534751</x:v>
      </x:c>
      <x:c r="E697" s="131" t="n">
        <x:f>MOD(ABS(SIN((A697+4)*12.9898+78.233)*43758.5453),1)</x:f>
        <x:v>0.926055457086477</x:v>
      </x:c>
      <x:c r="F697" s="131" t="n">
        <x:f>MOD(ABS(SIN((A697+5)*12.9898+78.233)*43758.5453),1)</x:f>
        <x:v>0.2140800840643351</x:v>
      </x:c>
      <x:c r="G697" s="132" t="n">
        <x:f>IF(B697&lt;(('Assumptions'!$C$47-'Assumptions'!$B$47)/('Assumptions'!$D$47-'Assumptions'!$B$47)),'Assumptions'!$B$47+SQRT(B697*('Assumptions'!$D$47-'Assumptions'!$B$47)*('Assumptions'!$C$47-'Assumptions'!$B$47)),'Assumptions'!$D$47-SQRT((1-B697)*('Assumptions'!$D$47-'Assumptions'!$B$47)*('Assumptions'!$D$47-'Assumptions'!$C$47)))</x:f>
        <x:v>-0.022172301395735672</x:v>
      </x:c>
      <x:c r="H697" s="132" t="n">
        <x:f>IF(C697&lt;(('Assumptions'!$C$48-'Assumptions'!$B$48)/('Assumptions'!$D$48-'Assumptions'!$B$48)),'Assumptions'!$B$48+SQRT(C697*('Assumptions'!$D$48-'Assumptions'!$B$48)*('Assumptions'!$C$48-'Assumptions'!$B$48)),'Assumptions'!$D$48-SQRT((1-C697)*('Assumptions'!$D$48-'Assumptions'!$B$48)*('Assumptions'!$D$48-'Assumptions'!$C$48)))</x:f>
        <x:v>0.06231959687494534</x:v>
      </x:c>
      <x:c r="I697" s="132" t="n">
        <x:f>IF(D697&lt;(('Assumptions'!$C$49-'Assumptions'!$B$49)/('Assumptions'!$D$49-'Assumptions'!$B$49)),'Assumptions'!$B$49+SQRT(D697*('Assumptions'!$D$49-'Assumptions'!$B$49)*('Assumptions'!$C$49-'Assumptions'!$B$49)),'Assumptions'!$D$49-SQRT((1-D697)*('Assumptions'!$D$49-'Assumptions'!$B$49)*('Assumptions'!$D$49-'Assumptions'!$C$49)))</x:f>
        <x:v>0.04807325536894186</x:v>
      </x:c>
      <x:c r="J697" s="132" t="n">
        <x:f>IF(E697&lt;(('Assumptions'!$C$50-'Assumptions'!$B$50)/('Assumptions'!$D$50-'Assumptions'!$B$50)),'Assumptions'!$B$50+SQRT(E697*('Assumptions'!$D$50-'Assumptions'!$B$50)*('Assumptions'!$C$50-'Assumptions'!$B$50)),'Assumptions'!$D$50-SQRT((1-E697)*('Assumptions'!$D$50-'Assumptions'!$B$50)*('Assumptions'!$D$50-'Assumptions'!$C$50)))</x:f>
        <x:v>0.07543963787683167</x:v>
      </x:c>
      <x:c r="K697" s="132" t="n">
        <x:f>IF(F697&lt;(('Assumptions'!$C$51-'Assumptions'!$B$51)/('Assumptions'!$D$51-'Assumptions'!$B$51)),'Assumptions'!$B$51+SQRT(F697*('Assumptions'!$D$51-'Assumptions'!$B$51)*('Assumptions'!$C$51-'Assumptions'!$B$51)),'Assumptions'!$D$51-SQRT((1-F697)*('Assumptions'!$D$51-'Assumptions'!$B$51)*('Assumptions'!$D$51-'Assumptions'!$C$51)))</x:f>
        <x:v>0.06517281064002574</x:v>
      </x:c>
      <x:c r="L697" s="133" t="n">
        <x:f>(('Assumptions'!$B$17*(1+G697)+'Assumptions'!$B$18)*(1-H697-'Assumptions'!$B$20)-SUM('Assumptions'!$B$21:$B$25)*(1+I697))-(('Assumptions'!$B$17*(1+G697)+'Assumptions'!$B$18)*(1-H697-'Assumptions'!$B$20)*'Assumptions'!$B$26)</x:f>
        <x:v>197470.8539473678</x:v>
      </x:c>
      <x:c r="M697" s="133" t="n">
        <x:f>'Assumptions'!$B$10*'Assumptions'!$B$33</x:f>
        <x:v>1950000</x:v>
      </x:c>
      <x:c r="N697" s="133" t="n">
        <x:f>-PMT(K697/12,'Assumptions'!$B$35*12,M697)*12</x:f>
        <x:v>148169.956385779</x:v>
      </x:c>
      <x:c r="O697" s="133" t="n">
        <x:f>(L697*(1+'Assumptions'!$B$29)^('Assumptions'!$B$14/12)/J697)*(1-'Assumptions'!$B$42)-'Debt Schedule'!$F$9</x:f>
        <x:v>2852445.7033811905</x:v>
      </x:c>
      <x:c r="P697" s="132" t="n">
        <x:f>((O697+(L697-N697-'Assumptions'!$B$27-'Assumptions'!$B$28)*('Assumptions'!$B$14/12))/ABS('Monthly Cash Flow'!$S$5))^(1/('Assumptions'!$B$14/12))-1</x:f>
        <x:v>0.17497260172236273</x:v>
      </x:c>
      <x:c r="Q697" s="133" t="n">
        <x:f>-ABS('Monthly Cash Flow'!$S$5)+((L697-N697-'Assumptions'!$B$27-'Assumptions'!$B$28)*(1-(1+'Assumptions'!$B$43)^-('Assumptions'!$B$14/12))/'Assumptions'!$B$43)+(O697/(1+'Assumptions'!$B$43)^('Assumptions'!$B$14/12))</x:f>
        <x:v>511902.07951794495</x:v>
      </x:c>
    </x:row>
    <x:row r="698">
      <x:c r="A698" s="131" t="n">
        <x:f>691</x:f>
        <x:v>691</x:v>
      </x:c>
      <x:c r="B698" s="131" t="n">
        <x:f>MOD(ABS(SIN((A698+1)*12.9898+78.233)*43758.5453),1)</x:f>
        <x:v>0.3142903375373862</x:v>
      </x:c>
      <x:c r="C698" s="131" t="n">
        <x:f>MOD(ABS(SIN((A698+2)*12.9898+78.233)*43758.5453),1)</x:f>
        <x:v>0.5190249411534751</x:v>
      </x:c>
      <x:c r="D698" s="131" t="n">
        <x:f>MOD(ABS(SIN((A698+3)*12.9898+78.233)*43758.5453),1)</x:f>
        <x:v>0.926055457086477</x:v>
      </x:c>
      <x:c r="E698" s="131" t="n">
        <x:f>MOD(ABS(SIN((A698+4)*12.9898+78.233)*43758.5453),1)</x:f>
        <x:v>0.2140800840643351</x:v>
      </x:c>
      <x:c r="F698" s="131" t="n">
        <x:f>MOD(ABS(SIN((A698+5)*12.9898+78.233)*43758.5453),1)</x:f>
        <x:v>0.7611682232818566</x:v>
      </x:c>
      <x:c r="G698" s="132" t="n">
        <x:f>IF(B698&lt;(('Assumptions'!$C$47-'Assumptions'!$B$47)/('Assumptions'!$D$47-'Assumptions'!$B$47)),'Assumptions'!$B$47+SQRT(B698*('Assumptions'!$D$47-'Assumptions'!$B$47)*('Assumptions'!$C$47-'Assumptions'!$B$47)),'Assumptions'!$D$47-SQRT((1-B698)*('Assumptions'!$D$47-'Assumptions'!$B$47)*('Assumptions'!$D$47-'Assumptions'!$C$47)))</x:f>
        <x:v>-0.013149737473642203</x:v>
      </x:c>
      <x:c r="H698" s="132" t="n">
        <x:f>IF(C698&lt;(('Assumptions'!$C$48-'Assumptions'!$B$48)/('Assumptions'!$D$48-'Assumptions'!$B$48)),'Assumptions'!$B$48+SQRT(C698*('Assumptions'!$D$48-'Assumptions'!$B$48)*('Assumptions'!$C$48-'Assumptions'!$B$48)),'Assumptions'!$D$48-SQRT((1-C698)*('Assumptions'!$D$48-'Assumptions'!$B$48)*('Assumptions'!$D$48-'Assumptions'!$C$48)))</x:f>
        <x:v>0.0749417144565781</x:v>
      </x:c>
      <x:c r="I698" s="132" t="n">
        <x:f>IF(D698&lt;(('Assumptions'!$C$49-'Assumptions'!$B$49)/('Assumptions'!$D$49-'Assumptions'!$B$49)),'Assumptions'!$B$49+SQRT(D698*('Assumptions'!$D$49-'Assumptions'!$B$49)*('Assumptions'!$C$49-'Assumptions'!$B$49)),'Assumptions'!$D$49-SQRT((1-D698)*('Assumptions'!$D$49-'Assumptions'!$B$49)*('Assumptions'!$D$49-'Assumptions'!$C$49)))</x:f>
        <x:v>0.11003498871597685</x:v>
      </x:c>
      <x:c r="J698" s="132" t="n">
        <x:f>IF(E698&lt;(('Assumptions'!$C$50-'Assumptions'!$B$50)/('Assumptions'!$D$50-'Assumptions'!$B$50)),'Assumptions'!$B$50+SQRT(E698*('Assumptions'!$D$50-'Assumptions'!$B$50)*('Assumptions'!$C$50-'Assumptions'!$B$50)),'Assumptions'!$D$50-SQRT((1-E698)*('Assumptions'!$D$50-'Assumptions'!$B$50)*('Assumptions'!$D$50-'Assumptions'!$C$50)))</x:f>
        <x:v>0.0644403183582942</x:v>
      </x:c>
      <x:c r="K698" s="132" t="n">
        <x:f>IF(F698&lt;(('Assumptions'!$C$51-'Assumptions'!$B$51)/('Assumptions'!$D$51-'Assumptions'!$B$51)),'Assumptions'!$B$51+SQRT(F698*('Assumptions'!$D$51-'Assumptions'!$B$51)*('Assumptions'!$C$51-'Assumptions'!$B$51)),'Assumptions'!$D$51-SQRT((1-F698)*('Assumptions'!$D$51-'Assumptions'!$B$51)*('Assumptions'!$D$51-'Assumptions'!$C$51)))</x:f>
        <x:v>0.07427909553509564</x:v>
      </x:c>
      <x:c r="L698" s="133" t="n">
        <x:f>(('Assumptions'!$B$17*(1+G698)+'Assumptions'!$B$18)*(1-H698-'Assumptions'!$B$20)-SUM('Assumptions'!$B$21:$B$25)*(1+I698))-(('Assumptions'!$B$17*(1+G698)+'Assumptions'!$B$18)*(1-H698-'Assumptions'!$B$20)*'Assumptions'!$B$26)</x:f>
        <x:v>188033.41461539498</x:v>
      </x:c>
      <x:c r="M698" s="133" t="n">
        <x:f>'Assumptions'!$B$10*'Assumptions'!$B$33</x:f>
        <x:v>1950000</x:v>
      </x:c>
      <x:c r="N698" s="133" t="n">
        <x:f>-PMT(K698/12,'Assumptions'!$B$35*12,M698)*12</x:f>
        <x:v>162462.63174139982</x:v>
      </x:c>
      <x:c r="O698" s="133" t="n">
        <x:f>(L698*(1+'Assumptions'!$B$29)^('Assumptions'!$B$14/12)/J698)*(1-'Assumptions'!$B$42)-'Debt Schedule'!$F$9</x:f>
        <x:v>3179737.9672537404</x:v>
      </x:c>
      <x:c r="P698" s="132" t="n">
        <x:f>((O698+(L698-N698-'Assumptions'!$B$27-'Assumptions'!$B$28)*('Assumptions'!$B$14/12))/ABS('Monthly Cash Flow'!$S$5))^(1/('Assumptions'!$B$14/12))-1</x:f>
        <x:v>0.1914186242039182</x:v>
      </x:c>
      <x:c r="Q698" s="133" t="n">
        <x:f>-ABS('Monthly Cash Flow'!$S$5)+((L698-N698-'Assumptions'!$B$27-'Assumptions'!$B$28)*(1-(1+'Assumptions'!$B$43)^-('Assumptions'!$B$14/12))/'Assumptions'!$B$43)+(O698/(1+'Assumptions'!$B$43)^('Assumptions'!$B$14/12))</x:f>
        <x:v>625169.0202344395</x:v>
      </x:c>
    </x:row>
    <x:row r="699">
      <x:c r="A699" s="131" t="n">
        <x:f>692</x:f>
        <x:v>692</x:v>
      </x:c>
      <x:c r="B699" s="131" t="n">
        <x:f>MOD(ABS(SIN((A699+1)*12.9898+78.233)*43758.5453),1)</x:f>
        <x:v>0.5190249411534751</x:v>
      </x:c>
      <x:c r="C699" s="131" t="n">
        <x:f>MOD(ABS(SIN((A699+2)*12.9898+78.233)*43758.5453),1)</x:f>
        <x:v>0.926055457086477</x:v>
      </x:c>
      <x:c r="D699" s="131" t="n">
        <x:f>MOD(ABS(SIN((A699+3)*12.9898+78.233)*43758.5453),1)</x:f>
        <x:v>0.2140800840643351</x:v>
      </x:c>
      <x:c r="E699" s="131" t="n">
        <x:f>MOD(ABS(SIN((A699+4)*12.9898+78.233)*43758.5453),1)</x:f>
        <x:v>0.7611682232818566</x:v>
      </x:c>
      <x:c r="F699" s="131" t="n">
        <x:f>MOD(ABS(SIN((A699+5)*12.9898+78.233)*43758.5453),1)</x:f>
        <x:v>0.7410970674063719</x:v>
      </x:c>
      <x:c r="G699" s="132" t="n">
        <x:f>IF(B699&lt;(('Assumptions'!$C$47-'Assumptions'!$B$47)/('Assumptions'!$D$47-'Assumptions'!$B$47)),'Assumptions'!$B$47+SQRT(B699*('Assumptions'!$D$47-'Assumptions'!$B$47)*('Assumptions'!$C$47-'Assumptions'!$B$47)),'Assumptions'!$D$47-SQRT((1-B699)*('Assumptions'!$D$47-'Assumptions'!$B$47)*('Assumptions'!$D$47-'Assumptions'!$C$47)))</x:f>
        <x:v>0.011609133083647777</x:v>
      </x:c>
      <x:c r="H699" s="132" t="n">
        <x:f>IF(C699&lt;(('Assumptions'!$C$48-'Assumptions'!$B$48)/('Assumptions'!$D$48-'Assumptions'!$B$48)),'Assumptions'!$B$48+SQRT(C699*('Assumptions'!$D$48-'Assumptions'!$B$48)*('Assumptions'!$C$48-'Assumptions'!$B$48)),'Assumptions'!$D$48-SQRT((1-C699)*('Assumptions'!$D$48-'Assumptions'!$B$48)*('Assumptions'!$D$48-'Assumptions'!$C$48)))</x:f>
        <x:v>0.11449094322325887</x:v>
      </x:c>
      <x:c r="I699" s="132" t="n">
        <x:f>IF(D699&lt;(('Assumptions'!$C$49-'Assumptions'!$B$49)/('Assumptions'!$D$49-'Assumptions'!$B$49)),'Assumptions'!$B$49+SQRT(D699*('Assumptions'!$D$49-'Assumptions'!$B$49)*('Assumptions'!$C$49-'Assumptions'!$B$49)),'Assumptions'!$D$49-SQRT((1-D699)*('Assumptions'!$D$49-'Assumptions'!$B$49)*('Assumptions'!$D$49-'Assumptions'!$C$49)))</x:f>
        <x:v>0.018083936069074248</x:v>
      </x:c>
      <x:c r="J699" s="132" t="n">
        <x:f>IF(E699&lt;(('Assumptions'!$C$50-'Assumptions'!$B$50)/('Assumptions'!$D$50-'Assumptions'!$B$50)),'Assumptions'!$B$50+SQRT(E699*('Assumptions'!$D$50-'Assumptions'!$B$50)*('Assumptions'!$C$50-'Assumptions'!$B$50)),'Assumptions'!$D$50-SQRT((1-E699)*('Assumptions'!$D$50-'Assumptions'!$B$50)*('Assumptions'!$D$50-'Assumptions'!$C$50)))</x:f>
        <x:v>0.07180418172468558</x:v>
      </x:c>
      <x:c r="K699" s="132" t="n">
        <x:f>IF(F699&lt;(('Assumptions'!$C$51-'Assumptions'!$B$51)/('Assumptions'!$D$51-'Assumptions'!$B$51)),'Assumptions'!$B$51+SQRT(F699*('Assumptions'!$D$51-'Assumptions'!$B$51)*('Assumptions'!$C$51-'Assumptions'!$B$51)),'Assumptions'!$D$51-SQRT((1-F699)*('Assumptions'!$D$51-'Assumptions'!$B$51)*('Assumptions'!$D$51-'Assumptions'!$C$51)))</x:f>
        <x:v>0.07383769574367893</x:v>
      </x:c>
      <x:c r="L699" s="133" t="n">
        <x:f>(('Assumptions'!$B$17*(1+G699)+'Assumptions'!$B$18)*(1-H699-'Assumptions'!$B$20)-SUM('Assumptions'!$B$21:$B$25)*(1+I699))-(('Assumptions'!$B$17*(1+G699)+'Assumptions'!$B$18)*(1-H699-'Assumptions'!$B$20)*'Assumptions'!$B$26)</x:f>
        <x:v>192938.79481797488</x:v>
      </x:c>
      <x:c r="M699" s="133" t="n">
        <x:f>'Assumptions'!$B$10*'Assumptions'!$B$33</x:f>
        <x:v>1950000</x:v>
      </x:c>
      <x:c r="N699" s="133" t="n">
        <x:f>-PMT(K699/12,'Assumptions'!$B$35*12,M699)*12</x:f>
        <x:v>161757.86479569573</x:v>
      </x:c>
      <x:c r="O699" s="133" t="n">
        <x:f>(L699*(1+'Assumptions'!$B$29)^('Assumptions'!$B$14/12)/J699)*(1-'Assumptions'!$B$42)-'Debt Schedule'!$F$9</x:f>
        <x:v>2928085.8181736516</x:v>
      </x:c>
      <x:c r="P699" s="132" t="n">
        <x:f>((O699+(L699-N699-'Assumptions'!$B$27-'Assumptions'!$B$28)*('Assumptions'!$B$14/12))/ABS('Monthly Cash Flow'!$S$5))^(1/('Assumptions'!$B$14/12))-1</x:f>
        <x:v>0.17375742668557526</x:v>
      </x:c>
      <x:c r="Q699" s="133" t="n">
        <x:f>-ABS('Monthly Cash Flow'!$S$5)+((L699-N699-'Assumptions'!$B$27-'Assumptions'!$B$28)*(1-(1+'Assumptions'!$B$43)^-('Assumptions'!$B$14/12))/'Assumptions'!$B$43)+(O699/(1+'Assumptions'!$B$43)^('Assumptions'!$B$14/12))</x:f>
        <x:v>490179.7064611006</x:v>
      </x:c>
    </x:row>
    <x:row r="700">
      <x:c r="A700" s="131" t="n">
        <x:f>693</x:f>
        <x:v>693</x:v>
      </x:c>
      <x:c r="B700" s="131" t="n">
        <x:f>MOD(ABS(SIN((A700+1)*12.9898+78.233)*43758.5453),1)</x:f>
        <x:v>0.926055457086477</x:v>
      </x:c>
      <x:c r="C700" s="131" t="n">
        <x:f>MOD(ABS(SIN((A700+2)*12.9898+78.233)*43758.5453),1)</x:f>
        <x:v>0.2140800840643351</x:v>
      </x:c>
      <x:c r="D700" s="131" t="n">
        <x:f>MOD(ABS(SIN((A700+3)*12.9898+78.233)*43758.5453),1)</x:f>
        <x:v>0.7611682232818566</x:v>
      </x:c>
      <x:c r="E700" s="131" t="n">
        <x:f>MOD(ABS(SIN((A700+4)*12.9898+78.233)*43758.5453),1)</x:f>
        <x:v>0.7410970674063719</x:v>
      </x:c>
      <x:c r="F700" s="131" t="n">
        <x:f>MOD(ABS(SIN((A700+5)*12.9898+78.233)*43758.5453),1)</x:f>
        <x:v>0.8683083666692255</x:v>
      </x:c>
      <x:c r="G700" s="132" t="n">
        <x:f>IF(B700&lt;(('Assumptions'!$C$47-'Assumptions'!$B$47)/('Assumptions'!$D$47-'Assumptions'!$B$47)),'Assumptions'!$B$47+SQRT(B700*('Assumptions'!$D$47-'Assumptions'!$B$47)*('Assumptions'!$C$47-'Assumptions'!$B$47)),'Assumptions'!$D$47-SQRT((1-B700)*('Assumptions'!$D$47-'Assumptions'!$B$47)*('Assumptions'!$D$47-'Assumptions'!$C$47)))</x:f>
        <x:v>0.06560359485910819</x:v>
      </x:c>
      <x:c r="H700" s="132" t="n">
        <x:f>IF(C700&lt;(('Assumptions'!$C$48-'Assumptions'!$B$48)/('Assumptions'!$D$48-'Assumptions'!$B$48)),'Assumptions'!$B$48+SQRT(C700*('Assumptions'!$D$48-'Assumptions'!$B$48)*('Assumptions'!$C$48-'Assumptions'!$B$48)),'Assumptions'!$D$48-SQRT((1-C700)*('Assumptions'!$D$48-'Assumptions'!$B$48)*('Assumptions'!$D$48-'Assumptions'!$C$48)))</x:f>
        <x:v>0.056579395730759305</x:v>
      </x:c>
      <x:c r="I700" s="132" t="n">
        <x:f>IF(D700&lt;(('Assumptions'!$C$49-'Assumptions'!$B$49)/('Assumptions'!$D$49-'Assumptions'!$B$49)),'Assumptions'!$B$49+SQRT(D700*('Assumptions'!$D$49-'Assumptions'!$B$49)*('Assumptions'!$C$49-'Assumptions'!$B$49)),'Assumptions'!$D$49-SQRT((1-D700)*('Assumptions'!$D$49-'Assumptions'!$B$49)*('Assumptions'!$D$49-'Assumptions'!$C$49)))</x:f>
        <x:v>0.07817544725435531</x:v>
      </x:c>
      <x:c r="J700" s="132" t="n">
        <x:f>IF(E700&lt;(('Assumptions'!$C$50-'Assumptions'!$B$50)/('Assumptions'!$D$50-'Assumptions'!$B$50)),'Assumptions'!$B$50+SQRT(E700*('Assumptions'!$D$50-'Assumptions'!$B$50)*('Assumptions'!$C$50-'Assumptions'!$B$50)),'Assumptions'!$D$50-SQRT((1-E700)*('Assumptions'!$D$50-'Assumptions'!$B$50)*('Assumptions'!$D$50-'Assumptions'!$C$50)))</x:f>
        <x:v>0.07146674447869057</x:v>
      </x:c>
      <x:c r="K700" s="132" t="n">
        <x:f>IF(F700&lt;(('Assumptions'!$C$51-'Assumptions'!$B$51)/('Assumptions'!$D$51-'Assumptions'!$B$51)),'Assumptions'!$B$51+SQRT(F700*('Assumptions'!$D$51-'Assumptions'!$B$51)*('Assumptions'!$C$51-'Assumptions'!$B$51)),'Assumptions'!$D$51-SQRT((1-F700)*('Assumptions'!$D$51-'Assumptions'!$B$51)*('Assumptions'!$D$51-'Assumptions'!$C$51)))</x:f>
        <x:v>0.0770390579363724</x:v>
      </x:c>
      <x:c r="L700" s="133" t="n">
        <x:f>(('Assumptions'!$B$17*(1+G700)+'Assumptions'!$B$18)*(1-H700-'Assumptions'!$B$20)-SUM('Assumptions'!$B$21:$B$25)*(1+I700))-(('Assumptions'!$B$17*(1+G700)+'Assumptions'!$B$18)*(1-H700-'Assumptions'!$B$20)*'Assumptions'!$B$26)</x:f>
        <x:v>224032.63674015668</x:v>
      </x:c>
      <x:c r="M700" s="133" t="n">
        <x:f>'Assumptions'!$B$10*'Assumptions'!$B$33</x:f>
        <x:v>1950000</x:v>
      </x:c>
      <x:c r="N700" s="133" t="n">
        <x:f>-PMT(K700/12,'Assumptions'!$B$35*12,M700)*12</x:f>
        <x:v>166895.72917988102</x:v>
      </x:c>
      <x:c r="O700" s="133" t="n">
        <x:f>(L700*(1+'Assumptions'!$B$29)^('Assumptions'!$B$14/12)/J700)*(1-'Assumptions'!$B$42)-'Debt Schedule'!$F$9</x:f>
        <x:v>3416026.7925528754</x:v>
      </x:c>
      <x:c r="P700" s="132" t="n">
        <x:f>((O700+(L700-N700-'Assumptions'!$B$27-'Assumptions'!$B$28)*('Assumptions'!$B$14/12))/ABS('Monthly Cash Flow'!$S$5))^(1/('Assumptions'!$B$14/12))-1</x:f>
        <x:v>0.22021302732491277</x:v>
      </x:c>
      <x:c r="Q700" s="133" t="n">
        <x:f>-ABS('Monthly Cash Flow'!$S$5)+((L700-N700-'Assumptions'!$B$27-'Assumptions'!$B$28)*(1-(1+'Assumptions'!$B$43)^-('Assumptions'!$B$14/12))/'Assumptions'!$B$43)+(O700/(1+'Assumptions'!$B$43)^('Assumptions'!$B$14/12))</x:f>
        <x:v>891546.2380855216</x:v>
      </x:c>
    </x:row>
    <x:row r="701">
      <x:c r="A701" s="131" t="n">
        <x:f>694</x:f>
        <x:v>694</x:v>
      </x:c>
      <x:c r="B701" s="131" t="n">
        <x:f>MOD(ABS(SIN((A701+1)*12.9898+78.233)*43758.5453),1)</x:f>
        <x:v>0.2140800840643351</x:v>
      </x:c>
      <x:c r="C701" s="131" t="n">
        <x:f>MOD(ABS(SIN((A701+2)*12.9898+78.233)*43758.5453),1)</x:f>
        <x:v>0.7611682232818566</x:v>
      </x:c>
      <x:c r="D701" s="131" t="n">
        <x:f>MOD(ABS(SIN((A701+3)*12.9898+78.233)*43758.5453),1)</x:f>
        <x:v>0.7410970674063719</x:v>
      </x:c>
      <x:c r="E701" s="131" t="n">
        <x:f>MOD(ABS(SIN((A701+4)*12.9898+78.233)*43758.5453),1)</x:f>
        <x:v>0.8683083666692255</x:v>
      </x:c>
      <x:c r="F701" s="131" t="n">
        <x:f>MOD(ABS(SIN((A701+5)*12.9898+78.233)*43758.5453),1)</x:f>
        <x:v>0.18269833487283904</x:v>
      </x:c>
      <x:c r="G701" s="132" t="n">
        <x:f>IF(B701&lt;(('Assumptions'!$C$47-'Assumptions'!$B$47)/('Assumptions'!$D$47-'Assumptions'!$B$47)),'Assumptions'!$B$47+SQRT(B701*('Assumptions'!$D$47-'Assumptions'!$B$47)*('Assumptions'!$C$47-'Assumptions'!$B$47)),'Assumptions'!$D$47-SQRT((1-B701)*('Assumptions'!$D$47-'Assumptions'!$B$47)*('Assumptions'!$D$47-'Assumptions'!$C$47)))</x:f>
        <x:v>-0.028320700215863984</x:v>
      </x:c>
      <x:c r="H701" s="132" t="n">
        <x:f>IF(C701&lt;(('Assumptions'!$C$48-'Assumptions'!$B$48)/('Assumptions'!$D$48-'Assumptions'!$B$48)),'Assumptions'!$B$48+SQRT(C701*('Assumptions'!$D$48-'Assumptions'!$B$48)*('Assumptions'!$C$48-'Assumptions'!$B$48)),'Assumptions'!$D$48-SQRT((1-C701)*('Assumptions'!$D$48-'Assumptions'!$B$48)*('Assumptions'!$D$48-'Assumptions'!$C$48)))</x:f>
        <x:v>0.09415548413256324</x:v>
      </x:c>
      <x:c r="I701" s="132" t="n">
        <x:f>IF(D701&lt;(('Assumptions'!$C$49-'Assumptions'!$B$49)/('Assumptions'!$D$49-'Assumptions'!$B$49)),'Assumptions'!$B$49+SQRT(D701*('Assumptions'!$D$49-'Assumptions'!$B$49)*('Assumptions'!$C$49-'Assumptions'!$B$49)),'Assumptions'!$D$49-SQRT((1-D701)*('Assumptions'!$D$49-'Assumptions'!$B$49)*('Assumptions'!$D$49-'Assumptions'!$C$49)))</x:f>
        <x:v>0.0752182953923731</x:v>
      </x:c>
      <x:c r="J701" s="132" t="n">
        <x:f>IF(E701&lt;(('Assumptions'!$C$50-'Assumptions'!$B$50)/('Assumptions'!$D$50-'Assumptions'!$B$50)),'Assumptions'!$B$50+SQRT(E701*('Assumptions'!$D$50-'Assumptions'!$B$50)*('Assumptions'!$C$50-'Assumptions'!$B$50)),'Assumptions'!$D$50-SQRT((1-E701)*('Assumptions'!$D$50-'Assumptions'!$B$50)*('Assumptions'!$D$50-'Assumptions'!$C$50)))</x:f>
        <x:v>0.07391409235411181</x:v>
      </x:c>
      <x:c r="K701" s="132" t="n">
        <x:f>IF(F701&lt;(('Assumptions'!$C$51-'Assumptions'!$B$51)/('Assumptions'!$D$51-'Assumptions'!$B$51)),'Assumptions'!$B$51+SQRT(F701*('Assumptions'!$D$51-'Assumptions'!$B$51)*('Assumptions'!$C$51-'Assumptions'!$B$51)),'Assumptions'!$D$51-SQRT((1-F701)*('Assumptions'!$D$51-'Assumptions'!$B$51)*('Assumptions'!$D$51-'Assumptions'!$C$51)))</x:f>
        <x:v>0.06458816210946328</x:v>
      </x:c>
      <x:c r="L701" s="133" t="n">
        <x:f>(('Assumptions'!$B$17*(1+G701)+'Assumptions'!$B$18)*(1-H701-'Assumptions'!$B$20)-SUM('Assumptions'!$B$21:$B$25)*(1+I701))-(('Assumptions'!$B$17*(1+G701)+'Assumptions'!$B$18)*(1-H701-'Assumptions'!$B$20)*'Assumptions'!$B$26)</x:f>
        <x:v>180838.35446115406</x:v>
      </x:c>
      <x:c r="M701" s="133" t="n">
        <x:f>'Assumptions'!$B$10*'Assumptions'!$B$33</x:f>
        <x:v>1950000</x:v>
      </x:c>
      <x:c r="N701" s="133" t="n">
        <x:f>-PMT(K701/12,'Assumptions'!$B$35*12,M701)*12</x:f>
        <x:v>147270.70910229822</x:v>
      </x:c>
      <x:c r="O701" s="133" t="n">
        <x:f>(L701*(1+'Assumptions'!$B$29)^('Assumptions'!$B$14/12)/J701)*(1-'Assumptions'!$B$42)-'Debt Schedule'!$F$9</x:f>
        <x:v>2666105.1598095386</x:v>
      </x:c>
      <x:c r="P701" s="132" t="n">
        <x:f>((O701+(L701-N701-'Assumptions'!$B$27-'Assumptions'!$B$28)*('Assumptions'!$B$14/12))/ABS('Monthly Cash Flow'!$S$5))^(1/('Assumptions'!$B$14/12))-1</x:f>
        <x:v>0.15265908136091588</x:v>
      </x:c>
      <x:c r="Q701" s="133" t="n">
        <x:f>-ABS('Monthly Cash Flow'!$S$5)+((L701-N701-'Assumptions'!$B$27-'Assumptions'!$B$28)*(1-(1+'Assumptions'!$B$43)^-('Assumptions'!$B$14/12))/'Assumptions'!$B$43)+(O701/(1+'Assumptions'!$B$43)^('Assumptions'!$B$14/12))</x:f>
        <x:v>336557.8583739861</x:v>
      </x:c>
    </x:row>
    <x:row r="702">
      <x:c r="A702" s="131" t="n">
        <x:f>695</x:f>
        <x:v>695</x:v>
      </x:c>
      <x:c r="B702" s="131" t="n">
        <x:f>MOD(ABS(SIN((A702+1)*12.9898+78.233)*43758.5453),1)</x:f>
        <x:v>0.7611682232818566</x:v>
      </x:c>
      <x:c r="C702" s="131" t="n">
        <x:f>MOD(ABS(SIN((A702+2)*12.9898+78.233)*43758.5453),1)</x:f>
        <x:v>0.7410970674063719</x:v>
      </x:c>
      <x:c r="D702" s="131" t="n">
        <x:f>MOD(ABS(SIN((A702+3)*12.9898+78.233)*43758.5453),1)</x:f>
        <x:v>0.8683083666692255</x:v>
      </x:c>
      <x:c r="E702" s="131" t="n">
        <x:f>MOD(ABS(SIN((A702+4)*12.9898+78.233)*43758.5453),1)</x:f>
        <x:v>0.18269833487283904</x:v>
      </x:c>
      <x:c r="F702" s="131" t="n">
        <x:f>MOD(ABS(SIN((A702+5)*12.9898+78.233)*43758.5453),1)</x:f>
        <x:v>0.04059445454913657</x:v>
      </x:c>
      <x:c r="G702" s="132" t="n">
        <x:f>IF(B702&lt;(('Assumptions'!$C$47-'Assumptions'!$B$47)/('Assumptions'!$D$47-'Assumptions'!$B$47)),'Assumptions'!$B$47+SQRT(B702*('Assumptions'!$D$47-'Assumptions'!$B$47)*('Assumptions'!$C$47-'Assumptions'!$B$47)),'Assumptions'!$D$47-SQRT((1-B702)*('Assumptions'!$D$47-'Assumptions'!$B$47)*('Assumptions'!$D$47-'Assumptions'!$C$47)))</x:f>
        <x:v>0.03818326741496043</x:v>
      </x:c>
      <x:c r="H702" s="132" t="n">
        <x:f>IF(C702&lt;(('Assumptions'!$C$48-'Assumptions'!$B$48)/('Assumptions'!$D$48-'Assumptions'!$B$48)),'Assumptions'!$B$48+SQRT(C702*('Assumptions'!$D$48-'Assumptions'!$B$48)*('Assumptions'!$C$48-'Assumptions'!$B$48)),'Assumptions'!$D$48-SQRT((1-C702)*('Assumptions'!$D$48-'Assumptions'!$B$48)*('Assumptions'!$D$48-'Assumptions'!$C$48)))</x:f>
        <x:v>0.09226797922962064</x:v>
      </x:c>
      <x:c r="I702" s="132" t="n">
        <x:f>IF(D702&lt;(('Assumptions'!$C$49-'Assumptions'!$B$49)/('Assumptions'!$D$49-'Assumptions'!$B$49)),'Assumptions'!$B$49+SQRT(D702*('Assumptions'!$D$49-'Assumptions'!$B$49)*('Assumptions'!$C$49-'Assumptions'!$B$49)),'Assumptions'!$D$49-SQRT((1-D702)*('Assumptions'!$D$49-'Assumptions'!$B$49)*('Assumptions'!$D$49-'Assumptions'!$C$49)))</x:f>
        <x:v>0.09666577759126202</x:v>
      </x:c>
      <x:c r="J702" s="132" t="n">
        <x:f>IF(E702&lt;(('Assumptions'!$C$50-'Assumptions'!$B$50)/('Assumptions'!$D$50-'Assumptions'!$B$50)),'Assumptions'!$B$50+SQRT(E702*('Assumptions'!$D$50-'Assumptions'!$B$50)*('Assumptions'!$C$50-'Assumptions'!$B$50)),'Assumptions'!$D$50-SQRT((1-E702)*('Assumptions'!$D$50-'Assumptions'!$B$50)*('Assumptions'!$D$50-'Assumptions'!$C$50)))</x:f>
        <x:v>0.06391148386462828</x:v>
      </x:c>
      <x:c r="K702" s="132" t="n">
        <x:f>IF(F702&lt;(('Assumptions'!$C$51-'Assumptions'!$B$51)/('Assumptions'!$D$51-'Assumptions'!$B$51)),'Assumptions'!$B$51+SQRT(F702*('Assumptions'!$D$51-'Assumptions'!$B$51)*('Assumptions'!$C$51-'Assumptions'!$B$51)),'Assumptions'!$D$51-SQRT((1-F702)*('Assumptions'!$D$51-'Assumptions'!$B$51)*('Assumptions'!$D$51-'Assumptions'!$C$51)))</x:f>
        <x:v>0.060841178684388576</x:v>
      </x:c>
      <x:c r="L702" s="133" t="n">
        <x:f>(('Assumptions'!$B$17*(1+G702)+'Assumptions'!$B$18)*(1-H702-'Assumptions'!$B$20)-SUM('Assumptions'!$B$21:$B$25)*(1+I702))-(('Assumptions'!$B$17*(1+G702)+'Assumptions'!$B$18)*(1-H702-'Assumptions'!$B$20)*'Assumptions'!$B$26)</x:f>
        <x:v>199435.70265228252</x:v>
      </x:c>
      <x:c r="M702" s="133" t="n">
        <x:f>'Assumptions'!$B$10*'Assumptions'!$B$33</x:f>
        <x:v>1950000</x:v>
      </x:c>
      <x:c r="N702" s="133" t="n">
        <x:f>-PMT(K702/12,'Assumptions'!$B$35*12,M702)*12</x:f>
        <x:v>141562.81438284626</x:v>
      </x:c>
      <x:c r="O702" s="133" t="n">
        <x:f>(L702*(1+'Assumptions'!$B$29)^('Assumptions'!$B$14/12)/J702)*(1-'Assumptions'!$B$42)-'Debt Schedule'!$F$9</x:f>
        <x:v>3400462.4530459293</x:v>
      </x:c>
      <x:c r="P702" s="132" t="n">
        <x:f>((O702+(L702-N702-'Assumptions'!$B$27-'Assumptions'!$B$28)*('Assumptions'!$B$14/12))/ABS('Monthly Cash Flow'!$S$5))^(1/('Assumptions'!$B$14/12))-1</x:f>
        <x:v>0.21938364596961035</x:v>
      </x:c>
      <x:c r="Q702" s="133" t="n">
        <x:f>-ABS('Monthly Cash Flow'!$S$5)+((L702-N702-'Assumptions'!$B$27-'Assumptions'!$B$28)*(1-(1+'Assumptions'!$B$43)^-('Assumptions'!$B$14/12))/'Assumptions'!$B$43)+(O702/(1+'Assumptions'!$B$43)^('Assumptions'!$B$14/12))</x:f>
        <x:v>884671.9537411523</x:v>
      </x:c>
    </x:row>
    <x:row r="703">
      <x:c r="A703" s="131" t="n">
        <x:f>696</x:f>
        <x:v>696</x:v>
      </x:c>
      <x:c r="B703" s="131" t="n">
        <x:f>MOD(ABS(SIN((A703+1)*12.9898+78.233)*43758.5453),1)</x:f>
        <x:v>0.7410970674063719</x:v>
      </x:c>
      <x:c r="C703" s="131" t="n">
        <x:f>MOD(ABS(SIN((A703+2)*12.9898+78.233)*43758.5453),1)</x:f>
        <x:v>0.8683083666692255</x:v>
      </x:c>
      <x:c r="D703" s="131" t="n">
        <x:f>MOD(ABS(SIN((A703+3)*12.9898+78.233)*43758.5453),1)</x:f>
        <x:v>0.18269833487283904</x:v>
      </x:c>
      <x:c r="E703" s="131" t="n">
        <x:f>MOD(ABS(SIN((A703+4)*12.9898+78.233)*43758.5453),1)</x:f>
        <x:v>0.04059445454913657</x:v>
      </x:c>
      <x:c r="F703" s="131" t="n">
        <x:f>MOD(ABS(SIN((A703+5)*12.9898+78.233)*43758.5453),1)</x:f>
        <x:v>0.03704748846939765</x:v>
      </x:c>
      <x:c r="G703" s="132" t="n">
        <x:f>IF(B703&lt;(('Assumptions'!$C$47-'Assumptions'!$B$47)/('Assumptions'!$D$47-'Assumptions'!$B$47)),'Assumptions'!$B$47+SQRT(B703*('Assumptions'!$D$47-'Assumptions'!$B$47)*('Assumptions'!$C$47-'Assumptions'!$B$47)),'Assumptions'!$D$47-SQRT((1-B703)*('Assumptions'!$D$47-'Assumptions'!$B$47)*('Assumptions'!$D$47-'Assumptions'!$C$47)))</x:f>
        <x:v>0.03563815632303524</x:v>
      </x:c>
      <x:c r="H703" s="132" t="n">
        <x:f>IF(C703&lt;(('Assumptions'!$C$48-'Assumptions'!$B$48)/('Assumptions'!$D$48-'Assumptions'!$B$48)),'Assumptions'!$B$48+SQRT(C703*('Assumptions'!$D$48-'Assumptions'!$B$48)*('Assumptions'!$C$48-'Assumptions'!$B$48)),'Assumptions'!$D$48-SQRT((1-C703)*('Assumptions'!$D$48-'Assumptions'!$B$48)*('Assumptions'!$D$48-'Assumptions'!$C$48)))</x:f>
        <x:v>0.10595757979651249</x:v>
      </x:c>
      <x:c r="I703" s="132" t="n">
        <x:f>IF(D703&lt;(('Assumptions'!$C$49-'Assumptions'!$B$49)/('Assumptions'!$D$49-'Assumptions'!$B$49)),'Assumptions'!$B$49+SQRT(D703*('Assumptions'!$D$49-'Assumptions'!$B$49)*('Assumptions'!$C$49-'Assumptions'!$B$49)),'Assumptions'!$D$49-SQRT((1-D703)*('Assumptions'!$D$49-'Assumptions'!$B$49)*('Assumptions'!$D$49-'Assumptions'!$C$49)))</x:f>
        <x:v>0.014420063221776955</x:v>
      </x:c>
      <x:c r="J703" s="132" t="n">
        <x:f>IF(E703&lt;(('Assumptions'!$C$50-'Assumptions'!$B$50)/('Assumptions'!$D$50-'Assumptions'!$B$50)),'Assumptions'!$B$50+SQRT(E703*('Assumptions'!$D$50-'Assumptions'!$B$50)*('Assumptions'!$C$50-'Assumptions'!$B$50)),'Assumptions'!$D$50-SQRT((1-E703)*('Assumptions'!$D$50-'Assumptions'!$B$50)*('Assumptions'!$D$50-'Assumptions'!$C$50)))</x:f>
        <x:v>0.060522209832813686</x:v>
      </x:c>
      <x:c r="K703" s="132" t="n">
        <x:f>IF(F703&lt;(('Assumptions'!$C$51-'Assumptions'!$B$51)/('Assumptions'!$D$51-'Assumptions'!$B$51)),'Assumptions'!$B$51+SQRT(F703*('Assumptions'!$D$51-'Assumptions'!$B$51)*('Assumptions'!$C$51-'Assumptions'!$B$51)),'Assumptions'!$D$51-SQRT((1-F703)*('Assumptions'!$D$51-'Assumptions'!$B$51)*('Assumptions'!$D$51-'Assumptions'!$C$51)))</x:f>
        <x:v>0.06069187395256836</x:v>
      </x:c>
      <x:c r="L703" s="133" t="n">
        <x:f>(('Assumptions'!$B$17*(1+G703)+'Assumptions'!$B$18)*(1-H703-'Assumptions'!$B$20)-SUM('Assumptions'!$B$21:$B$25)*(1+I703))-(('Assumptions'!$B$17*(1+G703)+'Assumptions'!$B$18)*(1-H703-'Assumptions'!$B$20)*'Assumptions'!$B$26)</x:f>
        <x:v>203872.73534143326</x:v>
      </x:c>
      <x:c r="M703" s="133" t="n">
        <x:f>'Assumptions'!$B$10*'Assumptions'!$B$33</x:f>
        <x:v>1950000</x:v>
      </x:c>
      <x:c r="N703" s="133" t="n">
        <x:f>-PMT(K703/12,'Assumptions'!$B$35*12,M703)*12</x:f>
        <x:v>141337.3890613203</x:v>
      </x:c>
      <x:c r="O703" s="133" t="n">
        <x:f>(L703*(1+'Assumptions'!$B$29)^('Assumptions'!$B$14/12)/J703)*(1-'Assumptions'!$B$42)-'Debt Schedule'!$F$9</x:f>
        <x:v>3670779.9427578105</x:v>
      </x:c>
      <x:c r="P703" s="132" t="n">
        <x:f>((O703+(L703-N703-'Assumptions'!$B$27-'Assumptions'!$B$28)*('Assumptions'!$B$14/12))/ABS('Monthly Cash Flow'!$S$5))^(1/('Assumptions'!$B$14/12))-1</x:f>
        <x:v>0.23924547576051558</x:v>
      </x:c>
      <x:c r="Q703" s="133" t="n">
        <x:f>-ABS('Monthly Cash Flow'!$S$5)+((L703-N703-'Assumptions'!$B$27-'Assumptions'!$B$28)*(1-(1+'Assumptions'!$B$43)^-('Assumptions'!$B$14/12))/'Assumptions'!$B$43)+(O703/(1+'Assumptions'!$B$43)^('Assumptions'!$B$14/12))</x:f>
        <x:v>1070192.2312388788</x:v>
      </x:c>
    </x:row>
    <x:row r="704">
      <x:c r="A704" s="131" t="n">
        <x:f>697</x:f>
        <x:v>697</x:v>
      </x:c>
      <x:c r="B704" s="131" t="n">
        <x:f>MOD(ABS(SIN((A704+1)*12.9898+78.233)*43758.5453),1)</x:f>
        <x:v>0.8683083666692255</x:v>
      </x:c>
      <x:c r="C704" s="131" t="n">
        <x:f>MOD(ABS(SIN((A704+2)*12.9898+78.233)*43758.5453),1)</x:f>
        <x:v>0.18269833487283904</x:v>
      </x:c>
      <x:c r="D704" s="131" t="n">
        <x:f>MOD(ABS(SIN((A704+3)*12.9898+78.233)*43758.5453),1)</x:f>
        <x:v>0.04059445454913657</x:v>
      </x:c>
      <x:c r="E704" s="131" t="n">
        <x:f>MOD(ABS(SIN((A704+4)*12.9898+78.233)*43758.5453),1)</x:f>
        <x:v>0.03704748846939765</x:v>
      </x:c>
      <x:c r="F704" s="131" t="n">
        <x:f>MOD(ABS(SIN((A704+5)*12.9898+78.233)*43758.5453),1)</x:f>
        <x:v>0.5235435560680344</x:v>
      </x:c>
      <x:c r="G704" s="132" t="n">
        <x:f>IF(B704&lt;(('Assumptions'!$C$47-'Assumptions'!$B$47)/('Assumptions'!$D$47-'Assumptions'!$B$47)),'Assumptions'!$B$47+SQRT(B704*('Assumptions'!$D$47-'Assumptions'!$B$47)*('Assumptions'!$C$47-'Assumptions'!$B$47)),'Assumptions'!$D$47-SQRT((1-B704)*('Assumptions'!$D$47-'Assumptions'!$B$47)*('Assumptions'!$D$47-'Assumptions'!$C$47)))</x:f>
        <x:v>0.05409720996178564</x:v>
      </x:c>
      <x:c r="H704" s="132" t="n">
        <x:f>IF(C704&lt;(('Assumptions'!$C$48-'Assumptions'!$B$48)/('Assumptions'!$D$48-'Assumptions'!$B$48)),'Assumptions'!$B$48+SQRT(C704*('Assumptions'!$D$48-'Assumptions'!$B$48)*('Assumptions'!$C$48-'Assumptions'!$B$48)),'Assumptions'!$D$48-SQRT((1-C704)*('Assumptions'!$D$48-'Assumptions'!$B$48)*('Assumptions'!$D$48-'Assumptions'!$C$48)))</x:f>
        <x:v>0.05455411381174993</x:v>
      </x:c>
      <x:c r="I704" s="132" t="n">
        <x:f>IF(D704&lt;(('Assumptions'!$C$49-'Assumptions'!$B$49)/('Assumptions'!$D$49-'Assumptions'!$B$49)),'Assumptions'!$B$49+SQRT(D704*('Assumptions'!$D$49-'Assumptions'!$B$49)*('Assumptions'!$C$49-'Assumptions'!$B$49)),'Assumptions'!$D$49-SQRT((1-D704)*('Assumptions'!$D$49-'Assumptions'!$B$49)*('Assumptions'!$D$49-'Assumptions'!$C$49)))</x:f>
        <x:v>-0.009061516073729813</x:v>
      </x:c>
      <x:c r="J704" s="132" t="n">
        <x:f>IF(E704&lt;(('Assumptions'!$C$50-'Assumptions'!$B$50)/('Assumptions'!$D$50-'Assumptions'!$B$50)),'Assumptions'!$B$50+SQRT(E704*('Assumptions'!$D$50-'Assumptions'!$B$50)*('Assumptions'!$C$50-'Assumptions'!$B$50)),'Assumptions'!$D$50-SQRT((1-E704)*('Assumptions'!$D$50-'Assumptions'!$B$50)*('Assumptions'!$D$50-'Assumptions'!$C$50)))</x:f>
        <x:v>0.06038715862148488</x:v>
      </x:c>
      <x:c r="K704" s="132" t="n">
        <x:f>IF(F704&lt;(('Assumptions'!$C$51-'Assumptions'!$B$51)/('Assumptions'!$D$51-'Assumptions'!$B$51)),'Assumptions'!$B$51+SQRT(F704*('Assumptions'!$D$51-'Assumptions'!$B$51)*('Assumptions'!$C$51-'Assumptions'!$B$51)),'Assumptions'!$D$51-SQRT((1-F704)*('Assumptions'!$D$51-'Assumptions'!$B$51)*('Assumptions'!$D$51-'Assumptions'!$C$51)))</x:f>
        <x:v>0.06985752121869546</x:v>
      </x:c>
      <x:c r="L704" s="133" t="n">
        <x:f>(('Assumptions'!$B$17*(1+G704)+'Assumptions'!$B$18)*(1-H704-'Assumptions'!$B$20)-SUM('Assumptions'!$B$21:$B$25)*(1+I704))-(('Assumptions'!$B$17*(1+G704)+'Assumptions'!$B$18)*(1-H704-'Assumptions'!$B$20)*'Assumptions'!$B$26)</x:f>
        <x:v>232085.44652977993</x:v>
      </x:c>
      <x:c r="M704" s="133" t="n">
        <x:f>'Assumptions'!$B$10*'Assumptions'!$B$33</x:f>
        <x:v>1950000</x:v>
      </x:c>
      <x:c r="N704" s="133" t="n">
        <x:f>-PMT(K704/12,'Assumptions'!$B$35*12,M704)*12</x:f>
        <x:v>155456.93772940617</x:v>
      </x:c>
      <x:c r="O704" s="133" t="n">
        <x:f>(L704*(1+'Assumptions'!$B$29)^('Assumptions'!$B$14/12)/J704)*(1-'Assumptions'!$B$42)-'Debt Schedule'!$F$9</x:f>
        <x:v>4188102.379489555</x:v>
      </x:c>
      <x:c r="P704" s="132" t="n">
        <x:f>((O704+(L704-N704-'Assumptions'!$B$27-'Assumptions'!$B$28)*('Assumptions'!$B$14/12))/ABS('Monthly Cash Flow'!$S$5))^(1/('Assumptions'!$B$14/12))-1</x:f>
        <x:v>0.27555919346280633</x:v>
      </x:c>
      <x:c r="Q704" s="133" t="n">
        <x:f>-ABS('Monthly Cash Flow'!$S$5)+((L704-N704-'Assumptions'!$B$27-'Assumptions'!$B$28)*(1-(1+'Assumptions'!$B$43)^-('Assumptions'!$B$14/12))/'Assumptions'!$B$43)+(O704/(1+'Assumptions'!$B$43)^('Assumptions'!$B$14/12))</x:f>
        <x:v>1444832.9371234674</x:v>
      </x:c>
    </x:row>
    <x:row r="705">
      <x:c r="A705" s="131" t="n">
        <x:f>698</x:f>
        <x:v>698</x:v>
      </x:c>
      <x:c r="B705" s="131" t="n">
        <x:f>MOD(ABS(SIN((A705+1)*12.9898+78.233)*43758.5453),1)</x:f>
        <x:v>0.18269833487283904</x:v>
      </x:c>
      <x:c r="C705" s="131" t="n">
        <x:f>MOD(ABS(SIN((A705+2)*12.9898+78.233)*43758.5453),1)</x:f>
        <x:v>0.04059445454913657</x:v>
      </x:c>
      <x:c r="D705" s="131" t="n">
        <x:f>MOD(ABS(SIN((A705+3)*12.9898+78.233)*43758.5453),1)</x:f>
        <x:v>0.03704748846939765</x:v>
      </x:c>
      <x:c r="E705" s="131" t="n">
        <x:f>MOD(ABS(SIN((A705+4)*12.9898+78.233)*43758.5453),1)</x:f>
        <x:v>0.5235435560680344</x:v>
      </x:c>
      <x:c r="F705" s="131" t="n">
        <x:f>MOD(ABS(SIN((A705+5)*12.9898+78.233)*43758.5453),1)</x:f>
        <x:v>0.9137868249235908</x:v>
      </x:c>
      <x:c r="G705" s="132" t="n">
        <x:f>IF(B705&lt;(('Assumptions'!$C$47-'Assumptions'!$B$47)/('Assumptions'!$D$47-'Assumptions'!$B$47)),'Assumptions'!$B$47+SQRT(B705*('Assumptions'!$D$47-'Assumptions'!$B$47)*('Assumptions'!$C$47-'Assumptions'!$B$47)),'Assumptions'!$D$47-SQRT((1-B705)*('Assumptions'!$D$47-'Assumptions'!$B$47)*('Assumptions'!$D$47-'Assumptions'!$C$47)))</x:f>
        <x:v>-0.03378247938084561</x:v>
      </x:c>
      <x:c r="H705" s="132" t="n">
        <x:f>IF(C705&lt;(('Assumptions'!$C$48-'Assumptions'!$B$48)/('Assumptions'!$D$48-'Assumptions'!$B$48)),'Assumptions'!$B$48+SQRT(C705*('Assumptions'!$D$48-'Assumptions'!$B$48)*('Assumptions'!$C$48-'Assumptions'!$B$48)),'Assumptions'!$D$48-SQRT((1-C705)*('Assumptions'!$D$48-'Assumptions'!$B$48)*('Assumptions'!$D$48-'Assumptions'!$C$48)))</x:f>
        <x:v>0.04157418247705429</x:v>
      </x:c>
      <x:c r="I705" s="132" t="n">
        <x:f>IF(D705&lt;(('Assumptions'!$C$49-'Assumptions'!$B$49)/('Assumptions'!$D$49-'Assumptions'!$B$49)),'Assumptions'!$B$49+SQRT(D705*('Assumptions'!$D$49-'Assumptions'!$B$49)*('Assumptions'!$C$49-'Assumptions'!$B$49)),'Assumptions'!$D$49-SQRT((1-D705)*('Assumptions'!$D$49-'Assumptions'!$B$49)*('Assumptions'!$D$49-'Assumptions'!$C$49)))</x:f>
        <x:v>-0.00999717831231067</x:v>
      </x:c>
      <x:c r="J705" s="132" t="n">
        <x:f>IF(E705&lt;(('Assumptions'!$C$50-'Assumptions'!$B$50)/('Assumptions'!$D$50-'Assumptions'!$B$50)),'Assumptions'!$B$50+SQRT(E705*('Assumptions'!$D$50-'Assumptions'!$B$50)*('Assumptions'!$C$50-'Assumptions'!$B$50)),'Assumptions'!$D$50-SQRT((1-E705)*('Assumptions'!$D$50-'Assumptions'!$B$50)*('Assumptions'!$D$50-'Assumptions'!$C$50)))</x:f>
        <x:v>0.06842401732655645</x:v>
      </x:c>
      <x:c r="K705" s="132" t="n">
        <x:f>IF(F705&lt;(('Assumptions'!$C$51-'Assumptions'!$B$51)/('Assumptions'!$D$51-'Assumptions'!$B$51)),'Assumptions'!$B$51+SQRT(F705*('Assumptions'!$D$51-'Assumptions'!$B$51)*('Assumptions'!$C$51-'Assumptions'!$B$51)),'Assumptions'!$D$51-SQRT((1-F705)*('Assumptions'!$D$51-'Assumptions'!$B$51)*('Assumptions'!$D$51-'Assumptions'!$C$51)))</x:f>
        <x:v>0.07855871980849134</x:v>
      </x:c>
      <x:c r="L705" s="133" t="n">
        <x:f>(('Assumptions'!$B$17*(1+G705)+'Assumptions'!$B$18)*(1-H705-'Assumptions'!$B$20)-SUM('Assumptions'!$B$21:$B$25)*(1+I705))-(('Assumptions'!$B$17*(1+G705)+'Assumptions'!$B$18)*(1-H705-'Assumptions'!$B$20)*'Assumptions'!$B$26)</x:f>
        <x:v>208351.32043417078</x:v>
      </x:c>
      <x:c r="M705" s="133" t="n">
        <x:f>'Assumptions'!$B$10*'Assumptions'!$B$33</x:f>
        <x:v>1950000</x:v>
      </x:c>
      <x:c r="N705" s="133" t="n">
        <x:f>-PMT(K705/12,'Assumptions'!$B$35*12,M705)*12</x:f>
        <x:v>169355.6653414176</x:v>
      </x:c>
      <x:c r="O705" s="133" t="n">
        <x:f>(L705*(1+'Assumptions'!$B$29)^('Assumptions'!$B$14/12)/J705)*(1-'Assumptions'!$B$42)-'Debt Schedule'!$F$9</x:f>
        <x:v>3318193.171768887</x:v>
      </x:c>
      <x:c r="P705" s="132" t="n">
        <x:f>((O705+(L705-N705-'Assumptions'!$B$27-'Assumptions'!$B$28)*('Assumptions'!$B$14/12))/ABS('Monthly Cash Flow'!$S$5))^(1/('Assumptions'!$B$14/12))-1</x:f>
        <x:v>0.20678074206323238</x:v>
      </x:c>
      <x:c r="Q705" s="133" t="n">
        <x:f>-ABS('Monthly Cash Flow'!$S$5)+((L705-N705-'Assumptions'!$B$27-'Assumptions'!$B$28)*(1-(1+'Assumptions'!$B$43)^-('Assumptions'!$B$14/12))/'Assumptions'!$B$43)+(O705/(1+'Assumptions'!$B$43)^('Assumptions'!$B$14/12))</x:f>
        <x:v>762029.6369942771</x:v>
      </x:c>
    </x:row>
    <x:row r="706">
      <x:c r="A706" s="131" t="n">
        <x:f>699</x:f>
        <x:v>699</x:v>
      </x:c>
      <x:c r="B706" s="131" t="n">
        <x:f>MOD(ABS(SIN((A706+1)*12.9898+78.233)*43758.5453),1)</x:f>
        <x:v>0.04059445454913657</x:v>
      </x:c>
      <x:c r="C706" s="131" t="n">
        <x:f>MOD(ABS(SIN((A706+2)*12.9898+78.233)*43758.5453),1)</x:f>
        <x:v>0.03704748846939765</x:v>
      </x:c>
      <x:c r="D706" s="131" t="n">
        <x:f>MOD(ABS(SIN((A706+3)*12.9898+78.233)*43758.5453),1)</x:f>
        <x:v>0.5235435560680344</x:v>
      </x:c>
      <x:c r="E706" s="131" t="n">
        <x:f>MOD(ABS(SIN((A706+4)*12.9898+78.233)*43758.5453),1)</x:f>
        <x:v>0.9137868249235908</x:v>
      </x:c>
      <x:c r="F706" s="131" t="n">
        <x:f>MOD(ABS(SIN((A706+5)*12.9898+78.233)*43758.5453),1)</x:f>
        <x:v>0.33575495138939004</x:v>
      </x:c>
      <x:c r="G706" s="132" t="n">
        <x:f>IF(B706&lt;(('Assumptions'!$C$47-'Assumptions'!$B$47)/('Assumptions'!$D$47-'Assumptions'!$B$47)),'Assumptions'!$B$47+SQRT(B706*('Assumptions'!$D$47-'Assumptions'!$B$47)*('Assumptions'!$C$47-'Assumptions'!$B$47)),'Assumptions'!$D$47-SQRT((1-B706)*('Assumptions'!$D$47-'Assumptions'!$B$47)*('Assumptions'!$D$47-'Assumptions'!$C$47)))</x:f>
        <x:v>-0.06878675106338211</x:v>
      </x:c>
      <x:c r="H706" s="132" t="n">
        <x:f>IF(C706&lt;(('Assumptions'!$C$48-'Assumptions'!$B$48)/('Assumptions'!$D$48-'Assumptions'!$B$48)),'Assumptions'!$B$48+SQRT(C706*('Assumptions'!$D$48-'Assumptions'!$B$48)*('Assumptions'!$C$48-'Assumptions'!$B$48)),'Assumptions'!$D$48-SQRT((1-C706)*('Assumptions'!$D$48-'Assumptions'!$B$48)*('Assumptions'!$D$48-'Assumptions'!$C$48)))</x:f>
        <x:v>0.04105697571440818</x:v>
      </x:c>
      <x:c r="I706" s="132" t="n">
        <x:f>IF(D706&lt;(('Assumptions'!$C$49-'Assumptions'!$B$49)/('Assumptions'!$D$49-'Assumptions'!$B$49)),'Assumptions'!$B$49+SQRT(D706*('Assumptions'!$D$49-'Assumptions'!$B$49)*('Assumptions'!$C$49-'Assumptions'!$B$49)),'Assumptions'!$D$49-SQRT((1-D706)*('Assumptions'!$D$49-'Assumptions'!$B$49)*('Assumptions'!$D$49-'Assumptions'!$C$49)))</x:f>
        <x:v>0.048553170631456116</x:v>
      </x:c>
      <x:c r="J706" s="132" t="n">
        <x:f>IF(E706&lt;(('Assumptions'!$C$50-'Assumptions'!$B$50)/('Assumptions'!$D$50-'Assumptions'!$B$50)),'Assumptions'!$B$50+SQRT(E706*('Assumptions'!$D$50-'Assumptions'!$B$50)*('Assumptions'!$C$50-'Assumptions'!$B$50)),'Assumptions'!$D$50-SQRT((1-E706)*('Assumptions'!$D$50-'Assumptions'!$B$50)*('Assumptions'!$D$50-'Assumptions'!$C$50)))</x:f>
        <x:v>0.0750758294617022</x:v>
      </x:c>
      <x:c r="K706" s="132" t="n">
        <x:f>IF(F706&lt;(('Assumptions'!$C$51-'Assumptions'!$B$51)/('Assumptions'!$D$51-'Assumptions'!$B$51)),'Assumptions'!$B$51+SQRT(F706*('Assumptions'!$D$51-'Assumptions'!$B$51)*('Assumptions'!$C$51-'Assumptions'!$B$51)),'Assumptions'!$D$51-SQRT((1-F706)*('Assumptions'!$D$51-'Assumptions'!$B$51)*('Assumptions'!$D$51-'Assumptions'!$C$51)))</x:f>
        <x:v>0.06710898598355114</x:v>
      </x:c>
      <x:c r="L706" s="133" t="n">
        <x:f>(('Assumptions'!$B$17*(1+G706)+'Assumptions'!$B$18)*(1-H706-'Assumptions'!$B$20)-SUM('Assumptions'!$B$21:$B$25)*(1+I706))-(('Assumptions'!$B$17*(1+G706)+'Assumptions'!$B$18)*(1-H706-'Assumptions'!$B$20)*'Assumptions'!$B$26)</x:f>
        <x:v>189675.80621186236</x:v>
      </x:c>
      <x:c r="M706" s="133" t="n">
        <x:f>'Assumptions'!$B$10*'Assumptions'!$B$33</x:f>
        <x:v>1950000</x:v>
      </x:c>
      <x:c r="N706" s="133" t="n">
        <x:f>-PMT(K706/12,'Assumptions'!$B$35*12,M706)*12</x:f>
        <x:v>151164.25143135106</x:v>
      </x:c>
      <x:c r="O706" s="133" t="n">
        <x:f>(L706*(1+'Assumptions'!$B$29)^('Assumptions'!$B$14/12)/J706)*(1-'Assumptions'!$B$42)-'Debt Schedule'!$F$9</x:f>
        <x:v>2753124.0276073106</x:v>
      </x:c>
      <x:c r="P706" s="132" t="n">
        <x:f>((O706+(L706-N706-'Assumptions'!$B$27-'Assumptions'!$B$28)*('Assumptions'!$B$14/12))/ABS('Monthly Cash Flow'!$S$5))^(1/('Assumptions'!$B$14/12))-1</x:f>
        <x:v>0.16227696344091402</x:v>
      </x:c>
      <x:c r="Q706" s="133" t="n">
        <x:f>-ABS('Monthly Cash Flow'!$S$5)+((L706-N706-'Assumptions'!$B$27-'Assumptions'!$B$28)*(1-(1+'Assumptions'!$B$43)^-('Assumptions'!$B$14/12))/'Assumptions'!$B$43)+(O706/(1+'Assumptions'!$B$43)^('Assumptions'!$B$14/12))</x:f>
        <x:v>409331.03532285383</x:v>
      </x:c>
    </x:row>
    <x:row r="707">
      <x:c r="A707" s="131" t="n">
        <x:f>700</x:f>
        <x:v>700</x:v>
      </x:c>
      <x:c r="B707" s="131" t="n">
        <x:f>MOD(ABS(SIN((A707+1)*12.9898+78.233)*43758.5453),1)</x:f>
        <x:v>0.03704748846939765</x:v>
      </x:c>
      <x:c r="C707" s="131" t="n">
        <x:f>MOD(ABS(SIN((A707+2)*12.9898+78.233)*43758.5453),1)</x:f>
        <x:v>0.5235435560680344</x:v>
      </x:c>
      <x:c r="D707" s="131" t="n">
        <x:f>MOD(ABS(SIN((A707+3)*12.9898+78.233)*43758.5453),1)</x:f>
        <x:v>0.9137868249235908</x:v>
      </x:c>
      <x:c r="E707" s="131" t="n">
        <x:f>MOD(ABS(SIN((A707+4)*12.9898+78.233)*43758.5453),1)</x:f>
        <x:v>0.33575495138939004</x:v>
      </x:c>
      <x:c r="F707" s="131" t="n">
        <x:f>MOD(ABS(SIN((A707+5)*12.9898+78.233)*43758.5453),1)</x:f>
        <x:v>0.5880934419728874</x:v>
      </x:c>
      <x:c r="G707" s="132" t="n">
        <x:f>IF(B707&lt;(('Assumptions'!$C$47-'Assumptions'!$B$47)/('Assumptions'!$D$47-'Assumptions'!$B$47)),'Assumptions'!$B$47+SQRT(B707*('Assumptions'!$D$47-'Assumptions'!$B$47)*('Assumptions'!$C$47-'Assumptions'!$B$47)),'Assumptions'!$D$47-SQRT((1-B707)*('Assumptions'!$D$47-'Assumptions'!$B$47)*('Assumptions'!$D$47-'Assumptions'!$C$47)))</x:f>
        <x:v>-0.0701815539763464</x:v>
      </x:c>
      <x:c r="H707" s="132" t="n">
        <x:f>IF(C707&lt;(('Assumptions'!$C$48-'Assumptions'!$B$48)/('Assumptions'!$D$48-'Assumptions'!$B$48)),'Assumptions'!$B$48+SQRT(C707*('Assumptions'!$D$48-'Assumptions'!$B$48)*('Assumptions'!$C$48-'Assumptions'!$B$48)),'Assumptions'!$D$48-SQRT((1-C707)*('Assumptions'!$D$48-'Assumptions'!$B$48)*('Assumptions'!$D$48-'Assumptions'!$C$48)))</x:f>
        <x:v>0.0752480370444162</x:v>
      </x:c>
      <x:c r="I707" s="132" t="n">
        <x:f>IF(D707&lt;(('Assumptions'!$C$49-'Assumptions'!$B$49)/('Assumptions'!$D$49-'Assumptions'!$B$49)),'Assumptions'!$B$49+SQRT(D707*('Assumptions'!$D$49-'Assumptions'!$B$49)*('Assumptions'!$C$49-'Assumptions'!$B$49)),'Assumptions'!$D$49-SQRT((1-D707)*('Assumptions'!$D$49-'Assumptions'!$B$49)*('Assumptions'!$D$49-'Assumptions'!$C$49)))</x:f>
        <x:v>0.10684673150675096</x:v>
      </x:c>
      <x:c r="J707" s="132" t="n">
        <x:f>IF(E707&lt;(('Assumptions'!$C$50-'Assumptions'!$B$50)/('Assumptions'!$D$50-'Assumptions'!$B$50)),'Assumptions'!$B$50+SQRT(E707*('Assumptions'!$D$50-'Assumptions'!$B$50)*('Assumptions'!$C$50-'Assumptions'!$B$50)),'Assumptions'!$D$50-SQRT((1-E707)*('Assumptions'!$D$50-'Assumptions'!$B$50)*('Assumptions'!$D$50-'Assumptions'!$C$50)))</x:f>
        <x:v>0.06619165485178817</x:v>
      </x:c>
      <x:c r="K707" s="132" t="n">
        <x:f>IF(F707&lt;(('Assumptions'!$C$51-'Assumptions'!$B$51)/('Assumptions'!$D$51-'Assumptions'!$B$51)),'Assumptions'!$B$51+SQRT(F707*('Assumptions'!$D$51-'Assumptions'!$B$51)*('Assumptions'!$C$51-'Assumptions'!$B$51)),'Assumptions'!$D$51-SQRT((1-F707)*('Assumptions'!$D$51-'Assumptions'!$B$51)*('Assumptions'!$D$51-'Assumptions'!$C$51)))</x:f>
        <x:v>0.0709205812957158</x:v>
      </x:c>
      <x:c r="L707" s="133" t="n">
        <x:f>(('Assumptions'!$B$17*(1+G707)+'Assumptions'!$B$18)*(1-H707-'Assumptions'!$B$20)-SUM('Assumptions'!$B$21:$B$25)*(1+I707))-(('Assumptions'!$B$17*(1+G707)+'Assumptions'!$B$18)*(1-H707-'Assumptions'!$B$20)*'Assumptions'!$B$26)</x:f>
        <x:v>170295.4284981318</x:v>
      </x:c>
      <x:c r="M707" s="133" t="n">
        <x:f>'Assumptions'!$B$10*'Assumptions'!$B$33</x:f>
        <x:v>1950000</x:v>
      </x:c>
      <x:c r="N707" s="133" t="n">
        <x:f>-PMT(K707/12,'Assumptions'!$B$35*12,M707)*12</x:f>
        <x:v>157130.188240711</x:v>
      </x:c>
      <x:c r="O707" s="133" t="n">
        <x:f>(L707*(1+'Assumptions'!$B$29)^('Assumptions'!$B$14/12)/J707)*(1-'Assumptions'!$B$42)-'Debt Schedule'!$F$9</x:f>
        <x:v>2803585.0007291166</x:v>
      </x:c>
      <x:c r="P707" s="132" t="n">
        <x:f>((O707+(L707-N707-'Assumptions'!$B$27-'Assumptions'!$B$28)*('Assumptions'!$B$14/12))/ABS('Monthly Cash Flow'!$S$5))^(1/('Assumptions'!$B$14/12))-1</x:f>
        <x:v>0.155746760405711</x:v>
      </x:c>
      <x:c r="Q707" s="133" t="n">
        <x:f>-ABS('Monthly Cash Flow'!$S$5)+((L707-N707-'Assumptions'!$B$27-'Assumptions'!$B$28)*(1-(1+'Assumptions'!$B$43)^-('Assumptions'!$B$14/12))/'Assumptions'!$B$43)+(O707/(1+'Assumptions'!$B$43)^('Assumptions'!$B$14/12))</x:f>
        <x:v>344580.8557691013</x:v>
      </x:c>
    </x:row>
    <x:row r="708">
      <x:c r="A708" s="131" t="n">
        <x:f>701</x:f>
        <x:v>701</x:v>
      </x:c>
      <x:c r="B708" s="131" t="n">
        <x:f>MOD(ABS(SIN((A708+1)*12.9898+78.233)*43758.5453),1)</x:f>
        <x:v>0.5235435560680344</x:v>
      </x:c>
      <x:c r="C708" s="131" t="n">
        <x:f>MOD(ABS(SIN((A708+2)*12.9898+78.233)*43758.5453),1)</x:f>
        <x:v>0.9137868249235908</x:v>
      </x:c>
      <x:c r="D708" s="131" t="n">
        <x:f>MOD(ABS(SIN((A708+3)*12.9898+78.233)*43758.5453),1)</x:f>
        <x:v>0.33575495138939004</x:v>
      </x:c>
      <x:c r="E708" s="131" t="n">
        <x:f>MOD(ABS(SIN((A708+4)*12.9898+78.233)*43758.5453),1)</x:f>
        <x:v>0.5880934419728874</x:v>
      </x:c>
      <x:c r="F708" s="131" t="n">
        <x:f>MOD(ABS(SIN((A708+5)*12.9898+78.233)*43758.5453),1)</x:f>
        <x:v>0.3904917399859187</x:v>
      </x:c>
      <x:c r="G708" s="132" t="n">
        <x:f>IF(B708&lt;(('Assumptions'!$C$47-'Assumptions'!$B$47)/('Assumptions'!$D$47-'Assumptions'!$B$47)),'Assumptions'!$B$47+SQRT(B708*('Assumptions'!$D$47-'Assumptions'!$B$47)*('Assumptions'!$C$47-'Assumptions'!$B$47)),'Assumptions'!$D$47-SQRT((1-B708)*('Assumptions'!$D$47-'Assumptions'!$B$47)*('Assumptions'!$D$47-'Assumptions'!$C$47)))</x:f>
        <x:v>0.012093913062364028</x:v>
      </x:c>
      <x:c r="H708" s="132" t="n">
        <x:f>IF(C708&lt;(('Assumptions'!$C$48-'Assumptions'!$B$48)/('Assumptions'!$D$48-'Assumptions'!$B$48)),'Assumptions'!$B$48+SQRT(C708*('Assumptions'!$D$48-'Assumptions'!$B$48)*('Assumptions'!$C$48-'Assumptions'!$B$48)),'Assumptions'!$D$48-SQRT((1-C708)*('Assumptions'!$D$48-'Assumptions'!$B$48)*('Assumptions'!$D$48-'Assumptions'!$C$48)))</x:f>
        <x:v>0.11245592730418393</x:v>
      </x:c>
      <x:c r="I708" s="132" t="n">
        <x:f>IF(D708&lt;(('Assumptions'!$C$49-'Assumptions'!$B$49)/('Assumptions'!$D$49-'Assumptions'!$B$49)),'Assumptions'!$B$49+SQRT(D708*('Assumptions'!$D$49-'Assumptions'!$B$49)*('Assumptions'!$C$49-'Assumptions'!$B$49)),'Assumptions'!$D$49-SQRT((1-D708)*('Assumptions'!$D$49-'Assumptions'!$B$49)*('Assumptions'!$D$49-'Assumptions'!$C$49)))</x:f>
        <x:v>0.030218143903222236</x:v>
      </x:c>
      <x:c r="J708" s="132" t="n">
        <x:f>IF(E708&lt;(('Assumptions'!$C$50-'Assumptions'!$B$50)/('Assumptions'!$D$50-'Assumptions'!$B$50)),'Assumptions'!$B$50+SQRT(E708*('Assumptions'!$D$50-'Assumptions'!$B$50)*('Assumptions'!$C$50-'Assumptions'!$B$50)),'Assumptions'!$D$50-SQRT((1-E708)*('Assumptions'!$D$50-'Assumptions'!$B$50)*('Assumptions'!$D$50-'Assumptions'!$C$50)))</x:f>
        <x:v>0.06923669570043077</x:v>
      </x:c>
      <x:c r="K708" s="132" t="n">
        <x:f>IF(F708&lt;(('Assumptions'!$C$51-'Assumptions'!$B$51)/('Assumptions'!$D$51-'Assumptions'!$B$51)),'Assumptions'!$B$51+SQRT(F708*('Assumptions'!$D$51-'Assumptions'!$B$51)*('Assumptions'!$C$51-'Assumptions'!$B$51)),'Assumptions'!$D$51-SQRT((1-F708)*('Assumptions'!$D$51-'Assumptions'!$B$51)*('Assumptions'!$D$51-'Assumptions'!$C$51)))</x:f>
        <x:v>0.06787324169225897</x:v>
      </x:c>
      <x:c r="L708" s="133" t="n">
        <x:f>(('Assumptions'!$B$17*(1+G708)+'Assumptions'!$B$18)*(1-H708-'Assumptions'!$B$20)-SUM('Assumptions'!$B$21:$B$25)*(1+I708))-(('Assumptions'!$B$17*(1+G708)+'Assumptions'!$B$18)*(1-H708-'Assumptions'!$B$20)*'Assumptions'!$B$26)</x:f>
        <x:v>192303.5396277196</x:v>
      </x:c>
      <x:c r="M708" s="133" t="n">
        <x:f>'Assumptions'!$B$10*'Assumptions'!$B$33</x:f>
        <x:v>1950000</x:v>
      </x:c>
      <x:c r="N708" s="133" t="n">
        <x:f>-PMT(K708/12,'Assumptions'!$B$35*12,M708)*12</x:f>
        <x:v>152352.96746117185</x:v>
      </x:c>
      <x:c r="O708" s="133" t="n">
        <x:f>(L708*(1+'Assumptions'!$B$29)^('Assumptions'!$B$14/12)/J708)*(1-'Assumptions'!$B$42)-'Debt Schedule'!$F$9</x:f>
        <x:v>3026668.9548565783</x:v>
      </x:c>
      <x:c r="P708" s="132" t="n">
        <x:f>((O708+(L708-N708-'Assumptions'!$B$27-'Assumptions'!$B$28)*('Assumptions'!$B$14/12))/ABS('Monthly Cash Flow'!$S$5))^(1/('Assumptions'!$B$14/12))-1</x:f>
        <x:v>0.18512860545990595</x:v>
      </x:c>
      <x:c r="Q708" s="133" t="n">
        <x:f>-ABS('Monthly Cash Flow'!$S$5)+((L708-N708-'Assumptions'!$B$27-'Assumptions'!$B$28)*(1-(1+'Assumptions'!$B$43)^-('Assumptions'!$B$14/12))/'Assumptions'!$B$43)+(O708/(1+'Assumptions'!$B$43)^('Assumptions'!$B$14/12))</x:f>
        <x:v>584635.921534525</x:v>
      </x:c>
    </x:row>
    <x:row r="709">
      <x:c r="A709" s="131" t="n">
        <x:f>702</x:f>
        <x:v>702</x:v>
      </x:c>
      <x:c r="B709" s="131" t="n">
        <x:f>MOD(ABS(SIN((A709+1)*12.9898+78.233)*43758.5453),1)</x:f>
        <x:v>0.9137868249235908</x:v>
      </x:c>
      <x:c r="C709" s="131" t="n">
        <x:f>MOD(ABS(SIN((A709+2)*12.9898+78.233)*43758.5453),1)</x:f>
        <x:v>0.33575495138939004</x:v>
      </x:c>
      <x:c r="D709" s="131" t="n">
        <x:f>MOD(ABS(SIN((A709+3)*12.9898+78.233)*43758.5453),1)</x:f>
        <x:v>0.5880934419728874</x:v>
      </x:c>
      <x:c r="E709" s="131" t="n">
        <x:f>MOD(ABS(SIN((A709+4)*12.9898+78.233)*43758.5453),1)</x:f>
        <x:v>0.3904917399859187</x:v>
      </x:c>
      <x:c r="F709" s="131" t="n">
        <x:f>MOD(ABS(SIN((A709+5)*12.9898+78.233)*43758.5453),1)</x:f>
        <x:v>0.6220647401059978</x:v>
      </x:c>
      <x:c r="G709" s="132" t="n">
        <x:f>IF(B709&lt;(('Assumptions'!$C$47-'Assumptions'!$B$47)/('Assumptions'!$D$47-'Assumptions'!$B$47)),'Assumptions'!$B$47+SQRT(B709*('Assumptions'!$D$47-'Assumptions'!$B$47)*('Assumptions'!$C$47-'Assumptions'!$B$47)),'Assumptions'!$D$47-SQRT((1-B709)*('Assumptions'!$D$47-'Assumptions'!$B$47)*('Assumptions'!$D$47-'Assumptions'!$C$47)))</x:f>
        <x:v>0.06285957995360651</x:v>
      </x:c>
      <x:c r="H709" s="132" t="n">
        <x:f>IF(C709&lt;(('Assumptions'!$C$48-'Assumptions'!$B$48)/('Assumptions'!$D$48-'Assumptions'!$B$48)),'Assumptions'!$B$48+SQRT(C709*('Assumptions'!$D$48-'Assumptions'!$B$48)*('Assumptions'!$C$48-'Assumptions'!$B$48)),'Assumptions'!$D$48-SQRT((1-C709)*('Assumptions'!$D$48-'Assumptions'!$B$48)*('Assumptions'!$D$48-'Assumptions'!$C$48)))</x:f>
        <x:v>0.06354506930371745</x:v>
      </x:c>
      <x:c r="I709" s="132" t="n">
        <x:f>IF(D709&lt;(('Assumptions'!$C$49-'Assumptions'!$B$49)/('Assumptions'!$D$49-'Assumptions'!$B$49)),'Assumptions'!$B$49+SQRT(D709*('Assumptions'!$D$49-'Assumptions'!$B$49)*('Assumptions'!$C$49-'Assumptions'!$B$49)),'Assumptions'!$D$49-SQRT((1-D709)*('Assumptions'!$D$49-'Assumptions'!$B$49)*('Assumptions'!$D$49-'Assumptions'!$C$49)))</x:f>
        <x:v>0.05567512706933747</x:v>
      </x:c>
      <x:c r="J709" s="132" t="n">
        <x:f>IF(E709&lt;(('Assumptions'!$C$50-'Assumptions'!$B$50)/('Assumptions'!$D$50-'Assumptions'!$B$50)),'Assumptions'!$B$50+SQRT(E709*('Assumptions'!$D$50-'Assumptions'!$B$50)*('Assumptions'!$C$50-'Assumptions'!$B$50)),'Assumptions'!$D$50-SQRT((1-E709)*('Assumptions'!$D$50-'Assumptions'!$B$50)*('Assumptions'!$D$50-'Assumptions'!$C$50)))</x:f>
        <x:v>0.06687340074342454</x:v>
      </x:c>
      <x:c r="K709" s="132" t="n">
        <x:f>IF(F709&lt;(('Assumptions'!$C$51-'Assumptions'!$B$51)/('Assumptions'!$D$51-'Assumptions'!$B$51)),'Assumptions'!$B$51+SQRT(F709*('Assumptions'!$D$51-'Assumptions'!$B$51)*('Assumptions'!$C$51-'Assumptions'!$B$51)),'Assumptions'!$D$51-SQRT((1-F709)*('Assumptions'!$D$51-'Assumptions'!$B$51)*('Assumptions'!$D$51-'Assumptions'!$C$51)))</x:f>
        <x:v>0.0715136608442473</x:v>
      </x:c>
      <x:c r="L709" s="133" t="n">
        <x:f>(('Assumptions'!$B$17*(1+G709)+'Assumptions'!$B$18)*(1-H709-'Assumptions'!$B$20)-SUM('Assumptions'!$B$21:$B$25)*(1+I709))-(('Assumptions'!$B$17*(1+G709)+'Assumptions'!$B$18)*(1-H709-'Assumptions'!$B$20)*'Assumptions'!$B$26)</x:f>
        <x:v>223303.4570683872</x:v>
      </x:c>
      <x:c r="M709" s="133" t="n">
        <x:f>'Assumptions'!$B$10*'Assumptions'!$B$33</x:f>
        <x:v>1950000</x:v>
      </x:c>
      <x:c r="N709" s="133" t="n">
        <x:f>-PMT(K709/12,'Assumptions'!$B$35*12,M709)*12</x:f>
        <x:v>158066.7788415156</x:v>
      </x:c>
      <x:c r="O709" s="133" t="n">
        <x:f>(L709*(1+'Assumptions'!$B$29)^('Assumptions'!$B$14/12)/J709)*(1-'Assumptions'!$B$42)-'Debt Schedule'!$F$9</x:f>
        <x:v>3638781.8066215864</x:v>
      </x:c>
      <x:c r="P709" s="132" t="n">
        <x:f>((O709+(L709-N709-'Assumptions'!$B$27-'Assumptions'!$B$28)*('Assumptions'!$B$14/12))/ABS('Monthly Cash Flow'!$S$5))^(1/('Assumptions'!$B$14/12))-1</x:f>
        <x:v>0.23803174918048708</x:v>
      </x:c>
      <x:c r="Q709" s="133" t="n">
        <x:f>-ABS('Monthly Cash Flow'!$S$5)+((L709-N709-'Assumptions'!$B$27-'Assumptions'!$B$28)*(1-(1+'Assumptions'!$B$43)^-('Assumptions'!$B$14/12))/'Assumptions'!$B$43)+(O709/(1+'Assumptions'!$B$43)^('Assumptions'!$B$14/12))</x:f>
        <x:v>1060564.0796173008</x:v>
      </x:c>
    </x:row>
    <x:row r="710">
      <x:c r="A710" s="131" t="n">
        <x:f>703</x:f>
        <x:v>703</x:v>
      </x:c>
      <x:c r="B710" s="131" t="n">
        <x:f>MOD(ABS(SIN((A710+1)*12.9898+78.233)*43758.5453),1)</x:f>
        <x:v>0.33575495138939004</x:v>
      </x:c>
      <x:c r="C710" s="131" t="n">
        <x:f>MOD(ABS(SIN((A710+2)*12.9898+78.233)*43758.5453),1)</x:f>
        <x:v>0.5880934419728874</x:v>
      </x:c>
      <x:c r="D710" s="131" t="n">
        <x:f>MOD(ABS(SIN((A710+3)*12.9898+78.233)*43758.5453),1)</x:f>
        <x:v>0.3904917399859187</x:v>
      </x:c>
      <x:c r="E710" s="131" t="n">
        <x:f>MOD(ABS(SIN((A710+4)*12.9898+78.233)*43758.5453),1)</x:f>
        <x:v>0.6220647401059978</x:v>
      </x:c>
      <x:c r="F710" s="131" t="n">
        <x:f>MOD(ABS(SIN((A710+5)*12.9898+78.233)*43758.5453),1)</x:f>
        <x:v>0.6018350328304223</x:v>
      </x:c>
      <x:c r="G710" s="132" t="n">
        <x:f>IF(B710&lt;(('Assumptions'!$C$47-'Assumptions'!$B$47)/('Assumptions'!$D$47-'Assumptions'!$B$47)),'Assumptions'!$B$47+SQRT(B710*('Assumptions'!$D$47-'Assumptions'!$B$47)*('Assumptions'!$C$47-'Assumptions'!$B$47)),'Assumptions'!$D$47-SQRT((1-B710)*('Assumptions'!$D$47-'Assumptions'!$B$47)*('Assumptions'!$D$47-'Assumptions'!$C$47)))</x:f>
        <x:v>-0.010232974688110782</x:v>
      </x:c>
      <x:c r="H710" s="132" t="n">
        <x:f>IF(C710&lt;(('Assumptions'!$C$48-'Assumptions'!$B$48)/('Assumptions'!$D$48-'Assumptions'!$B$48)),'Assumptions'!$B$48+SQRT(C710*('Assumptions'!$D$48-'Assumptions'!$B$48)*('Assumptions'!$C$48-'Assumptions'!$B$48)),'Assumptions'!$D$48-SQRT((1-C710)*('Assumptions'!$D$48-'Assumptions'!$B$48)*('Assumptions'!$D$48-'Assumptions'!$C$48)))</x:f>
        <x:v>0.07979387314700778</x:v>
      </x:c>
      <x:c r="I710" s="132" t="n">
        <x:f>IF(D710&lt;(('Assumptions'!$C$49-'Assumptions'!$B$49)/('Assumptions'!$D$49-'Assumptions'!$B$49)),'Assumptions'!$B$49+SQRT(D710*('Assumptions'!$D$49-'Assumptions'!$B$49)*('Assumptions'!$C$49-'Assumptions'!$B$49)),'Assumptions'!$D$49-SQRT((1-D710)*('Assumptions'!$D$49-'Assumptions'!$B$49)*('Assumptions'!$D$49-'Assumptions'!$C$49)))</x:f>
        <x:v>0.035259517099220136</x:v>
      </x:c>
      <x:c r="J710" s="132" t="n">
        <x:f>IF(E710&lt;(('Assumptions'!$C$50-'Assumptions'!$B$50)/('Assumptions'!$D$50-'Assumptions'!$B$50)),'Assumptions'!$B$50+SQRT(E710*('Assumptions'!$D$50-'Assumptions'!$B$50)*('Assumptions'!$C$50-'Assumptions'!$B$50)),'Assumptions'!$D$50-SQRT((1-E710)*('Assumptions'!$D$50-'Assumptions'!$B$50)*('Assumptions'!$D$50-'Assumptions'!$C$50)))</x:f>
        <x:v>0.06969008768974304</x:v>
      </x:c>
      <x:c r="K710" s="132" t="n">
        <x:f>IF(F710&lt;(('Assumptions'!$C$51-'Assumptions'!$B$51)/('Assumptions'!$D$51-'Assumptions'!$B$51)),'Assumptions'!$B$51+SQRT(F710*('Assumptions'!$D$51-'Assumptions'!$B$51)*('Assumptions'!$C$51-'Assumptions'!$B$51)),'Assumptions'!$D$51-SQRT((1-F710)*('Assumptions'!$D$51-'Assumptions'!$B$51)*('Assumptions'!$D$51-'Assumptions'!$C$51)))</x:f>
        <x:v>0.07115742471754771</x:v>
      </x:c>
      <x:c r="L710" s="133" t="n">
        <x:f>(('Assumptions'!$B$17*(1+G710)+'Assumptions'!$B$18)*(1-H710-'Assumptions'!$B$20)-SUM('Assumptions'!$B$21:$B$25)*(1+I710))-(('Assumptions'!$B$17*(1+G710)+'Assumptions'!$B$18)*(1-H710-'Assumptions'!$B$20)*'Assumptions'!$B$26)</x:f>
        <x:v>196633.9415794756</x:v>
      </x:c>
      <x:c r="M710" s="133" t="n">
        <x:f>'Assumptions'!$B$10*'Assumptions'!$B$33</x:f>
        <x:v>1950000</x:v>
      </x:c>
      <x:c r="N710" s="133" t="n">
        <x:f>-PMT(K710/12,'Assumptions'!$B$35*12,M710)*12</x:f>
        <x:v>157503.94732649473</x:v>
      </x:c>
      <x:c r="O710" s="133" t="n">
        <x:f>(L710*(1+'Assumptions'!$B$29)^('Assumptions'!$B$14/12)/J710)*(1-'Assumptions'!$B$42)-'Debt Schedule'!$F$9</x:f>
        <x:v>3074690.8185626147</x:v>
      </x:c>
      <x:c r="P710" s="132" t="n">
        <x:f>((O710+(L710-N710-'Assumptions'!$B$27-'Assumptions'!$B$28)*('Assumptions'!$B$14/12))/ABS('Monthly Cash Flow'!$S$5))^(1/('Assumptions'!$B$14/12))-1</x:f>
        <x:v>0.18854849240651195</x:v>
      </x:c>
      <x:c r="Q710" s="133" t="n">
        <x:f>-ABS('Monthly Cash Flow'!$S$5)+((L710-N710-'Assumptions'!$B$27-'Assumptions'!$B$28)*(1-(1+'Assumptions'!$B$43)^-('Assumptions'!$B$14/12))/'Assumptions'!$B$43)+(O710/(1+'Assumptions'!$B$43)^('Assumptions'!$B$14/12))</x:f>
        <x:v>611343.0847846253</x:v>
      </x:c>
    </x:row>
    <x:row r="711">
      <x:c r="A711" s="131" t="n">
        <x:f>704</x:f>
        <x:v>704</x:v>
      </x:c>
      <x:c r="B711" s="131" t="n">
        <x:f>MOD(ABS(SIN((A711+1)*12.9898+78.233)*43758.5453),1)</x:f>
        <x:v>0.5880934419728874</x:v>
      </x:c>
      <x:c r="C711" s="131" t="n">
        <x:f>MOD(ABS(SIN((A711+2)*12.9898+78.233)*43758.5453),1)</x:f>
        <x:v>0.3904917399859187</x:v>
      </x:c>
      <x:c r="D711" s="131" t="n">
        <x:f>MOD(ABS(SIN((A711+3)*12.9898+78.233)*43758.5453),1)</x:f>
        <x:v>0.6220647401059978</x:v>
      </x:c>
      <x:c r="E711" s="131" t="n">
        <x:f>MOD(ABS(SIN((A711+4)*12.9898+78.233)*43758.5453),1)</x:f>
        <x:v>0.6018350328304223</x:v>
      </x:c>
      <x:c r="F711" s="131" t="n">
        <x:f>MOD(ABS(SIN((A711+5)*12.9898+78.233)*43758.5453),1)</x:f>
        <x:v>0.9228234217589488</x:v>
      </x:c>
      <x:c r="G711" s="132" t="n">
        <x:f>IF(B711&lt;(('Assumptions'!$C$47-'Assumptions'!$B$47)/('Assumptions'!$D$47-'Assumptions'!$B$47)),'Assumptions'!$B$47+SQRT(B711*('Assumptions'!$D$47-'Assumptions'!$B$47)*('Assumptions'!$C$47-'Assumptions'!$B$47)),'Assumptions'!$D$47-SQRT((1-B711)*('Assumptions'!$D$47-'Assumptions'!$B$47)*('Assumptions'!$D$47-'Assumptions'!$C$47)))</x:f>
        <x:v>0.018803377929035747</x:v>
      </x:c>
      <x:c r="H711" s="132" t="n">
        <x:f>IF(C711&lt;(('Assumptions'!$C$48-'Assumptions'!$B$48)/('Assumptions'!$D$48-'Assumptions'!$B$48)),'Assumptions'!$B$48+SQRT(C711*('Assumptions'!$D$48-'Assumptions'!$B$48)*('Assumptions'!$C$48-'Assumptions'!$B$48)),'Assumptions'!$D$48-SQRT((1-C711)*('Assumptions'!$D$48-'Assumptions'!$B$48)*('Assumptions'!$D$48-'Assumptions'!$C$48)))</x:f>
        <x:v>0.06676290087582717</x:v>
      </x:c>
      <x:c r="I711" s="132" t="n">
        <x:f>IF(D711&lt;(('Assumptions'!$C$49-'Assumptions'!$B$49)/('Assumptions'!$D$49-'Assumptions'!$B$49)),'Assumptions'!$B$49+SQRT(D711*('Assumptions'!$D$49-'Assumptions'!$B$49)*('Assumptions'!$C$49-'Assumptions'!$B$49)),'Assumptions'!$D$49-SQRT((1-D711)*('Assumptions'!$D$49-'Assumptions'!$B$49)*('Assumptions'!$D$49-'Assumptions'!$C$49)))</x:f>
        <x:v>0.059648455388352936</x:v>
      </x:c>
      <x:c r="J711" s="132" t="n">
        <x:f>IF(E711&lt;(('Assumptions'!$C$50-'Assumptions'!$B$50)/('Assumptions'!$D$50-'Assumptions'!$B$50)),'Assumptions'!$B$50+SQRT(E711*('Assumptions'!$D$50-'Assumptions'!$B$50)*('Assumptions'!$C$50-'Assumptions'!$B$50)),'Assumptions'!$D$50-SQRT((1-E711)*('Assumptions'!$D$50-'Assumptions'!$B$50)*('Assumptions'!$D$50-'Assumptions'!$C$50)))</x:f>
        <x:v>0.06941775557755143</x:v>
      </x:c>
      <x:c r="K711" s="132" t="n">
        <x:f>IF(F711&lt;(('Assumptions'!$C$51-'Assumptions'!$B$51)/('Assumptions'!$D$51-'Assumptions'!$B$51)),'Assumptions'!$B$51+SQRT(F711*('Assumptions'!$D$51-'Assumptions'!$B$51)*('Assumptions'!$C$51-'Assumptions'!$B$51)),'Assumptions'!$D$51-SQRT((1-F711)*('Assumptions'!$D$51-'Assumptions'!$B$51)*('Assumptions'!$D$51-'Assumptions'!$C$51)))</x:f>
        <x:v>0.07890563963335726</x:v>
      </x:c>
      <x:c r="L711" s="133" t="n">
        <x:f>(('Assumptions'!$B$17*(1+G711)+'Assumptions'!$B$18)*(1-H711-'Assumptions'!$B$20)-SUM('Assumptions'!$B$21:$B$25)*(1+I711))-(('Assumptions'!$B$17*(1+G711)+'Assumptions'!$B$18)*(1-H711-'Assumptions'!$B$20)*'Assumptions'!$B$26)</x:f>
        <x:v>207508.18088896692</x:v>
      </x:c>
      <x:c r="M711" s="133" t="n">
        <x:f>'Assumptions'!$B$10*'Assumptions'!$B$33</x:f>
        <x:v>1950000</x:v>
      </x:c>
      <x:c r="N711" s="133" t="n">
        <x:f>-PMT(K711/12,'Assumptions'!$B$35*12,M711)*12</x:f>
        <x:v>169919.09613547756</x:v>
      </x:c>
      <x:c r="O711" s="133" t="n">
        <x:f>(L711*(1+'Assumptions'!$B$29)^('Assumptions'!$B$14/12)/J711)*(1-'Assumptions'!$B$42)-'Debt Schedule'!$F$9</x:f>
        <x:v>3257456.5566086276</x:v>
      </x:c>
      <x:c r="P711" s="132" t="n">
        <x:f>((O711+(L711-N711-'Assumptions'!$B$27-'Assumptions'!$B$28)*('Assumptions'!$B$14/12))/ABS('Monthly Cash Flow'!$S$5))^(1/('Assumptions'!$B$14/12))-1</x:f>
        <x:v>0.20180301280469837</x:v>
      </x:c>
      <x:c r="Q711" s="133" t="n">
        <x:f>-ABS('Monthly Cash Flow'!$S$5)+((L711-N711-'Assumptions'!$B$27-'Assumptions'!$B$28)*(1-(1+'Assumptions'!$B$43)^-('Assumptions'!$B$14/12))/'Assumptions'!$B$43)+(O711/(1+'Assumptions'!$B$43)^('Assumptions'!$B$14/12))</x:f>
        <x:v>718984.9693185105</x:v>
      </x:c>
    </x:row>
    <x:row r="712">
      <x:c r="A712" s="131" t="n">
        <x:f>705</x:f>
        <x:v>705</x:v>
      </x:c>
      <x:c r="B712" s="131" t="n">
        <x:f>MOD(ABS(SIN((A712+1)*12.9898+78.233)*43758.5453),1)</x:f>
        <x:v>0.3904917399859187</x:v>
      </x:c>
      <x:c r="C712" s="131" t="n">
        <x:f>MOD(ABS(SIN((A712+2)*12.9898+78.233)*43758.5453),1)</x:f>
        <x:v>0.6220647401059978</x:v>
      </x:c>
      <x:c r="D712" s="131" t="n">
        <x:f>MOD(ABS(SIN((A712+3)*12.9898+78.233)*43758.5453),1)</x:f>
        <x:v>0.6018350328304223</x:v>
      </x:c>
      <x:c r="E712" s="131" t="n">
        <x:f>MOD(ABS(SIN((A712+4)*12.9898+78.233)*43758.5453),1)</x:f>
        <x:v>0.9228234217589488</x:v>
      </x:c>
      <x:c r="F712" s="131" t="n">
        <x:f>MOD(ABS(SIN((A712+5)*12.9898+78.233)*43758.5453),1)</x:f>
        <x:v>0.46543255273718387</x:v>
      </x:c>
      <x:c r="G712" s="132" t="n">
        <x:f>IF(B712&lt;(('Assumptions'!$C$47-'Assumptions'!$B$47)/('Assumptions'!$D$47-'Assumptions'!$B$47)),'Assumptions'!$B$47+SQRT(B712*('Assumptions'!$D$47-'Assumptions'!$B$47)*('Assumptions'!$C$47-'Assumptions'!$B$47)),'Assumptions'!$D$47-SQRT((1-B712)*('Assumptions'!$D$47-'Assumptions'!$B$47)*('Assumptions'!$D$47-'Assumptions'!$C$47)))</x:f>
        <x:v>-0.00319193339570277</x:v>
      </x:c>
      <x:c r="H712" s="132" t="n">
        <x:f>IF(C712&lt;(('Assumptions'!$C$48-'Assumptions'!$B$48)/('Assumptions'!$D$48-'Assumptions'!$B$48)),'Assumptions'!$B$48+SQRT(C712*('Assumptions'!$D$48-'Assumptions'!$B$48)*('Assumptions'!$C$48-'Assumptions'!$B$48)),'Assumptions'!$D$48-SQRT((1-C712)*('Assumptions'!$D$48-'Assumptions'!$B$48)*('Assumptions'!$D$48-'Assumptions'!$C$48)))</x:f>
        <x:v>0.08232998797410201</x:v>
      </x:c>
      <x:c r="I712" s="132" t="n">
        <x:f>IF(D712&lt;(('Assumptions'!$C$49-'Assumptions'!$B$49)/('Assumptions'!$D$49-'Assumptions'!$B$49)),'Assumptions'!$B$49+SQRT(D712*('Assumptions'!$D$49-'Assumptions'!$B$49)*('Assumptions'!$C$49-'Assumptions'!$B$49)),'Assumptions'!$D$49-SQRT((1-D712)*('Assumptions'!$D$49-'Assumptions'!$B$49)*('Assumptions'!$D$49-'Assumptions'!$C$49)))</x:f>
        <x:v>0.0572618563326671</x:v>
      </x:c>
      <x:c r="J712" s="132" t="n">
        <x:f>IF(E712&lt;(('Assumptions'!$C$50-'Assumptions'!$B$50)/('Assumptions'!$D$50-'Assumptions'!$B$50)),'Assumptions'!$B$50+SQRT(E712*('Assumptions'!$D$50-'Assumptions'!$B$50)*('Assumptions'!$C$50-'Assumptions'!$B$50)),'Assumptions'!$D$50-SQRT((1-E712)*('Assumptions'!$D$50-'Assumptions'!$B$50)*('Assumptions'!$D$50-'Assumptions'!$C$50)))</x:f>
        <x:v>0.07534103953329763</x:v>
      </x:c>
      <x:c r="K712" s="132" t="n">
        <x:f>IF(F712&lt;(('Assumptions'!$C$51-'Assumptions'!$B$51)/('Assumptions'!$D$51-'Assumptions'!$B$51)),'Assumptions'!$B$51+SQRT(F712*('Assumptions'!$D$51-'Assumptions'!$B$51)*('Assumptions'!$C$51-'Assumptions'!$B$51)),'Assumptions'!$D$51-SQRT((1-F712)*('Assumptions'!$D$51-'Assumptions'!$B$51)*('Assumptions'!$D$51-'Assumptions'!$C$51)))</x:f>
        <x:v>0.06896065512574687</x:v>
      </x:c>
      <x:c r="L712" s="133" t="n">
        <x:f>(('Assumptions'!$B$17*(1+G712)+'Assumptions'!$B$18)*(1-H712-'Assumptions'!$B$20)-SUM('Assumptions'!$B$21:$B$25)*(1+I712))-(('Assumptions'!$B$17*(1+G712)+'Assumptions'!$B$18)*(1-H712-'Assumptions'!$B$20)*'Assumptions'!$B$26)</x:f>
        <x:v>195159.02006554377</x:v>
      </x:c>
      <x:c r="M712" s="133" t="n">
        <x:f>'Assumptions'!$B$10*'Assumptions'!$B$33</x:f>
        <x:v>1950000</x:v>
      </x:c>
      <x:c r="N712" s="133" t="n">
        <x:f>-PMT(K712/12,'Assumptions'!$B$35*12,M712)*12</x:f>
        <x:v>154050.85507682484</x:v>
      </x:c>
      <x:c r="O712" s="133" t="n">
        <x:f>(L712*(1+'Assumptions'!$B$29)^('Assumptions'!$B$14/12)/J712)*(1-'Assumptions'!$B$42)-'Debt Schedule'!$F$9</x:f>
        <x:v>2822740.7811929793</x:v>
      </x:c>
      <x:c r="P712" s="132" t="n">
        <x:f>((O712+(L712-N712-'Assumptions'!$B$27-'Assumptions'!$B$28)*('Assumptions'!$B$14/12))/ABS('Monthly Cash Flow'!$S$5))^(1/('Assumptions'!$B$14/12))-1</x:f>
        <x:v>0.16918737959104035</x:v>
      </x:c>
      <x:c r="Q712" s="133" t="n">
        <x:f>-ABS('Monthly Cash Flow'!$S$5)+((L712-N712-'Assumptions'!$B$27-'Assumptions'!$B$28)*(1-(1+'Assumptions'!$B$43)^-('Assumptions'!$B$14/12))/'Assumptions'!$B$43)+(O712/(1+'Assumptions'!$B$43)^('Assumptions'!$B$14/12))</x:f>
        <x:v>462400.7576889347</x:v>
      </x:c>
    </x:row>
    <x:row r="713">
      <x:c r="A713" s="131" t="n">
        <x:f>706</x:f>
        <x:v>706</x:v>
      </x:c>
      <x:c r="B713" s="131" t="n">
        <x:f>MOD(ABS(SIN((A713+1)*12.9898+78.233)*43758.5453),1)</x:f>
        <x:v>0.6220647401059978</x:v>
      </x:c>
      <x:c r="C713" s="131" t="n">
        <x:f>MOD(ABS(SIN((A713+2)*12.9898+78.233)*43758.5453),1)</x:f>
        <x:v>0.6018350328304223</x:v>
      </x:c>
      <x:c r="D713" s="131" t="n">
        <x:f>MOD(ABS(SIN((A713+3)*12.9898+78.233)*43758.5453),1)</x:f>
        <x:v>0.9228234217589488</x:v>
      </x:c>
      <x:c r="E713" s="131" t="n">
        <x:f>MOD(ABS(SIN((A713+4)*12.9898+78.233)*43758.5453),1)</x:f>
        <x:v>0.46543255273718387</x:v>
      </x:c>
      <x:c r="F713" s="131" t="n">
        <x:f>MOD(ABS(SIN((A713+5)*12.9898+78.233)*43758.5453),1)</x:f>
        <x:v>0.8796385809073399</x:v>
      </x:c>
      <x:c r="G713" s="132" t="n">
        <x:f>IF(B713&lt;(('Assumptions'!$C$47-'Assumptions'!$B$47)/('Assumptions'!$D$47-'Assumptions'!$B$47)),'Assumptions'!$B$47+SQRT(B713*('Assumptions'!$D$47-'Assumptions'!$B$47)*('Assumptions'!$C$47-'Assumptions'!$B$47)),'Assumptions'!$D$47-SQRT((1-B713)*('Assumptions'!$D$47-'Assumptions'!$B$47)*('Assumptions'!$D$47-'Assumptions'!$C$47)))</x:f>
        <x:v>0.022237771647772117</x:v>
      </x:c>
      <x:c r="H713" s="132" t="n">
        <x:f>IF(C713&lt;(('Assumptions'!$C$48-'Assumptions'!$B$48)/('Assumptions'!$D$48-'Assumptions'!$B$48)),'Assumptions'!$B$48+SQRT(C713*('Assumptions'!$D$48-'Assumptions'!$B$48)*('Assumptions'!$C$48-'Assumptions'!$B$48)),'Assumptions'!$D$48-SQRT((1-C713)*('Assumptions'!$D$48-'Assumptions'!$B$48)*('Assumptions'!$D$48-'Assumptions'!$C$48)))</x:f>
        <x:v>0.08080665821992913</x:v>
      </x:c>
      <x:c r="I713" s="132" t="n">
        <x:f>IF(D713&lt;(('Assumptions'!$C$49-'Assumptions'!$B$49)/('Assumptions'!$D$49-'Assumptions'!$B$49)),'Assumptions'!$B$49+SQRT(D713*('Assumptions'!$D$49-'Assumptions'!$B$49)*('Assumptions'!$C$49-'Assumptions'!$B$49)),'Assumptions'!$D$49-SQRT((1-D713)*('Assumptions'!$D$49-'Assumptions'!$B$49)*('Assumptions'!$D$49-'Assumptions'!$C$49)))</x:f>
        <x:v>0.10917091612579696</x:v>
      </x:c>
      <x:c r="J713" s="132" t="n">
        <x:f>IF(E713&lt;(('Assumptions'!$C$50-'Assumptions'!$B$50)/('Assumptions'!$D$50-'Assumptions'!$B$50)),'Assumptions'!$B$50+SQRT(E713*('Assumptions'!$D$50-'Assumptions'!$B$50)*('Assumptions'!$C$50-'Assumptions'!$B$50)),'Assumptions'!$D$50-SQRT((1-E713)*('Assumptions'!$D$50-'Assumptions'!$B$50)*('Assumptions'!$D$50-'Assumptions'!$C$50)))</x:f>
        <x:v>0.06773838939850613</x:v>
      </x:c>
      <x:c r="K713" s="132" t="n">
        <x:f>IF(F713&lt;(('Assumptions'!$C$51-'Assumptions'!$B$51)/('Assumptions'!$D$51-'Assumptions'!$B$51)),'Assumptions'!$B$51+SQRT(F713*('Assumptions'!$D$51-'Assumptions'!$B$51)*('Assumptions'!$C$51-'Assumptions'!$B$51)),'Assumptions'!$D$51-SQRT((1-F713)*('Assumptions'!$D$51-'Assumptions'!$B$51)*('Assumptions'!$D$51-'Assumptions'!$C$51)))</x:f>
        <x:v>0.07738922257989747</x:v>
      </x:c>
      <x:c r="L713" s="133" t="n">
        <x:f>(('Assumptions'!$B$17*(1+G713)+'Assumptions'!$B$18)*(1-H713-'Assumptions'!$B$20)-SUM('Assumptions'!$B$21:$B$25)*(1+I713))-(('Assumptions'!$B$17*(1+G713)+'Assumptions'!$B$18)*(1-H713-'Assumptions'!$B$20)*'Assumptions'!$B$26)</x:f>
        <x:v>197160.03519542475</x:v>
      </x:c>
      <x:c r="M713" s="133" t="n">
        <x:f>'Assumptions'!$B$10*'Assumptions'!$B$33</x:f>
        <x:v>1950000</x:v>
      </x:c>
      <x:c r="N713" s="133" t="n">
        <x:f>-PMT(K713/12,'Assumptions'!$B$35*12,M713)*12</x:f>
        <x:v>167461.3717332135</x:v>
      </x:c>
      <x:c r="O713" s="133" t="n">
        <x:f>(L713*(1+'Assumptions'!$B$29)^('Assumptions'!$B$14/12)/J713)*(1-'Assumptions'!$B$42)-'Debt Schedule'!$F$9</x:f>
        <x:v>3171743.056788146</x:v>
      </x:c>
      <x:c r="P713" s="132" t="n">
        <x:f>((O713+(L713-N713-'Assumptions'!$B$27-'Assumptions'!$B$28)*('Assumptions'!$B$14/12))/ABS('Monthly Cash Flow'!$S$5))^(1/('Assumptions'!$B$14/12))-1</x:f>
        <x:v>0.19238660359541204</x:v>
      </x:c>
      <x:c r="Q713" s="133" t="n">
        <x:f>-ABS('Monthly Cash Flow'!$S$5)+((L713-N713-'Assumptions'!$B$27-'Assumptions'!$B$28)*(1-(1+'Assumptions'!$B$43)^-('Assumptions'!$B$14/12))/'Assumptions'!$B$43)+(O713/(1+'Assumptions'!$B$43)^('Assumptions'!$B$14/12))</x:f>
        <x:v>635852.7249699105</x:v>
      </x:c>
    </x:row>
    <x:row r="714">
      <x:c r="A714" s="131" t="n">
        <x:f>707</x:f>
        <x:v>707</x:v>
      </x:c>
      <x:c r="B714" s="131" t="n">
        <x:f>MOD(ABS(SIN((A714+1)*12.9898+78.233)*43758.5453),1)</x:f>
        <x:v>0.6018350328304223</x:v>
      </x:c>
      <x:c r="C714" s="131" t="n">
        <x:f>MOD(ABS(SIN((A714+2)*12.9898+78.233)*43758.5453),1)</x:f>
        <x:v>0.9228234217589488</x:v>
      </x:c>
      <x:c r="D714" s="131" t="n">
        <x:f>MOD(ABS(SIN((A714+3)*12.9898+78.233)*43758.5453),1)</x:f>
        <x:v>0.46543255273718387</x:v>
      </x:c>
      <x:c r="E714" s="131" t="n">
        <x:f>MOD(ABS(SIN((A714+4)*12.9898+78.233)*43758.5453),1)</x:f>
        <x:v>0.8796385809073399</x:v>
      </x:c>
      <x:c r="F714" s="131" t="n">
        <x:f>MOD(ABS(SIN((A714+5)*12.9898+78.233)*43758.5453),1)</x:f>
        <x:v>0.5981620220627519</x:v>
      </x:c>
      <x:c r="G714" s="132" t="n">
        <x:f>IF(B714&lt;(('Assumptions'!$C$47-'Assumptions'!$B$47)/('Assumptions'!$D$47-'Assumptions'!$B$47)),'Assumptions'!$B$47+SQRT(B714*('Assumptions'!$D$47-'Assumptions'!$B$47)*('Assumptions'!$C$47-'Assumptions'!$B$47)),'Assumptions'!$D$47-SQRT((1-B714)*('Assumptions'!$D$47-'Assumptions'!$B$47)*('Assumptions'!$D$47-'Assumptions'!$C$47)))</x:f>
        <x:v>0.020183714226273075</x:v>
      </x:c>
      <x:c r="H714" s="132" t="n">
        <x:f>IF(C714&lt;(('Assumptions'!$C$48-'Assumptions'!$B$48)/('Assumptions'!$D$48-'Assumptions'!$B$48)),'Assumptions'!$B$48+SQRT(C714*('Assumptions'!$D$48-'Assumptions'!$B$48)*('Assumptions'!$C$48-'Assumptions'!$B$48)),'Assumptions'!$D$48-SQRT((1-C714)*('Assumptions'!$D$48-'Assumptions'!$B$48)*('Assumptions'!$D$48-'Assumptions'!$C$48)))</x:f>
        <x:v>0.11393941887598724</x:v>
      </x:c>
      <x:c r="I714" s="132" t="n">
        <x:f>IF(D714&lt;(('Assumptions'!$C$49-'Assumptions'!$B$49)/('Assumptions'!$D$49-'Assumptions'!$B$49)),'Assumptions'!$B$49+SQRT(D714*('Assumptions'!$D$49-'Assumptions'!$B$49)*('Assumptions'!$C$49-'Assumptions'!$B$49)),'Assumptions'!$D$49-SQRT((1-D714)*('Assumptions'!$D$49-'Assumptions'!$B$49)*('Assumptions'!$D$49-'Assumptions'!$C$49)))</x:f>
        <x:v>0.04254462851547705</x:v>
      </x:c>
      <x:c r="J714" s="132" t="n">
        <x:f>IF(E714&lt;(('Assumptions'!$C$50-'Assumptions'!$B$50)/('Assumptions'!$D$50-'Assumptions'!$B$50)),'Assumptions'!$B$50+SQRT(E714*('Assumptions'!$D$50-'Assumptions'!$B$50)*('Assumptions'!$C$50-'Assumptions'!$B$50)),'Assumptions'!$D$50-SQRT((1-E714)*('Assumptions'!$D$50-'Assumptions'!$B$50)*('Assumptions'!$D$50-'Assumptions'!$C$50)))</x:f>
        <x:v>0.07418178299478177</x:v>
      </x:c>
      <x:c r="K714" s="132" t="n">
        <x:f>IF(F714&lt;(('Assumptions'!$C$51-'Assumptions'!$B$51)/('Assumptions'!$D$51-'Assumptions'!$B$51)),'Assumptions'!$B$51+SQRT(F714*('Assumptions'!$D$51-'Assumptions'!$B$51)*('Assumptions'!$C$51-'Assumptions'!$B$51)),'Assumptions'!$D$51-SQRT((1-F714)*('Assumptions'!$D$51-'Assumptions'!$B$51)*('Assumptions'!$D$51-'Assumptions'!$C$51)))</x:f>
        <x:v>0.07109372347167292</x:v>
      </x:c>
      <x:c r="L714" s="133" t="n">
        <x:f>(('Assumptions'!$B$17*(1+G714)+'Assumptions'!$B$18)*(1-H714-'Assumptions'!$B$20)-SUM('Assumptions'!$B$21:$B$25)*(1+I714))-(('Assumptions'!$B$17*(1+G714)+'Assumptions'!$B$18)*(1-H714-'Assumptions'!$B$20)*'Assumptions'!$B$26)</x:f>
        <x:v>192655.1937421171</x:v>
      </x:c>
      <x:c r="M714" s="133" t="n">
        <x:f>'Assumptions'!$B$10*'Assumptions'!$B$33</x:f>
        <x:v>1950000</x:v>
      </x:c>
      <x:c r="N714" s="133" t="n">
        <x:f>-PMT(K714/12,'Assumptions'!$B$35*12,M714)*12</x:f>
        <x:v>157403.3867951191</x:v>
      </x:c>
      <x:c r="O714" s="133" t="n">
        <x:f>(L714*(1+'Assumptions'!$B$29)^('Assumptions'!$B$14/12)/J714)*(1-'Assumptions'!$B$42)-'Debt Schedule'!$F$9</x:f>
        <x:v>2830071.651367279</x:v>
      </x:c>
      <x:c r="P714" s="132" t="n">
        <x:f>((O714+(L714-N714-'Assumptions'!$B$27-'Assumptions'!$B$28)*('Assumptions'!$B$14/12))/ABS('Monthly Cash Flow'!$S$5))^(1/('Assumptions'!$B$14/12))-1</x:f>
        <x:v>0.16736685453692735</x:v>
      </x:c>
      <x:c r="Q714" s="133" t="n">
        <x:f>-ABS('Monthly Cash Flow'!$S$5)+((L714-N714-'Assumptions'!$B$27-'Assumptions'!$B$28)*(1-(1+'Assumptions'!$B$43)^-('Assumptions'!$B$14/12))/'Assumptions'!$B$43)+(O714/(1+'Assumptions'!$B$43)^('Assumptions'!$B$14/12))</x:f>
        <x:v>444752.4467152613</x:v>
      </x:c>
    </x:row>
    <x:row r="715">
      <x:c r="A715" s="131" t="n">
        <x:f>708</x:f>
        <x:v>708</x:v>
      </x:c>
      <x:c r="B715" s="131" t="n">
        <x:f>MOD(ABS(SIN((A715+1)*12.9898+78.233)*43758.5453),1)</x:f>
        <x:v>0.9228234217589488</x:v>
      </x:c>
      <x:c r="C715" s="131" t="n">
        <x:f>MOD(ABS(SIN((A715+2)*12.9898+78.233)*43758.5453),1)</x:f>
        <x:v>0.46543255273718387</x:v>
      </x:c>
      <x:c r="D715" s="131" t="n">
        <x:f>MOD(ABS(SIN((A715+3)*12.9898+78.233)*43758.5453),1)</x:f>
        <x:v>0.8796385809073399</x:v>
      </x:c>
      <x:c r="E715" s="131" t="n">
        <x:f>MOD(ABS(SIN((A715+4)*12.9898+78.233)*43758.5453),1)</x:f>
        <x:v>0.5981620220627519</x:v>
      </x:c>
      <x:c r="F715" s="131" t="n">
        <x:f>MOD(ABS(SIN((A715+5)*12.9898+78.233)*43758.5453),1)</x:f>
        <x:v>0.08371183349427724</x:v>
      </x:c>
      <x:c r="G715" s="132" t="n">
        <x:f>IF(B715&lt;(('Assumptions'!$C$47-'Assumptions'!$B$47)/('Assumptions'!$D$47-'Assumptions'!$B$47)),'Assumptions'!$B$47+SQRT(B715*('Assumptions'!$D$47-'Assumptions'!$B$47)*('Assumptions'!$C$47-'Assumptions'!$B$47)),'Assumptions'!$D$47-SQRT((1-B715)*('Assumptions'!$D$47-'Assumptions'!$B$47)*('Assumptions'!$D$47-'Assumptions'!$C$47)))</x:f>
        <x:v>0.06485991958095687</x:v>
      </x:c>
      <x:c r="H715" s="132" t="n">
        <x:f>IF(C715&lt;(('Assumptions'!$C$48-'Assumptions'!$B$48)/('Assumptions'!$D$48-'Assumptions'!$B$48)),'Assumptions'!$B$48+SQRT(C715*('Assumptions'!$D$48-'Assumptions'!$B$48)*('Assumptions'!$C$48-'Assumptions'!$B$48)),'Assumptions'!$D$48-SQRT((1-C715)*('Assumptions'!$D$48-'Assumptions'!$B$48)*('Assumptions'!$D$48-'Assumptions'!$C$48)))</x:f>
        <x:v>0.07141287631112687</x:v>
      </x:c>
      <x:c r="I715" s="132" t="n">
        <x:f>IF(D715&lt;(('Assumptions'!$C$49-'Assumptions'!$B$49)/('Assumptions'!$D$49-'Assumptions'!$B$49)),'Assumptions'!$B$49+SQRT(D715*('Assumptions'!$D$49-'Assumptions'!$B$49)*('Assumptions'!$C$49-'Assumptions'!$B$49)),'Assumptions'!$D$49-SQRT((1-D715)*('Assumptions'!$D$49-'Assumptions'!$B$49)*('Assumptions'!$D$49-'Assumptions'!$C$49)))</x:f>
        <x:v>0.09901170082850912</x:v>
      </x:c>
      <x:c r="J715" s="132" t="n">
        <x:f>IF(E715&lt;(('Assumptions'!$C$50-'Assumptions'!$B$50)/('Assumptions'!$D$50-'Assumptions'!$B$50)),'Assumptions'!$B$50+SQRT(E715*('Assumptions'!$D$50-'Assumptions'!$B$50)*('Assumptions'!$C$50-'Assumptions'!$B$50)),'Assumptions'!$D$50-SQRT((1-E715)*('Assumptions'!$D$50-'Assumptions'!$B$50)*('Assumptions'!$D$50-'Assumptions'!$C$50)))</x:f>
        <x:v>0.0693690578359747</x:v>
      </x:c>
      <x:c r="K715" s="132" t="n">
        <x:f>IF(F715&lt;(('Assumptions'!$C$51-'Assumptions'!$B$51)/('Assumptions'!$D$51-'Assumptions'!$B$51)),'Assumptions'!$B$51+SQRT(F715*('Assumptions'!$D$51-'Assumptions'!$B$51)*('Assumptions'!$C$51-'Assumptions'!$B$51)),'Assumptions'!$D$51-SQRT((1-F715)*('Assumptions'!$D$51-'Assumptions'!$B$51)*('Assumptions'!$D$51-'Assumptions'!$C$51)))</x:f>
        <x:v>0.06229799481147346</x:v>
      </x:c>
      <x:c r="L715" s="133" t="n">
        <x:f>(('Assumptions'!$B$17*(1+G715)+'Assumptions'!$B$18)*(1-H715-'Assumptions'!$B$20)-SUM('Assumptions'!$B$21:$B$25)*(1+I715))-(('Assumptions'!$B$17*(1+G715)+'Assumptions'!$B$18)*(1-H715-'Assumptions'!$B$20)*'Assumptions'!$B$26)</x:f>
        <x:v>215452.09183685263</x:v>
      </x:c>
      <x:c r="M715" s="133" t="n">
        <x:f>'Assumptions'!$B$10*'Assumptions'!$B$33</x:f>
        <x:v>1950000</x:v>
      </x:c>
      <x:c r="N715" s="133" t="n">
        <x:f>-PMT(K715/12,'Assumptions'!$B$35*12,M715)*12</x:f>
        <x:v>143770.53497232593</x:v>
      </x:c>
      <x:c r="O715" s="133" t="n">
        <x:f>(L715*(1+'Assumptions'!$B$29)^('Assumptions'!$B$14/12)/J715)*(1-'Assumptions'!$B$42)-'Debt Schedule'!$F$9</x:f>
        <x:v>3384534.1162929614</x:v>
      </x:c>
      <x:c r="P715" s="132" t="n">
        <x:f>((O715+(L715-N715-'Assumptions'!$B$27-'Assumptions'!$B$28)*('Assumptions'!$B$14/12))/ABS('Monthly Cash Flow'!$S$5))^(1/('Assumptions'!$B$14/12))-1</x:f>
        <x:v>0.2230730455274701</x:v>
      </x:c>
      <x:c r="Q715" s="133" t="n">
        <x:f>-ABS('Monthly Cash Flow'!$S$5)+((L715-N715-'Assumptions'!$B$27-'Assumptions'!$B$28)*(1-(1+'Assumptions'!$B$43)^-('Assumptions'!$B$14/12))/'Assumptions'!$B$43)+(O715/(1+'Assumptions'!$B$43)^('Assumptions'!$B$14/12))</x:f>
        <x:v>927127.4280237828</x:v>
      </x:c>
    </x:row>
    <x:row r="716">
      <x:c r="A716" s="131" t="n">
        <x:f>709</x:f>
        <x:v>709</x:v>
      </x:c>
      <x:c r="B716" s="131" t="n">
        <x:f>MOD(ABS(SIN((A716+1)*12.9898+78.233)*43758.5453),1)</x:f>
        <x:v>0.46543255273718387</x:v>
      </x:c>
      <x:c r="C716" s="131" t="n">
        <x:f>MOD(ABS(SIN((A716+2)*12.9898+78.233)*43758.5453),1)</x:f>
        <x:v>0.8796385809073399</x:v>
      </x:c>
      <x:c r="D716" s="131" t="n">
        <x:f>MOD(ABS(SIN((A716+3)*12.9898+78.233)*43758.5453),1)</x:f>
        <x:v>0.5981620220627519</x:v>
      </x:c>
      <x:c r="E716" s="131" t="n">
        <x:f>MOD(ABS(SIN((A716+4)*12.9898+78.233)*43758.5453),1)</x:f>
        <x:v>0.08371183349427724</x:v>
      </x:c>
      <x:c r="F716" s="131" t="n">
        <x:f>MOD(ABS(SIN((A716+5)*12.9898+78.233)*43758.5453),1)</x:f>
        <x:v>0.7129578022395435</x:v>
      </x:c>
      <x:c r="G716" s="132" t="n">
        <x:f>IF(B716&lt;(('Assumptions'!$C$47-'Assumptions'!$B$47)/('Assumptions'!$D$47-'Assumptions'!$B$47)),'Assumptions'!$B$47+SQRT(B716*('Assumptions'!$D$47-'Assumptions'!$B$47)*('Assumptions'!$C$47-'Assumptions'!$B$47)),'Assumptions'!$D$47-SQRT((1-B716)*('Assumptions'!$D$47-'Assumptions'!$B$47)*('Assumptions'!$D$47-'Assumptions'!$C$47)))</x:f>
        <x:v>0.005690024437940283</x:v>
      </x:c>
      <x:c r="H716" s="132" t="n">
        <x:f>IF(C716&lt;(('Assumptions'!$C$48-'Assumptions'!$B$48)/('Assumptions'!$D$48-'Assumptions'!$B$48)),'Assumptions'!$B$48+SQRT(C716*('Assumptions'!$D$48-'Assumptions'!$B$48)*('Assumptions'!$C$48-'Assumptions'!$B$48)),'Assumptions'!$D$48-SQRT((1-C716)*('Assumptions'!$D$48-'Assumptions'!$B$48)*('Assumptions'!$D$48-'Assumptions'!$C$48)))</x:f>
        <x:v>0.10745494679654974</x:v>
      </x:c>
      <x:c r="I716" s="132" t="n">
        <x:f>IF(D716&lt;(('Assumptions'!$C$49-'Assumptions'!$B$49)/('Assumptions'!$D$49-'Assumptions'!$B$49)),'Assumptions'!$B$49+SQRT(D716*('Assumptions'!$D$49-'Assumptions'!$B$49)*('Assumptions'!$C$49-'Assumptions'!$B$49)),'Assumptions'!$D$49-SQRT((1-D716)*('Assumptions'!$D$49-'Assumptions'!$B$49)*('Assumptions'!$D$49-'Assumptions'!$C$49)))</x:f>
        <x:v>0.056835090707688884</x:v>
      </x:c>
      <x:c r="J716" s="132" t="n">
        <x:f>IF(E716&lt;(('Assumptions'!$C$50-'Assumptions'!$B$50)/('Assumptions'!$D$50-'Assumptions'!$B$50)),'Assumptions'!$B$50+SQRT(E716*('Assumptions'!$D$50-'Assumptions'!$B$50)*('Assumptions'!$C$50-'Assumptions'!$B$50)),'Assumptions'!$D$50-SQRT((1-E716)*('Assumptions'!$D$50-'Assumptions'!$B$50)*('Assumptions'!$D$50-'Assumptions'!$C$50)))</x:f>
        <x:v>0.06183994960065349</x:v>
      </x:c>
      <x:c r="K716" s="132" t="n">
        <x:f>IF(F716&lt;(('Assumptions'!$C$51-'Assumptions'!$B$51)/('Assumptions'!$D$51-'Assumptions'!$B$51)),'Assumptions'!$B$51+SQRT(F716*('Assumptions'!$D$51-'Assumptions'!$B$51)*('Assumptions'!$C$51-'Assumptions'!$B$51)),'Assumptions'!$D$51-SQRT((1-F716)*('Assumptions'!$D$51-'Assumptions'!$B$51)*('Assumptions'!$D$51-'Assumptions'!$C$51)))</x:f>
        <x:v>0.0732467426782096</x:v>
      </x:c>
      <x:c r="L716" s="133" t="n">
        <x:f>(('Assumptions'!$B$17*(1+G716)+'Assumptions'!$B$18)*(1-H716-'Assumptions'!$B$20)-SUM('Assumptions'!$B$21:$B$25)*(1+I716))-(('Assumptions'!$B$17*(1+G716)+'Assumptions'!$B$18)*(1-H716-'Assumptions'!$B$20)*'Assumptions'!$B$26)</x:f>
        <x:v>188832.2280065587</x:v>
      </x:c>
      <x:c r="M716" s="133" t="n">
        <x:f>'Assumptions'!$B$10*'Assumptions'!$B$33</x:f>
        <x:v>1950000</x:v>
      </x:c>
      <x:c r="N716" s="133" t="n">
        <x:f>-PMT(K716/12,'Assumptions'!$B$35*12,M716)*12</x:f>
        <x:v>160816.16056489546</x:v>
      </x:c>
      <x:c r="O716" s="133" t="n">
        <x:f>(L716*(1+'Assumptions'!$B$29)^('Assumptions'!$B$14/12)/J716)*(1-'Assumptions'!$B$42)-'Debt Schedule'!$F$9</x:f>
        <x:v>3327522.245246409</x:v>
      </x:c>
      <x:c r="P716" s="132" t="n">
        <x:f>((O716+(L716-N716-'Assumptions'!$B$27-'Assumptions'!$B$28)*('Assumptions'!$B$14/12))/ABS('Monthly Cash Flow'!$S$5))^(1/('Assumptions'!$B$14/12))-1</x:f>
        <x:v>0.20344275072044393</x:v>
      </x:c>
      <x:c r="Q716" s="133" t="n">
        <x:f>-ABS('Monthly Cash Flow'!$S$5)+((L716-N716-'Assumptions'!$B$27-'Assumptions'!$B$28)*(1-(1+'Assumptions'!$B$43)^-('Assumptions'!$B$14/12))/'Assumptions'!$B$43)+(O716/(1+'Assumptions'!$B$43)^('Assumptions'!$B$14/12))</x:f>
        <x:v>726200.9820395438</x:v>
      </x:c>
    </x:row>
    <x:row r="717">
      <x:c r="A717" s="131" t="n">
        <x:f>710</x:f>
        <x:v>710</x:v>
      </x:c>
      <x:c r="B717" s="131" t="n">
        <x:f>MOD(ABS(SIN((A717+1)*12.9898+78.233)*43758.5453),1)</x:f>
        <x:v>0.8796385809073399</x:v>
      </x:c>
      <x:c r="C717" s="131" t="n">
        <x:f>MOD(ABS(SIN((A717+2)*12.9898+78.233)*43758.5453),1)</x:f>
        <x:v>0.5981620220627519</x:v>
      </x:c>
      <x:c r="D717" s="131" t="n">
        <x:f>MOD(ABS(SIN((A717+3)*12.9898+78.233)*43758.5453),1)</x:f>
        <x:v>0.08371183349427724</x:v>
      </x:c>
      <x:c r="E717" s="131" t="n">
        <x:f>MOD(ABS(SIN((A717+4)*12.9898+78.233)*43758.5453),1)</x:f>
        <x:v>0.7129578022395435</x:v>
      </x:c>
      <x:c r="F717" s="131" t="n">
        <x:f>MOD(ABS(SIN((A717+5)*12.9898+78.233)*43758.5453),1)</x:f>
        <x:v>0.26428881928586634</x:v>
      </x:c>
      <x:c r="G717" s="132" t="n">
        <x:f>IF(B717&lt;(('Assumptions'!$C$47-'Assumptions'!$B$47)/('Assumptions'!$D$47-'Assumptions'!$B$47)),'Assumptions'!$B$47+SQRT(B717*('Assumptions'!$D$47-'Assumptions'!$B$47)*('Assumptions'!$C$47-'Assumptions'!$B$47)),'Assumptions'!$D$47-SQRT((1-B717)*('Assumptions'!$D$47-'Assumptions'!$B$47)*('Assumptions'!$D$47-'Assumptions'!$C$47)))</x:f>
        <x:v>0.05611625921274987</x:v>
      </x:c>
      <x:c r="H717" s="132" t="n">
        <x:f>IF(C717&lt;(('Assumptions'!$C$48-'Assumptions'!$B$48)/('Assumptions'!$D$48-'Assumptions'!$B$48)),'Assumptions'!$B$48+SQRT(C717*('Assumptions'!$D$48-'Assumptions'!$B$48)*('Assumptions'!$C$48-'Assumptions'!$B$48)),'Assumptions'!$D$48-SQRT((1-C717)*('Assumptions'!$D$48-'Assumptions'!$B$48)*('Assumptions'!$D$48-'Assumptions'!$C$48)))</x:f>
        <x:v>0.08053426023458732</x:v>
      </x:c>
      <x:c r="I717" s="132" t="n">
        <x:f>IF(D717&lt;(('Assumptions'!$C$49-'Assumptions'!$B$49)/('Assumptions'!$D$49-'Assumptions'!$B$49)),'Assumptions'!$B$49+SQRT(D717*('Assumptions'!$D$49-'Assumptions'!$B$49)*('Assumptions'!$C$49-'Assumptions'!$B$49)),'Assumptions'!$D$49-SQRT((1-D717)*('Assumptions'!$D$49-'Assumptions'!$B$49)*('Assumptions'!$D$49-'Assumptions'!$C$49)))</x:f>
        <x:v>0.00006805284248041082</x:v>
      </x:c>
      <x:c r="J717" s="132" t="n">
        <x:f>IF(E717&lt;(('Assumptions'!$C$50-'Assumptions'!$B$50)/('Assumptions'!$D$50-'Assumptions'!$B$50)),'Assumptions'!$B$50+SQRT(E717*('Assumptions'!$D$50-'Assumptions'!$B$50)*('Assumptions'!$C$50-'Assumptions'!$B$50)),'Assumptions'!$D$50-SQRT((1-E717)*('Assumptions'!$D$50-'Assumptions'!$B$50)*('Assumptions'!$D$50-'Assumptions'!$C$50)))</x:f>
        <x:v>0.07101497812355873</x:v>
      </x:c>
      <x:c r="K717" s="132" t="n">
        <x:f>IF(F717&lt;(('Assumptions'!$C$51-'Assumptions'!$B$51)/('Assumptions'!$D$51-'Assumptions'!$B$51)),'Assumptions'!$B$51+SQRT(F717*('Assumptions'!$D$51-'Assumptions'!$B$51)*('Assumptions'!$C$51-'Assumptions'!$B$51)),'Assumptions'!$D$51-SQRT((1-F717)*('Assumptions'!$D$51-'Assumptions'!$B$51)*('Assumptions'!$D$51-'Assumptions'!$C$51)))</x:f>
        <x:v>0.06602522288879378</x:v>
      </x:c>
      <x:c r="L717" s="133" t="n">
        <x:f>(('Assumptions'!$B$17*(1+G717)+'Assumptions'!$B$18)*(1-H717-'Assumptions'!$B$20)-SUM('Assumptions'!$B$21:$B$25)*(1+I717))-(('Assumptions'!$B$17*(1+G717)+'Assumptions'!$B$18)*(1-H717-'Assumptions'!$B$20)*'Assumptions'!$B$26)</x:f>
        <x:v>221656.33072027704</x:v>
      </x:c>
      <x:c r="M717" s="133" t="n">
        <x:f>'Assumptions'!$B$10*'Assumptions'!$B$33</x:f>
        <x:v>1950000</x:v>
      </x:c>
      <x:c r="N717" s="133" t="n">
        <x:f>-PMT(K717/12,'Assumptions'!$B$35*12,M717)*12</x:f>
        <x:v>149485.14944503072</x:v>
      </x:c>
      <x:c r="O717" s="133" t="n">
        <x:f>(L717*(1+'Assumptions'!$B$29)^('Assumptions'!$B$14/12)/J717)*(1-'Assumptions'!$B$42)-'Debt Schedule'!$F$9</x:f>
        <x:v>3401293.8922788263</x:v>
      </x:c>
      <x:c r="P717" s="132" t="n">
        <x:f>((O717+(L717-N717-'Assumptions'!$B$27-'Assumptions'!$B$28)*('Assumptions'!$B$14/12))/ABS('Monthly Cash Flow'!$S$5))^(1/('Assumptions'!$B$14/12))-1</x:f>
        <x:v>0.2243963459001732</x:v>
      </x:c>
      <x:c r="Q717" s="133" t="n">
        <x:f>-ABS('Monthly Cash Flow'!$S$5)+((L717-N717-'Assumptions'!$B$27-'Assumptions'!$B$28)*(1-(1+'Assumptions'!$B$43)^-('Assumptions'!$B$14/12))/'Assumptions'!$B$43)+(O717/(1+'Assumptions'!$B$43)^('Assumptions'!$B$14/12))</x:f>
        <x:v>939389.9920412365</x:v>
      </x:c>
    </x:row>
    <x:row r="718">
      <x:c r="A718" s="131" t="n">
        <x:f>711</x:f>
        <x:v>711</x:v>
      </x:c>
      <x:c r="B718" s="131" t="n">
        <x:f>MOD(ABS(SIN((A718+1)*12.9898+78.233)*43758.5453),1)</x:f>
        <x:v>0.5981620220627519</x:v>
      </x:c>
      <x:c r="C718" s="131" t="n">
        <x:f>MOD(ABS(SIN((A718+2)*12.9898+78.233)*43758.5453),1)</x:f>
        <x:v>0.08371183349427724</x:v>
      </x:c>
      <x:c r="D718" s="131" t="n">
        <x:f>MOD(ABS(SIN((A718+3)*12.9898+78.233)*43758.5453),1)</x:f>
        <x:v>0.7129578022395435</x:v>
      </x:c>
      <x:c r="E718" s="131" t="n">
        <x:f>MOD(ABS(SIN((A718+4)*12.9898+78.233)*43758.5453),1)</x:f>
        <x:v>0.26428881928586634</x:v>
      </x:c>
      <x:c r="F718" s="131" t="n">
        <x:f>MOD(ABS(SIN((A718+5)*12.9898+78.233)*43758.5453),1)</x:f>
        <x:v>0.4136763544083806</x:v>
      </x:c>
      <x:c r="G718" s="132" t="n">
        <x:f>IF(B718&lt;(('Assumptions'!$C$47-'Assumptions'!$B$47)/('Assumptions'!$D$47-'Assumptions'!$B$47)),'Assumptions'!$B$47+SQRT(B718*('Assumptions'!$D$47-'Assumptions'!$B$47)*('Assumptions'!$C$47-'Assumptions'!$B$47)),'Assumptions'!$D$47-SQRT((1-B718)*('Assumptions'!$D$47-'Assumptions'!$B$47)*('Assumptions'!$D$47-'Assumptions'!$C$47)))</x:f>
        <x:v>0.019816061233484256</x:v>
      </x:c>
      <x:c r="H718" s="132" t="n">
        <x:f>IF(C718&lt;(('Assumptions'!$C$48-'Assumptions'!$B$48)/('Assumptions'!$D$48-'Assumptions'!$B$48)),'Assumptions'!$B$48+SQRT(C718*('Assumptions'!$D$48-'Assumptions'!$B$48)*('Assumptions'!$C$48-'Assumptions'!$B$48)),'Assumptions'!$D$48-SQRT((1-C718)*('Assumptions'!$D$48-'Assumptions'!$B$48)*('Assumptions'!$D$48-'Assumptions'!$C$48)))</x:f>
        <x:v>0.04662074157584778</x:v>
      </x:c>
      <x:c r="I718" s="132" t="n">
        <x:f>IF(D718&lt;(('Assumptions'!$C$49-'Assumptions'!$B$49)/('Assumptions'!$D$49-'Assumptions'!$B$49)),'Assumptions'!$B$49+SQRT(D718*('Assumptions'!$D$49-'Assumptions'!$B$49)*('Assumptions'!$C$49-'Assumptions'!$B$49)),'Assumptions'!$D$49-SQRT((1-D718)*('Assumptions'!$D$49-'Assumptions'!$B$49)*('Assumptions'!$D$49-'Assumptions'!$C$49)))</x:f>
        <x:v>0.07125921341753144</x:v>
      </x:c>
      <x:c r="J718" s="132" t="n">
        <x:f>IF(E718&lt;(('Assumptions'!$C$50-'Assumptions'!$B$50)/('Assumptions'!$D$50-'Assumptions'!$B$50)),'Assumptions'!$B$50+SQRT(E718*('Assumptions'!$D$50-'Assumptions'!$B$50)*('Assumptions'!$C$50-'Assumptions'!$B$50)),'Assumptions'!$D$50-SQRT((1-E718)*('Assumptions'!$D$50-'Assumptions'!$B$50)*('Assumptions'!$D$50-'Assumptions'!$C$50)))</x:f>
        <x:v>0.06521135424807602</x:v>
      </x:c>
      <x:c r="K718" s="132" t="n">
        <x:f>IF(F718&lt;(('Assumptions'!$C$51-'Assumptions'!$B$51)/('Assumptions'!$D$51-'Assumptions'!$B$51)),'Assumptions'!$B$51+SQRT(F718*('Assumptions'!$D$51-'Assumptions'!$B$51)*('Assumptions'!$C$51-'Assumptions'!$B$51)),'Assumptions'!$D$51-SQRT((1-F718)*('Assumptions'!$D$51-'Assumptions'!$B$51)*('Assumptions'!$D$51-'Assumptions'!$C$51)))</x:f>
        <x:v>0.0682021354202099</x:v>
      </x:c>
      <x:c r="L718" s="133" t="n">
        <x:f>(('Assumptions'!$B$17*(1+G718)+'Assumptions'!$B$18)*(1-H718-'Assumptions'!$B$20)-SUM('Assumptions'!$B$21:$B$25)*(1+I718))-(('Assumptions'!$B$17*(1+G718)+'Assumptions'!$B$18)*(1-H718-'Assumptions'!$B$20)*'Assumptions'!$B$26)</x:f>
        <x:v>213815.47194024775</x:v>
      </x:c>
      <x:c r="M718" s="133" t="n">
        <x:f>'Assumptions'!$B$10*'Assumptions'!$B$33</x:f>
        <x:v>1950000</x:v>
      </x:c>
      <x:c r="N718" s="133" t="n">
        <x:f>-PMT(K718/12,'Assumptions'!$B$35*12,M718)*12</x:f>
        <x:v>152865.69588199342</x:v>
      </x:c>
      <x:c r="O718" s="133" t="n">
        <x:f>(L718*(1+'Assumptions'!$B$29)^('Assumptions'!$B$14/12)/J718)*(1-'Assumptions'!$B$42)-'Debt Schedule'!$F$9</x:f>
        <x:v>3572974.2464771736</x:v>
      </x:c>
      <x:c r="P718" s="132" t="n">
        <x:f>((O718+(L718-N718-'Assumptions'!$B$27-'Assumptions'!$B$28)*('Assumptions'!$B$14/12))/ABS('Monthly Cash Flow'!$S$5))^(1/('Assumptions'!$B$14/12))-1</x:f>
        <x:v>0.23224026327193692</x:v>
      </x:c>
      <x:c r="Q718" s="133" t="n">
        <x:f>-ABS('Monthly Cash Flow'!$S$5)+((L718-N718-'Assumptions'!$B$27-'Assumptions'!$B$28)*(1-(1+'Assumptions'!$B$43)^-('Assumptions'!$B$14/12))/'Assumptions'!$B$43)+(O718/(1+'Assumptions'!$B$43)^('Assumptions'!$B$14/12))</x:f>
        <x:v>1003452.0302825943</x:v>
      </x:c>
    </x:row>
    <x:row r="719">
      <x:c r="A719" s="131" t="n">
        <x:f>712</x:f>
        <x:v>712</x:v>
      </x:c>
      <x:c r="B719" s="131" t="n">
        <x:f>MOD(ABS(SIN((A719+1)*12.9898+78.233)*43758.5453),1)</x:f>
        <x:v>0.08371183349427724</x:v>
      </x:c>
      <x:c r="C719" s="131" t="n">
        <x:f>MOD(ABS(SIN((A719+2)*12.9898+78.233)*43758.5453),1)</x:f>
        <x:v>0.7129578022395435</x:v>
      </x:c>
      <x:c r="D719" s="131" t="n">
        <x:f>MOD(ABS(SIN((A719+3)*12.9898+78.233)*43758.5453),1)</x:f>
        <x:v>0.26428881928586634</x:v>
      </x:c>
      <x:c r="E719" s="131" t="n">
        <x:f>MOD(ABS(SIN((A719+4)*12.9898+78.233)*43758.5453),1)</x:f>
        <x:v>0.4136763544083806</x:v>
      </x:c>
      <x:c r="F719" s="131" t="n">
        <x:f>MOD(ABS(SIN((A719+5)*12.9898+78.233)*43758.5453),1)</x:f>
        <x:v>0.5390305806649849</x:v>
      </x:c>
      <x:c r="G719" s="132" t="n">
        <x:f>IF(B719&lt;(('Assumptions'!$C$47-'Assumptions'!$B$47)/('Assumptions'!$D$47-'Assumptions'!$B$47)),'Assumptions'!$B$47+SQRT(B719*('Assumptions'!$D$47-'Assumptions'!$B$47)*('Assumptions'!$C$47-'Assumptions'!$B$47)),'Assumptions'!$D$47-SQRT((1-B719)*('Assumptions'!$D$47-'Assumptions'!$B$47)*('Assumptions'!$D$47-'Assumptions'!$C$47)))</x:f>
        <x:v>-0.05517719326210536</x:v>
      </x:c>
      <x:c r="H719" s="132" t="n">
        <x:f>IF(C719&lt;(('Assumptions'!$C$48-'Assumptions'!$B$48)/('Assumptions'!$D$48-'Assumptions'!$B$48)),'Assumptions'!$B$48+SQRT(C719*('Assumptions'!$D$48-'Assumptions'!$B$48)*('Assumptions'!$C$48-'Assumptions'!$B$48)),'Assumptions'!$D$48-SQRT((1-C719)*('Assumptions'!$D$48-'Assumptions'!$B$48)*('Assumptions'!$D$48-'Assumptions'!$C$48)))</x:f>
        <x:v>0.08974095762659204</x:v>
      </x:c>
      <x:c r="I719" s="132" t="n">
        <x:f>IF(D719&lt;(('Assumptions'!$C$49-'Assumptions'!$B$49)/('Assumptions'!$D$49-'Assumptions'!$B$49)),'Assumptions'!$B$49+SQRT(D719*('Assumptions'!$D$49-'Assumptions'!$B$49)*('Assumptions'!$C$49-'Assumptions'!$B$49)),'Assumptions'!$D$49-SQRT((1-D719)*('Assumptions'!$D$49-'Assumptions'!$B$49)*('Assumptions'!$D$49-'Assumptions'!$C$49)))</x:f>
        <x:v>0.02342582941131898</x:v>
      </x:c>
      <x:c r="J719" s="132" t="n">
        <x:f>IF(E719&lt;(('Assumptions'!$C$50-'Assumptions'!$B$50)/('Assumptions'!$D$50-'Assumptions'!$B$50)),'Assumptions'!$B$50+SQRT(E719*('Assumptions'!$D$50-'Assumptions'!$B$50)*('Assumptions'!$C$50-'Assumptions'!$B$50)),'Assumptions'!$D$50-SQRT((1-E719)*('Assumptions'!$D$50-'Assumptions'!$B$50)*('Assumptions'!$D$50-'Assumptions'!$C$50)))</x:f>
        <x:v>0.06714765151432646</x:v>
      </x:c>
      <x:c r="K719" s="132" t="n">
        <x:f>IF(F719&lt;(('Assumptions'!$C$51-'Assumptions'!$B$51)/('Assumptions'!$D$51-'Assumptions'!$B$51)),'Assumptions'!$B$51+SQRT(F719*('Assumptions'!$D$51-'Assumptions'!$B$51)*('Assumptions'!$C$51-'Assumptions'!$B$51)),'Assumptions'!$D$51-SQRT((1-F719)*('Assumptions'!$D$51-'Assumptions'!$B$51)*('Assumptions'!$D$51-'Assumptions'!$C$51)))</x:f>
        <x:v>0.0701056543260546</x:v>
      </x:c>
      <x:c r="L719" s="133" t="n">
        <x:f>(('Assumptions'!$B$17*(1+G719)+'Assumptions'!$B$18)*(1-H719-'Assumptions'!$B$20)-SUM('Assumptions'!$B$21:$B$25)*(1+I719))-(('Assumptions'!$B$17*(1+G719)+'Assumptions'!$B$18)*(1-H719-'Assumptions'!$B$20)*'Assumptions'!$B$26)</x:f>
        <x:v>180567.09285772248</x:v>
      </x:c>
      <x:c r="M719" s="133" t="n">
        <x:f>'Assumptions'!$B$10*'Assumptions'!$B$33</x:f>
        <x:v>1950000</x:v>
      </x:c>
      <x:c r="N719" s="133" t="n">
        <x:f>-PMT(K719/12,'Assumptions'!$B$35*12,M719)*12</x:f>
        <x:v>155846.85884141963</x:v>
      </x:c>
      <x:c r="O719" s="133" t="n">
        <x:f>(L719*(1+'Assumptions'!$B$29)^('Assumptions'!$B$14/12)/J719)*(1-'Assumptions'!$B$42)-'Debt Schedule'!$F$9</x:f>
        <x:v>2930365.2476125085</x:v>
      </x:c>
      <x:c r="P719" s="132" t="n">
        <x:f>((O719+(L719-N719-'Assumptions'!$B$27-'Assumptions'!$B$28)*('Assumptions'!$B$14/12))/ABS('Monthly Cash Flow'!$S$5))^(1/('Assumptions'!$B$14/12))-1</x:f>
        <x:v>0.1713032835232413</x:v>
      </x:c>
      <x:c r="Q719" s="133" t="n">
        <x:f>-ABS('Monthly Cash Flow'!$S$5)+((L719-N719-'Assumptions'!$B$27-'Assumptions'!$B$28)*(1-(1+'Assumptions'!$B$43)^-('Assumptions'!$B$14/12))/'Assumptions'!$B$43)+(O719/(1+'Assumptions'!$B$43)^('Assumptions'!$B$14/12))</x:f>
        <x:v>467103.9318634707</x:v>
      </x:c>
    </x:row>
    <x:row r="720">
      <x:c r="A720" s="131" t="n">
        <x:f>713</x:f>
        <x:v>713</x:v>
      </x:c>
      <x:c r="B720" s="131" t="n">
        <x:f>MOD(ABS(SIN((A720+1)*12.9898+78.233)*43758.5453),1)</x:f>
        <x:v>0.7129578022395435</x:v>
      </x:c>
      <x:c r="C720" s="131" t="n">
        <x:f>MOD(ABS(SIN((A720+2)*12.9898+78.233)*43758.5453),1)</x:f>
        <x:v>0.26428881928586634</x:v>
      </x:c>
      <x:c r="D720" s="131" t="n">
        <x:f>MOD(ABS(SIN((A720+3)*12.9898+78.233)*43758.5453),1)</x:f>
        <x:v>0.4136763544083806</x:v>
      </x:c>
      <x:c r="E720" s="131" t="n">
        <x:f>MOD(ABS(SIN((A720+4)*12.9898+78.233)*43758.5453),1)</x:f>
        <x:v>0.5390305806649849</x:v>
      </x:c>
      <x:c r="F720" s="131" t="n">
        <x:f>MOD(ABS(SIN((A720+5)*12.9898+78.233)*43758.5453),1)</x:f>
        <x:v>0.19831080822041258</x:v>
      </x:c>
      <x:c r="G720" s="132" t="n">
        <x:f>IF(B720&lt;(('Assumptions'!$C$47-'Assumptions'!$B$47)/('Assumptions'!$D$47-'Assumptions'!$B$47)),'Assumptions'!$B$47+SQRT(B720*('Assumptions'!$D$47-'Assumptions'!$B$47)*('Assumptions'!$C$47-'Assumptions'!$B$47)),'Assumptions'!$D$47-SQRT((1-B720)*('Assumptions'!$D$47-'Assumptions'!$B$47)*('Assumptions'!$D$47-'Assumptions'!$C$47)))</x:f>
        <x:v>0.03223072108862819</x:v>
      </x:c>
      <x:c r="H720" s="132" t="n">
        <x:f>IF(C720&lt;(('Assumptions'!$C$48-'Assumptions'!$B$48)/('Assumptions'!$D$48-'Assumptions'!$B$48)),'Assumptions'!$B$48+SQRT(C720*('Assumptions'!$D$48-'Assumptions'!$B$48)*('Assumptions'!$C$48-'Assumptions'!$B$48)),'Assumptions'!$D$48-SQRT((1-C720)*('Assumptions'!$D$48-'Assumptions'!$B$48)*('Assumptions'!$D$48-'Assumptions'!$C$48)))</x:f>
        <x:v>0.05953223837847986</x:v>
      </x:c>
      <x:c r="I720" s="132" t="n">
        <x:f>IF(D720&lt;(('Assumptions'!$C$49-'Assumptions'!$B$49)/('Assumptions'!$D$49-'Assumptions'!$B$49)),'Assumptions'!$B$49+SQRT(D720*('Assumptions'!$D$49-'Assumptions'!$B$49)*('Assumptions'!$C$49-'Assumptions'!$B$49)),'Assumptions'!$D$49-SQRT((1-D720)*('Assumptions'!$D$49-'Assumptions'!$B$49)*('Assumptions'!$D$49-'Assumptions'!$C$49)))</x:f>
        <x:v>0.037462936128673685</x:v>
      </x:c>
      <x:c r="J720" s="132" t="n">
        <x:f>IF(E720&lt;(('Assumptions'!$C$50-'Assumptions'!$B$50)/('Assumptions'!$D$50-'Assumptions'!$B$50)),'Assumptions'!$B$50+SQRT(E720*('Assumptions'!$D$50-'Assumptions'!$B$50)*('Assumptions'!$C$50-'Assumptions'!$B$50)),'Assumptions'!$D$50-SQRT((1-E720)*('Assumptions'!$D$50-'Assumptions'!$B$50)*('Assumptions'!$D$50-'Assumptions'!$C$50)))</x:f>
        <x:v>0.06861370783845887</x:v>
      </x:c>
      <x:c r="K720" s="132" t="n">
        <x:f>IF(F720&lt;(('Assumptions'!$C$51-'Assumptions'!$B$51)/('Assumptions'!$D$51-'Assumptions'!$B$51)),'Assumptions'!$B$51+SQRT(F720*('Assumptions'!$D$51-'Assumptions'!$B$51)*('Assumptions'!$C$51-'Assumptions'!$B$51)),'Assumptions'!$D$51-SQRT((1-F720)*('Assumptions'!$D$51-'Assumptions'!$B$51)*('Assumptions'!$D$51-'Assumptions'!$C$51)))</x:f>
        <x:v>0.0648848136239592</x:v>
      </x:c>
      <x:c r="L720" s="133" t="n">
        <x:f>(('Assumptions'!$B$17*(1+G720)+'Assumptions'!$B$18)*(1-H720-'Assumptions'!$B$20)-SUM('Assumptions'!$B$21:$B$25)*(1+I720))-(('Assumptions'!$B$17*(1+G720)+'Assumptions'!$B$18)*(1-H720-'Assumptions'!$B$20)*'Assumptions'!$B$26)</x:f>
        <x:v>217292.23335598866</x:v>
      </x:c>
      <x:c r="M720" s="133" t="n">
        <x:f>'Assumptions'!$B$10*'Assumptions'!$B$33</x:f>
        <x:v>1950000</x:v>
      </x:c>
      <x:c r="N720" s="133" t="n">
        <x:f>-PMT(K720/12,'Assumptions'!$B$35*12,M720)*12</x:f>
        <x:v>147726.70142537012</x:v>
      </x:c>
      <x:c r="O720" s="133" t="n">
        <x:f>(L720*(1+'Assumptions'!$B$29)^('Assumptions'!$B$14/12)/J720)*(1-'Assumptions'!$B$42)-'Debt Schedule'!$F$9</x:f>
        <x:v>3451018.5351481684</x:v>
      </x:c>
      <x:c r="P720" s="132" t="n">
        <x:f>((O720+(L720-N720-'Assumptions'!$B$27-'Assumptions'!$B$28)*('Assumptions'!$B$14/12))/ABS('Monthly Cash Flow'!$S$5))^(1/('Assumptions'!$B$14/12))-1</x:f>
        <x:v>0.22690870080370695</x:v>
      </x:c>
      <x:c r="Q720" s="133" t="n">
        <x:f>-ABS('Monthly Cash Flow'!$S$5)+((L720-N720-'Assumptions'!$B$27-'Assumptions'!$B$28)*(1-(1+'Assumptions'!$B$43)^-('Assumptions'!$B$14/12))/'Assumptions'!$B$43)+(O720/(1+'Assumptions'!$B$43)^('Assumptions'!$B$14/12))</x:f>
        <x:v>960387.6220189796</x:v>
      </x:c>
    </x:row>
    <x:row r="721">
      <x:c r="A721" s="131" t="n">
        <x:f>714</x:f>
        <x:v>714</x:v>
      </x:c>
      <x:c r="B721" s="131" t="n">
        <x:f>MOD(ABS(SIN((A721+1)*12.9898+78.233)*43758.5453),1)</x:f>
        <x:v>0.26428881928586634</x:v>
      </x:c>
      <x:c r="C721" s="131" t="n">
        <x:f>MOD(ABS(SIN((A721+2)*12.9898+78.233)*43758.5453),1)</x:f>
        <x:v>0.4136763544083806</x:v>
      </x:c>
      <x:c r="D721" s="131" t="n">
        <x:f>MOD(ABS(SIN((A721+3)*12.9898+78.233)*43758.5453),1)</x:f>
        <x:v>0.5390305806649849</x:v>
      </x:c>
      <x:c r="E721" s="131" t="n">
        <x:f>MOD(ABS(SIN((A721+4)*12.9898+78.233)*43758.5453),1)</x:f>
        <x:v>0.19831080822041258</x:v>
      </x:c>
      <x:c r="F721" s="131" t="n">
        <x:f>MOD(ABS(SIN((A721+5)*12.9898+78.233)*43758.5453),1)</x:f>
        <x:v>0.8975917805837526</x:v>
      </x:c>
      <x:c r="G721" s="132" t="n">
        <x:f>IF(B721&lt;(('Assumptions'!$C$47-'Assumptions'!$B$47)/('Assumptions'!$D$47-'Assumptions'!$B$47)),'Assumptions'!$B$47+SQRT(B721*('Assumptions'!$D$47-'Assumptions'!$B$47)*('Assumptions'!$C$47-'Assumptions'!$B$47)),'Assumptions'!$D$47-SQRT((1-B721)*('Assumptions'!$D$47-'Assumptions'!$B$47)*('Assumptions'!$D$47-'Assumptions'!$C$47)))</x:f>
        <x:v>-0.020357475787988785</x:v>
      </x:c>
      <x:c r="H721" s="132" t="n">
        <x:f>IF(C721&lt;(('Assumptions'!$C$48-'Assumptions'!$B$48)/('Assumptions'!$D$48-'Assumptions'!$B$48)),'Assumptions'!$B$48+SQRT(C721*('Assumptions'!$D$48-'Assumptions'!$B$48)*('Assumptions'!$C$48-'Assumptions'!$B$48)),'Assumptions'!$D$48-SQRT((1-C721)*('Assumptions'!$D$48-'Assumptions'!$B$48)*('Assumptions'!$D$48-'Assumptions'!$C$48)))</x:f>
        <x:v>0.06816930961485716</x:v>
      </x:c>
      <x:c r="I721" s="132" t="n">
        <x:f>IF(D721&lt;(('Assumptions'!$C$49-'Assumptions'!$B$49)/('Assumptions'!$D$49-'Assumptions'!$B$49)),'Assumptions'!$B$49+SQRT(D721*('Assumptions'!$D$49-'Assumptions'!$B$49)*('Assumptions'!$C$49-'Assumptions'!$B$49)),'Assumptions'!$D$49-SQRT((1-D721)*('Assumptions'!$D$49-'Assumptions'!$B$49)*('Assumptions'!$D$49-'Assumptions'!$C$49)))</x:f>
        <x:v>0.05021553498847464</x:v>
      </x:c>
      <x:c r="J721" s="132" t="n">
        <x:f>IF(E721&lt;(('Assumptions'!$C$50-'Assumptions'!$B$50)/('Assumptions'!$D$50-'Assumptions'!$B$50)),'Assumptions'!$B$50+SQRT(E721*('Assumptions'!$D$50-'Assumptions'!$B$50)*('Assumptions'!$C$50-'Assumptions'!$B$50)),'Assumptions'!$D$50-SQRT((1-E721)*('Assumptions'!$D$50-'Assumptions'!$B$50)*('Assumptions'!$D$50-'Assumptions'!$C$50)))</x:f>
        <x:v>0.06417981525564838</x:v>
      </x:c>
      <x:c r="K721" s="132" t="n">
        <x:f>IF(F721&lt;(('Assumptions'!$C$51-'Assumptions'!$B$51)/('Assumptions'!$D$51-'Assumptions'!$B$51)),'Assumptions'!$B$51+SQRT(F721*('Assumptions'!$D$51-'Assumptions'!$B$51)*('Assumptions'!$C$51-'Assumptions'!$B$51)),'Assumptions'!$D$51-SQRT((1-F721)*('Assumptions'!$D$51-'Assumptions'!$B$51)*('Assumptions'!$D$51-'Assumptions'!$C$51)))</x:f>
        <x:v>0.07797974675712699</x:v>
      </x:c>
      <x:c r="L721" s="133" t="n">
        <x:f>(('Assumptions'!$B$17*(1+G721)+'Assumptions'!$B$18)*(1-H721-'Assumptions'!$B$20)-SUM('Assumptions'!$B$21:$B$25)*(1+I721))-(('Assumptions'!$B$17*(1+G721)+'Assumptions'!$B$18)*(1-H721-'Assumptions'!$B$20)*'Assumptions'!$B$26)</x:f>
        <x:v>195701.1834745883</x:v>
      </x:c>
      <x:c r="M721" s="133" t="n">
        <x:f>'Assumptions'!$B$10*'Assumptions'!$B$33</x:f>
        <x:v>1950000</x:v>
      </x:c>
      <x:c r="N721" s="133" t="n">
        <x:f>-PMT(K721/12,'Assumptions'!$B$35*12,M721)*12</x:f>
        <x:v>168416.89006097353</x:v>
      </x:c>
      <x:c r="O721" s="133" t="n">
        <x:f>(L721*(1+'Assumptions'!$B$29)^('Assumptions'!$B$14/12)/J721)*(1-'Assumptions'!$B$42)-'Debt Schedule'!$F$9</x:f>
        <x:v>3322836.4551023557</x:v>
      </x:c>
      <x:c r="P721" s="132" t="n">
        <x:f>((O721+(L721-N721-'Assumptions'!$B$27-'Assumptions'!$B$28)*('Assumptions'!$B$14/12))/ABS('Monthly Cash Flow'!$S$5))^(1/('Assumptions'!$B$14/12))-1</x:f>
        <x:v>0.20282746200801682</x:v>
      </x:c>
      <x:c r="Q721" s="133" t="n">
        <x:f>-ABS('Monthly Cash Flow'!$S$5)+((L721-N721-'Assumptions'!$B$27-'Assumptions'!$B$28)*(1-(1+'Assumptions'!$B$43)^-('Assumptions'!$B$14/12))/'Assumptions'!$B$43)+(O721/(1+'Assumptions'!$B$43)^('Assumptions'!$B$14/12))</x:f>
        <x:v>720517.4757199981</x:v>
      </x:c>
    </x:row>
    <x:row r="722">
      <x:c r="A722" s="131" t="n">
        <x:f>715</x:f>
        <x:v>715</x:v>
      </x:c>
      <x:c r="B722" s="131" t="n">
        <x:f>MOD(ABS(SIN((A722+1)*12.9898+78.233)*43758.5453),1)</x:f>
        <x:v>0.4136763544083806</x:v>
      </x:c>
      <x:c r="C722" s="131" t="n">
        <x:f>MOD(ABS(SIN((A722+2)*12.9898+78.233)*43758.5453),1)</x:f>
        <x:v>0.5390305806649849</x:v>
      </x:c>
      <x:c r="D722" s="131" t="n">
        <x:f>MOD(ABS(SIN((A722+3)*12.9898+78.233)*43758.5453),1)</x:f>
        <x:v>0.19831080822041258</x:v>
      </x:c>
      <x:c r="E722" s="131" t="n">
        <x:f>MOD(ABS(SIN((A722+4)*12.9898+78.233)*43758.5453),1)</x:f>
        <x:v>0.8975917805837526</x:v>
      </x:c>
      <x:c r="F722" s="131" t="n">
        <x:f>MOD(ABS(SIN((A722+5)*12.9898+78.233)*43758.5453),1)</x:f>
        <x:v>0.7118318295842982</x:v>
      </x:c>
      <x:c r="G722" s="132" t="n">
        <x:f>IF(B722&lt;(('Assumptions'!$C$47-'Assumptions'!$B$47)/('Assumptions'!$D$47-'Assumptions'!$B$47)),'Assumptions'!$B$47+SQRT(B722*('Assumptions'!$D$47-'Assumptions'!$B$47)*('Assumptions'!$C$47-'Assumptions'!$B$47)),'Assumptions'!$D$47-SQRT((1-B722)*('Assumptions'!$D$47-'Assumptions'!$B$47)*('Assumptions'!$D$47-'Assumptions'!$C$47)))</x:f>
        <x:v>-0.0003594836133356122</x:v>
      </x:c>
      <x:c r="H722" s="132" t="n">
        <x:f>IF(C722&lt;(('Assumptions'!$C$48-'Assumptions'!$B$48)/('Assumptions'!$D$48-'Assumptions'!$B$48)),'Assumptions'!$B$48+SQRT(C722*('Assumptions'!$D$48-'Assumptions'!$B$48)*('Assumptions'!$C$48-'Assumptions'!$B$48)),'Assumptions'!$D$48-SQRT((1-C722)*('Assumptions'!$D$48-'Assumptions'!$B$48)*('Assumptions'!$D$48-'Assumptions'!$C$48)))</x:f>
        <x:v>0.07630909884333452</x:v>
      </x:c>
      <x:c r="I722" s="132" t="n">
        <x:f>IF(D722&lt;(('Assumptions'!$C$49-'Assumptions'!$B$49)/('Assumptions'!$D$49-'Assumptions'!$B$49)),'Assumptions'!$B$49+SQRT(D722*('Assumptions'!$D$49-'Assumptions'!$B$49)*('Assumptions'!$C$49-'Assumptions'!$B$49)),'Assumptions'!$D$49-SQRT((1-D722)*('Assumptions'!$D$49-'Assumptions'!$B$49)*('Assumptions'!$D$49-'Assumptions'!$C$49)))</x:f>
        <x:v>0.016279117631826732</x:v>
      </x:c>
      <x:c r="J722" s="132" t="n">
        <x:f>IF(E722&lt;(('Assumptions'!$C$50-'Assumptions'!$B$50)/('Assumptions'!$D$50-'Assumptions'!$B$50)),'Assumptions'!$B$50+SQRT(E722*('Assumptions'!$D$50-'Assumptions'!$B$50)*('Assumptions'!$C$50-'Assumptions'!$B$50)),'Assumptions'!$D$50-SQRT((1-E722)*('Assumptions'!$D$50-'Assumptions'!$B$50)*('Assumptions'!$D$50-'Assumptions'!$C$50)))</x:f>
        <x:v>0.07463322147738333</x:v>
      </x:c>
      <x:c r="K722" s="132" t="n">
        <x:f>IF(F722&lt;(('Assumptions'!$C$51-'Assumptions'!$B$51)/('Assumptions'!$D$51-'Assumptions'!$B$51)),'Assumptions'!$B$51+SQRT(F722*('Assumptions'!$D$51-'Assumptions'!$B$51)*('Assumptions'!$C$51-'Assumptions'!$B$51)),'Assumptions'!$D$51-SQRT((1-F722)*('Assumptions'!$D$51-'Assumptions'!$B$51)*('Assumptions'!$D$51-'Assumptions'!$C$51)))</x:f>
        <x:v>0.07322371314834102</x:v>
      </x:c>
      <x:c r="L722" s="133" t="n">
        <x:f>(('Assumptions'!$B$17*(1+G722)+'Assumptions'!$B$18)*(1-H722-'Assumptions'!$B$20)-SUM('Assumptions'!$B$21:$B$25)*(1+I722))-(('Assumptions'!$B$17*(1+G722)+'Assumptions'!$B$18)*(1-H722-'Assumptions'!$B$20)*'Assumptions'!$B$26)</x:f>
        <x:v>203395.4706831929</x:v>
      </x:c>
      <x:c r="M722" s="133" t="n">
        <x:f>'Assumptions'!$B$10*'Assumptions'!$B$33</x:f>
        <x:v>1950000</x:v>
      </x:c>
      <x:c r="N722" s="133" t="n">
        <x:f>-PMT(K722/12,'Assumptions'!$B$35*12,M722)*12</x:f>
        <x:v>160779.50524713224</x:v>
      </x:c>
      <x:c r="O722" s="133" t="n">
        <x:f>(L722*(1+'Assumptions'!$B$29)^('Assumptions'!$B$14/12)/J722)*(1-'Assumptions'!$B$42)-'Debt Schedule'!$F$9</x:f>
        <x:v>2969771.716214251</x:v>
      </x:c>
      <x:c r="P722" s="132" t="n">
        <x:f>((O722+(L722-N722-'Assumptions'!$B$27-'Assumptions'!$B$28)*('Assumptions'!$B$14/12))/ABS('Monthly Cash Flow'!$S$5))^(1/('Assumptions'!$B$14/12))-1</x:f>
        <x:v>0.1816964119433906</x:v>
      </x:c>
      <x:c r="Q722" s="133" t="n">
        <x:f>-ABS('Monthly Cash Flow'!$S$5)+((L722-N722-'Assumptions'!$B$27-'Assumptions'!$B$28)*(1-(1+'Assumptions'!$B$43)^-('Assumptions'!$B$14/12))/'Assumptions'!$B$43)+(O722/(1+'Assumptions'!$B$43)^('Assumptions'!$B$14/12))</x:f>
        <x:v>559411.1503796584</x:v>
      </x:c>
    </x:row>
    <x:row r="723">
      <x:c r="A723" s="131" t="n">
        <x:f>716</x:f>
        <x:v>716</x:v>
      </x:c>
      <x:c r="B723" s="131" t="n">
        <x:f>MOD(ABS(SIN((A723+1)*12.9898+78.233)*43758.5453),1)</x:f>
        <x:v>0.5390305806649849</x:v>
      </x:c>
      <x:c r="C723" s="131" t="n">
        <x:f>MOD(ABS(SIN((A723+2)*12.9898+78.233)*43758.5453),1)</x:f>
        <x:v>0.19831080822041258</x:v>
      </x:c>
      <x:c r="D723" s="131" t="n">
        <x:f>MOD(ABS(SIN((A723+3)*12.9898+78.233)*43758.5453),1)</x:f>
        <x:v>0.8975917805837526</x:v>
      </x:c>
      <x:c r="E723" s="131" t="n">
        <x:f>MOD(ABS(SIN((A723+4)*12.9898+78.233)*43758.5453),1)</x:f>
        <x:v>0.7118318295842982</x:v>
      </x:c>
      <x:c r="F723" s="131" t="n">
        <x:f>MOD(ABS(SIN((A723+5)*12.9898+78.233)*43758.5453),1)</x:f>
        <x:v>0.438421576820474</x:v>
      </x:c>
      <x:c r="G723" s="132" t="n">
        <x:f>IF(B723&lt;(('Assumptions'!$C$47-'Assumptions'!$B$47)/('Assumptions'!$D$47-'Assumptions'!$B$47)),'Assumptions'!$B$47+SQRT(B723*('Assumptions'!$D$47-'Assumptions'!$B$47)*('Assumptions'!$C$47-'Assumptions'!$B$47)),'Assumptions'!$D$47-SQRT((1-B723)*('Assumptions'!$D$47-'Assumptions'!$B$47)*('Assumptions'!$D$47-'Assumptions'!$C$47)))</x:f>
        <x:v>0.013739764093124607</x:v>
      </x:c>
      <x:c r="H723" s="132" t="n">
        <x:f>IF(C723&lt;(('Assumptions'!$C$48-'Assumptions'!$B$48)/('Assumptions'!$D$48-'Assumptions'!$B$48)),'Assumptions'!$B$48+SQRT(C723*('Assumptions'!$D$48-'Assumptions'!$B$48)*('Assumptions'!$C$48-'Assumptions'!$B$48)),'Assumptions'!$D$48-SQRT((1-C723)*('Assumptions'!$D$48-'Assumptions'!$B$48)*('Assumptions'!$D$48-'Assumptions'!$C$48)))</x:f>
        <x:v>0.05558174480224837</x:v>
      </x:c>
      <x:c r="I723" s="132" t="n">
        <x:f>IF(D723&lt;(('Assumptions'!$C$49-'Assumptions'!$B$49)/('Assumptions'!$D$49-'Assumptions'!$B$49)),'Assumptions'!$B$49+SQRT(D723*('Assumptions'!$D$49-'Assumptions'!$B$49)*('Assumptions'!$C$49-'Assumptions'!$B$49)),'Assumptions'!$D$49-SQRT((1-D723)*('Assumptions'!$D$49-'Assumptions'!$B$49)*('Assumptions'!$D$49-'Assumptions'!$C$49)))</x:f>
        <x:v>0.10296790947245758</x:v>
      </x:c>
      <x:c r="J723" s="132" t="n">
        <x:f>IF(E723&lt;(('Assumptions'!$C$50-'Assumptions'!$B$50)/('Assumptions'!$D$50-'Assumptions'!$B$50)),'Assumptions'!$B$50+SQRT(E723*('Assumptions'!$D$50-'Assumptions'!$B$50)*('Assumptions'!$C$50-'Assumptions'!$B$50)),'Assumptions'!$D$50-SQRT((1-E723)*('Assumptions'!$D$50-'Assumptions'!$B$50)*('Assumptions'!$D$50-'Assumptions'!$C$50)))</x:f>
        <x:v>0.07099737272073224</x:v>
      </x:c>
      <x:c r="K723" s="132" t="n">
        <x:f>IF(F723&lt;(('Assumptions'!$C$51-'Assumptions'!$B$51)/('Assumptions'!$D$51-'Assumptions'!$B$51)),'Assumptions'!$B$51+SQRT(F723*('Assumptions'!$D$51-'Assumptions'!$B$51)*('Assumptions'!$C$51-'Assumptions'!$B$51)),'Assumptions'!$D$51-SQRT((1-F723)*('Assumptions'!$D$51-'Assumptions'!$B$51)*('Assumptions'!$D$51-'Assumptions'!$C$51)))</x:f>
        <x:v>0.06856042530491903</x:v>
      </x:c>
      <x:c r="L723" s="133" t="n">
        <x:f>(('Assumptions'!$B$17*(1+G723)+'Assumptions'!$B$18)*(1-H723-'Assumptions'!$B$20)-SUM('Assumptions'!$B$21:$B$25)*(1+I723))-(('Assumptions'!$B$17*(1+G723)+'Assumptions'!$B$18)*(1-H723-'Assumptions'!$B$20)*'Assumptions'!$B$26)</x:f>
        <x:v>204544.7898692654</x:v>
      </x:c>
      <x:c r="M723" s="133" t="n">
        <x:f>'Assumptions'!$B$10*'Assumptions'!$B$33</x:f>
        <x:v>1950000</x:v>
      </x:c>
      <x:c r="N723" s="133" t="n">
        <x:f>-PMT(K723/12,'Assumptions'!$B$35*12,M723)*12</x:f>
        <x:v>153425.04840490146</x:v>
      </x:c>
      <x:c r="O723" s="133" t="n">
        <x:f>(L723*(1+'Assumptions'!$B$29)^('Assumptions'!$B$14/12)/J723)*(1-'Assumptions'!$B$42)-'Debt Schedule'!$F$9</x:f>
        <x:v>3139497.351396737</x:v>
      </x:c>
      <x:c r="P723" s="132" t="n">
        <x:f>((O723+(L723-N723-'Assumptions'!$B$27-'Assumptions'!$B$28)*('Assumptions'!$B$14/12))/ABS('Monthly Cash Flow'!$S$5))^(1/('Assumptions'!$B$14/12))-1</x:f>
        <x:v>0.19805394332764914</x:v>
      </x:c>
      <x:c r="Q723" s="133" t="n">
        <x:f>-ABS('Monthly Cash Flow'!$S$5)+((L723-N723-'Assumptions'!$B$27-'Assumptions'!$B$28)*(1-(1+'Assumptions'!$B$43)^-('Assumptions'!$B$14/12))/'Assumptions'!$B$43)+(O723/(1+'Assumptions'!$B$43)^('Assumptions'!$B$14/12))</x:f>
        <x:v>697033.4179923281</x:v>
      </x:c>
    </x:row>
    <x:row r="724">
      <x:c r="A724" s="131" t="n">
        <x:f>717</x:f>
        <x:v>717</x:v>
      </x:c>
      <x:c r="B724" s="131" t="n">
        <x:f>MOD(ABS(SIN((A724+1)*12.9898+78.233)*43758.5453),1)</x:f>
        <x:v>0.19831080822041258</x:v>
      </x:c>
      <x:c r="C724" s="131" t="n">
        <x:f>MOD(ABS(SIN((A724+2)*12.9898+78.233)*43758.5453),1)</x:f>
        <x:v>0.8975917805837526</x:v>
      </x:c>
      <x:c r="D724" s="131" t="n">
        <x:f>MOD(ABS(SIN((A724+3)*12.9898+78.233)*43758.5453),1)</x:f>
        <x:v>0.7118318295842982</x:v>
      </x:c>
      <x:c r="E724" s="131" t="n">
        <x:f>MOD(ABS(SIN((A724+4)*12.9898+78.233)*43758.5453),1)</x:f>
        <x:v>0.438421576820474</x:v>
      </x:c>
      <x:c r="F724" s="131" t="n">
        <x:f>MOD(ABS(SIN((A724+5)*12.9898+78.233)*43758.5453),1)</x:f>
        <x:v>0.7813180165030644</x:v>
      </x:c>
      <x:c r="G724" s="132" t="n">
        <x:f>IF(B724&lt;(('Assumptions'!$C$47-'Assumptions'!$B$47)/('Assumptions'!$D$47-'Assumptions'!$B$47)),'Assumptions'!$B$47+SQRT(B724*('Assumptions'!$D$47-'Assumptions'!$B$47)*('Assumptions'!$C$47-'Assumptions'!$B$47)),'Assumptions'!$D$47-SQRT((1-B724)*('Assumptions'!$D$47-'Assumptions'!$B$47)*('Assumptions'!$D$47-'Assumptions'!$C$47)))</x:f>
        <x:v>-0.03101116469101757</x:v>
      </x:c>
      <x:c r="H724" s="132" t="n">
        <x:f>IF(C724&lt;(('Assumptions'!$C$48-'Assumptions'!$B$48)/('Assumptions'!$D$48-'Assumptions'!$B$48)),'Assumptions'!$B$48+SQRT(C724*('Assumptions'!$D$48-'Assumptions'!$B$48)*('Assumptions'!$C$48-'Assumptions'!$B$48)),'Assumptions'!$D$48-SQRT((1-C724)*('Assumptions'!$D$48-'Assumptions'!$B$48)*('Assumptions'!$D$48-'Assumptions'!$C$48)))</x:f>
        <x:v>0.10998013439632054</x:v>
      </x:c>
      <x:c r="I724" s="132" t="n">
        <x:f>IF(D724&lt;(('Assumptions'!$C$49-'Assumptions'!$B$49)/('Assumptions'!$D$49-'Assumptions'!$B$49)),'Assumptions'!$B$49+SQRT(D724*('Assumptions'!$D$49-'Assumptions'!$B$49)*('Assumptions'!$C$49-'Assumptions'!$B$49)),'Assumptions'!$D$49-SQRT((1-D724)*('Assumptions'!$D$49-'Assumptions'!$B$49)*('Assumptions'!$D$49-'Assumptions'!$C$49)))</x:f>
        <x:v>0.07110492739733895</x:v>
      </x:c>
      <x:c r="J724" s="132" t="n">
        <x:f>IF(E724&lt;(('Assumptions'!$C$50-'Assumptions'!$B$50)/('Assumptions'!$D$50-'Assumptions'!$B$50)),'Assumptions'!$B$50+SQRT(E724*('Assumptions'!$D$50-'Assumptions'!$B$50)*('Assumptions'!$C$50-'Assumptions'!$B$50)),'Assumptions'!$D$50-SQRT((1-E724)*('Assumptions'!$D$50-'Assumptions'!$B$50)*('Assumptions'!$D$50-'Assumptions'!$C$50)))</x:f>
        <x:v>0.06743201161822754</x:v>
      </x:c>
      <x:c r="K724" s="132" t="n">
        <x:f>IF(F724&lt;(('Assumptions'!$C$51-'Assumptions'!$B$51)/('Assumptions'!$D$51-'Assumptions'!$B$51)),'Assumptions'!$B$51+SQRT(F724*('Assumptions'!$D$51-'Assumptions'!$B$51)*('Assumptions'!$C$51-'Assumptions'!$B$51)),'Assumptions'!$D$51-SQRT((1-F724)*('Assumptions'!$D$51-'Assumptions'!$B$51)*('Assumptions'!$D$51-'Assumptions'!$C$51)))</x:f>
        <x:v>0.0747413107777894</x:v>
      </x:c>
      <x:c r="L724" s="133" t="n">
        <x:f>(('Assumptions'!$B$17*(1+G724)+'Assumptions'!$B$18)*(1-H724-'Assumptions'!$B$20)-SUM('Assumptions'!$B$21:$B$25)*(1+I724))-(('Assumptions'!$B$17*(1+G724)+'Assumptions'!$B$18)*(1-H724-'Assumptions'!$B$20)*'Assumptions'!$B$26)</x:f>
        <x:v>174950.81157426536</x:v>
      </x:c>
      <x:c r="M724" s="133" t="n">
        <x:f>'Assumptions'!$B$10*'Assumptions'!$B$33</x:f>
        <x:v>1950000</x:v>
      </x:c>
      <x:c r="N724" s="133" t="n">
        <x:f>-PMT(K724/12,'Assumptions'!$B$35*12,M724)*12</x:f>
        <x:v>163201.89210451412</x:v>
      </x:c>
      <x:c r="O724" s="133" t="n">
        <x:f>(L724*(1+'Assumptions'!$B$29)^('Assumptions'!$B$14/12)/J724)*(1-'Assumptions'!$B$42)-'Debt Schedule'!$F$9</x:f>
        <x:v>2827247.462332994</x:v>
      </x:c>
      <x:c r="P724" s="132" t="n">
        <x:f>((O724+(L724-N724-'Assumptions'!$B$27-'Assumptions'!$B$28)*('Assumptions'!$B$14/12))/ABS('Monthly Cash Flow'!$S$5))^(1/('Assumptions'!$B$14/12))-1</x:f>
        <x:v>0.15717897412183812</x:v>
      </x:c>
      <x:c r="Q724" s="133" t="n">
        <x:f>-ABS('Monthly Cash Flow'!$S$5)+((L724-N724-'Assumptions'!$B$27-'Assumptions'!$B$28)*(1-(1+'Assumptions'!$B$43)^-('Assumptions'!$B$14/12))/'Assumptions'!$B$43)+(O724/(1+'Assumptions'!$B$43)^('Assumptions'!$B$14/12))</x:f>
        <x:v>353904.41263188166</x:v>
      </x:c>
    </x:row>
    <x:row r="725">
      <x:c r="A725" s="131" t="n">
        <x:f>718</x:f>
        <x:v>718</x:v>
      </x:c>
      <x:c r="B725" s="131" t="n">
        <x:f>MOD(ABS(SIN((A725+1)*12.9898+78.233)*43758.5453),1)</x:f>
        <x:v>0.8975917805837526</x:v>
      </x:c>
      <x:c r="C725" s="131" t="n">
        <x:f>MOD(ABS(SIN((A725+2)*12.9898+78.233)*43758.5453),1)</x:f>
        <x:v>0.7118318295842982</x:v>
      </x:c>
      <x:c r="D725" s="131" t="n">
        <x:f>MOD(ABS(SIN((A725+3)*12.9898+78.233)*43758.5453),1)</x:f>
        <x:v>0.438421576820474</x:v>
      </x:c>
      <x:c r="E725" s="131" t="n">
        <x:f>MOD(ABS(SIN((A725+4)*12.9898+78.233)*43758.5453),1)</x:f>
        <x:v>0.7813180165030644</x:v>
      </x:c>
      <x:c r="F725" s="131" t="n">
        <x:f>MOD(ABS(SIN((A725+5)*12.9898+78.233)*43758.5453),1)</x:f>
        <x:v>0.9930489444595878</x:v>
      </x:c>
      <x:c r="G725" s="132" t="n">
        <x:f>IF(B725&lt;(('Assumptions'!$C$47-'Assumptions'!$B$47)/('Assumptions'!$D$47-'Assumptions'!$B$47)),'Assumptions'!$B$47+SQRT(B725*('Assumptions'!$D$47-'Assumptions'!$B$47)*('Assumptions'!$C$47-'Assumptions'!$B$47)),'Assumptions'!$D$47-SQRT((1-B725)*('Assumptions'!$D$47-'Assumptions'!$B$47)*('Assumptions'!$D$47-'Assumptions'!$C$47)))</x:f>
        <x:v>0.059521221477668584</x:v>
      </x:c>
      <x:c r="H725" s="132" t="n">
        <x:f>IF(C725&lt;(('Assumptions'!$C$48-'Assumptions'!$B$48)/('Assumptions'!$D$48-'Assumptions'!$B$48)),'Assumptions'!$B$48+SQRT(C725*('Assumptions'!$D$48-'Assumptions'!$B$48)*('Assumptions'!$C$48-'Assumptions'!$B$48)),'Assumptions'!$D$48-SQRT((1-C725)*('Assumptions'!$D$48-'Assumptions'!$B$48)*('Assumptions'!$D$48-'Assumptions'!$C$48)))</x:f>
        <x:v>0.08964247921453862</x:v>
      </x:c>
      <x:c r="I725" s="132" t="n">
        <x:f>IF(D725&lt;(('Assumptions'!$C$49-'Assumptions'!$B$49)/('Assumptions'!$D$49-'Assumptions'!$B$49)),'Assumptions'!$B$49+SQRT(D725*('Assumptions'!$D$49-'Assumptions'!$B$49)*('Assumptions'!$C$49-'Assumptions'!$B$49)),'Assumptions'!$D$49-SQRT((1-D725)*('Assumptions'!$D$49-'Assumptions'!$B$49)*('Assumptions'!$D$49-'Assumptions'!$C$49)))</x:f>
        <x:v>0.03986329430803842</x:v>
      </x:c>
      <x:c r="J725" s="132" t="n">
        <x:f>IF(E725&lt;(('Assumptions'!$C$50-'Assumptions'!$B$50)/('Assumptions'!$D$50-'Assumptions'!$B$50)),'Assumptions'!$B$50+SQRT(E725*('Assumptions'!$D$50-'Assumptions'!$B$50)*('Assumptions'!$C$50-'Assumptions'!$B$50)),'Assumptions'!$D$50-SQRT((1-E725)*('Assumptions'!$D$50-'Assumptions'!$B$50)*('Assumptions'!$D$50-'Assumptions'!$C$50)))</x:f>
        <x:v>0.07215753177510338</x:v>
      </x:c>
      <x:c r="K725" s="132" t="n">
        <x:f>IF(F725&lt;(('Assumptions'!$C$51-'Assumptions'!$B$51)/('Assumptions'!$D$51-'Assumptions'!$B$51)),'Assumptions'!$B$51+SQRT(F725*('Assumptions'!$D$51-'Assumptions'!$B$51)*('Assumptions'!$C$51-'Assumptions'!$B$51)),'Assumptions'!$D$51-SQRT((1-F725)*('Assumptions'!$D$51-'Assumptions'!$B$51)*('Assumptions'!$D$51-'Assumptions'!$C$51)))</x:f>
        <x:v>0.08317101244432244</x:v>
      </x:c>
      <x:c r="L725" s="133" t="n">
        <x:f>(('Assumptions'!$B$17*(1+G725)+'Assumptions'!$B$18)*(1-H725-'Assumptions'!$B$20)-SUM('Assumptions'!$B$21:$B$25)*(1+I725))-(('Assumptions'!$B$17*(1+G725)+'Assumptions'!$B$18)*(1-H725-'Assumptions'!$B$20)*'Assumptions'!$B$26)</x:f>
        <x:v>214219.7971817535</x:v>
      </x:c>
      <x:c r="M725" s="133" t="n">
        <x:f>'Assumptions'!$B$10*'Assumptions'!$B$33</x:f>
        <x:v>1950000</x:v>
      </x:c>
      <x:c r="N725" s="133" t="n">
        <x:f>-PMT(K725/12,'Assumptions'!$B$35*12,M725)*12</x:f>
        <x:v>176901.44781001747</x:v>
      </x:c>
      <x:c r="O725" s="133" t="n">
        <x:f>(L725*(1+'Assumptions'!$B$29)^('Assumptions'!$B$14/12)/J725)*(1-'Assumptions'!$B$42)-'Debt Schedule'!$F$9</x:f>
        <x:v>3235131.3010221086</x:v>
      </x:c>
      <x:c r="P725" s="132" t="n">
        <x:f>((O725+(L725-N725-'Assumptions'!$B$27-'Assumptions'!$B$28)*('Assumptions'!$B$14/12))/ABS('Monthly Cash Flow'!$S$5))^(1/('Assumptions'!$B$14/12))-1</x:f>
        <x:v>0.20004416568361694</x:v>
      </x:c>
      <x:c r="Q725" s="133" t="n">
        <x:f>-ABS('Monthly Cash Flow'!$S$5)+((L725-N725-'Assumptions'!$B$27-'Assumptions'!$B$28)*(1-(1+'Assumptions'!$B$43)^-('Assumptions'!$B$14/12))/'Assumptions'!$B$43)+(O725/(1+'Assumptions'!$B$43)^('Assumptions'!$B$14/12))</x:f>
        <x:v>704096.441978934</x:v>
      </x:c>
    </x:row>
    <x:row r="726">
      <x:c r="A726" s="131" t="n">
        <x:f>719</x:f>
        <x:v>719</x:v>
      </x:c>
      <x:c r="B726" s="131" t="n">
        <x:f>MOD(ABS(SIN((A726+1)*12.9898+78.233)*43758.5453),1)</x:f>
        <x:v>0.7118318295842982</x:v>
      </x:c>
      <x:c r="C726" s="131" t="n">
        <x:f>MOD(ABS(SIN((A726+2)*12.9898+78.233)*43758.5453),1)</x:f>
        <x:v>0.438421576820474</x:v>
      </x:c>
      <x:c r="D726" s="131" t="n">
        <x:f>MOD(ABS(SIN((A726+3)*12.9898+78.233)*43758.5453),1)</x:f>
        <x:v>0.7813180165030644</x:v>
      </x:c>
      <x:c r="E726" s="131" t="n">
        <x:f>MOD(ABS(SIN((A726+4)*12.9898+78.233)*43758.5453),1)</x:f>
        <x:v>0.9930489444595878</x:v>
      </x:c>
      <x:c r="F726" s="131" t="n">
        <x:f>MOD(ABS(SIN((A726+5)*12.9898+78.233)*43758.5453),1)</x:f>
        <x:v>0.5406248341023456</x:v>
      </x:c>
      <x:c r="G726" s="132" t="n">
        <x:f>IF(B726&lt;(('Assumptions'!$C$47-'Assumptions'!$B$47)/('Assumptions'!$D$47-'Assumptions'!$B$47)),'Assumptions'!$B$47+SQRT(B726*('Assumptions'!$D$47-'Assumptions'!$B$47)*('Assumptions'!$C$47-'Assumptions'!$B$47)),'Assumptions'!$D$47-SQRT((1-B726)*('Assumptions'!$D$47-'Assumptions'!$B$47)*('Assumptions'!$D$47-'Assumptions'!$C$47)))</x:f>
        <x:v>0.032097932824904155</x:v>
      </x:c>
      <x:c r="H726" s="132" t="n">
        <x:f>IF(C726&lt;(('Assumptions'!$C$48-'Assumptions'!$B$48)/('Assumptions'!$D$48-'Assumptions'!$B$48)),'Assumptions'!$B$48+SQRT(C726*('Assumptions'!$D$48-'Assumptions'!$B$48)*('Assumptions'!$C$48-'Assumptions'!$B$48)),'Assumptions'!$D$48-SQRT((1-C726)*('Assumptions'!$D$48-'Assumptions'!$B$48)*('Assumptions'!$D$48-'Assumptions'!$C$48)))</x:f>
        <x:v>0.06970142160768947</x:v>
      </x:c>
      <x:c r="I726" s="132" t="n">
        <x:f>IF(D726&lt;(('Assumptions'!$C$49-'Assumptions'!$B$49)/('Assumptions'!$D$49-'Assumptions'!$B$49)),'Assumptions'!$B$49+SQRT(D726*('Assumptions'!$D$49-'Assumptions'!$B$49)*('Assumptions'!$C$49-'Assumptions'!$B$49)),'Assumptions'!$D$49-SQRT((1-D726)*('Assumptions'!$D$49-'Assumptions'!$B$49)*('Assumptions'!$D$49-'Assumptions'!$C$49)))</x:f>
        <x:v>0.08127205194730597</x:v>
      </x:c>
      <x:c r="J726" s="132" t="n">
        <x:f>IF(E726&lt;(('Assumptions'!$C$50-'Assumptions'!$B$50)/('Assumptions'!$D$50-'Assumptions'!$B$50)),'Assumptions'!$B$50+SQRT(E726*('Assumptions'!$D$50-'Assumptions'!$B$50)*('Assumptions'!$C$50-'Assumptions'!$B$50)),'Assumptions'!$D$50-SQRT((1-E726)*('Assumptions'!$D$50-'Assumptions'!$B$50)*('Assumptions'!$D$50-'Assumptions'!$C$50)))</x:f>
        <x:v>0.07860179244361185</x:v>
      </x:c>
      <x:c r="K726" s="132" t="n">
        <x:f>IF(F726&lt;(('Assumptions'!$C$51-'Assumptions'!$B$51)/('Assumptions'!$D$51-'Assumptions'!$B$51)),'Assumptions'!$B$51+SQRT(F726*('Assumptions'!$D$51-'Assumptions'!$B$51)*('Assumptions'!$C$51-'Assumptions'!$B$51)),'Assumptions'!$D$51-SQRT((1-F726)*('Assumptions'!$D$51-'Assumptions'!$B$51)*('Assumptions'!$D$51-'Assumptions'!$C$51)))</x:f>
        <x:v>0.07013143253072959</x:v>
      </x:c>
      <x:c r="L726" s="133" t="n">
        <x:f>(('Assumptions'!$B$17*(1+G726)+'Assumptions'!$B$18)*(1-H726-'Assumptions'!$B$20)-SUM('Assumptions'!$B$21:$B$25)*(1+I726))-(('Assumptions'!$B$17*(1+G726)+'Assumptions'!$B$18)*(1-H726-'Assumptions'!$B$20)*'Assumptions'!$B$26)</x:f>
        <x:v>207926.58366290145</x:v>
      </x:c>
      <x:c r="M726" s="133" t="n">
        <x:f>'Assumptions'!$B$10*'Assumptions'!$B$33</x:f>
        <x:v>1950000</x:v>
      </x:c>
      <x:c r="N726" s="133" t="n">
        <x:f>-PMT(K726/12,'Assumptions'!$B$35*12,M726)*12</x:f>
        <x:v>155887.3895868272</x:v>
      </x:c>
      <x:c r="O726" s="133" t="n">
        <x:f>(L726*(1+'Assumptions'!$B$29)^('Assumptions'!$B$14/12)/J726)*(1-'Assumptions'!$B$42)-'Debt Schedule'!$F$9</x:f>
        <x:v>2882647.5438563116</x:v>
      </x:c>
      <x:c r="P726" s="132" t="n">
        <x:f>((O726+(L726-N726-'Assumptions'!$B$27-'Assumptions'!$B$28)*('Assumptions'!$B$14/12))/ABS('Monthly Cash Flow'!$S$5))^(1/('Assumptions'!$B$14/12))-1</x:f>
        <x:v>0.1785093239671265</x:v>
      </x:c>
      <x:c r="Q726" s="133" t="n">
        <x:f>-ABS('Monthly Cash Flow'!$S$5)+((L726-N726-'Assumptions'!$B$27-'Assumptions'!$B$28)*(1-(1+'Assumptions'!$B$43)^-('Assumptions'!$B$14/12))/'Assumptions'!$B$43)+(O726/(1+'Assumptions'!$B$43)^('Assumptions'!$B$14/12))</x:f>
        <x:v>541035.3444624073</x:v>
      </x:c>
    </x:row>
    <x:row r="727">
      <x:c r="A727" s="131" t="n">
        <x:f>720</x:f>
        <x:v>720</x:v>
      </x:c>
      <x:c r="B727" s="131" t="n">
        <x:f>MOD(ABS(SIN((A727+1)*12.9898+78.233)*43758.5453),1)</x:f>
        <x:v>0.438421576820474</x:v>
      </x:c>
      <x:c r="C727" s="131" t="n">
        <x:f>MOD(ABS(SIN((A727+2)*12.9898+78.233)*43758.5453),1)</x:f>
        <x:v>0.7813180165030644</x:v>
      </x:c>
      <x:c r="D727" s="131" t="n">
        <x:f>MOD(ABS(SIN((A727+3)*12.9898+78.233)*43758.5453),1)</x:f>
        <x:v>0.9930489444595878</x:v>
      </x:c>
      <x:c r="E727" s="131" t="n">
        <x:f>MOD(ABS(SIN((A727+4)*12.9898+78.233)*43758.5453),1)</x:f>
        <x:v>0.5406248341023456</x:v>
      </x:c>
      <x:c r="F727" s="131" t="n">
        <x:f>MOD(ABS(SIN((A727+5)*12.9898+78.233)*43758.5453),1)</x:f>
        <x:v>0.3965615739725763</x:v>
      </x:c>
      <x:c r="G727" s="132" t="n">
        <x:f>IF(B727&lt;(('Assumptions'!$C$47-'Assumptions'!$B$47)/('Assumptions'!$D$47-'Assumptions'!$B$47)),'Assumptions'!$B$47+SQRT(B727*('Assumptions'!$D$47-'Assumptions'!$B$47)*('Assumptions'!$C$47-'Assumptions'!$B$47)),'Assumptions'!$D$47-SQRT((1-B727)*('Assumptions'!$D$47-'Assumptions'!$B$47)*('Assumptions'!$D$47-'Assumptions'!$C$47)))</x:f>
        <x:v>0.002577374911290148</x:v>
      </x:c>
      <x:c r="H727" s="132" t="n">
        <x:f>IF(C727&lt;(('Assumptions'!$C$48-'Assumptions'!$B$48)/('Assumptions'!$D$48-'Assumptions'!$B$48)),'Assumptions'!$B$48+SQRT(C727*('Assumptions'!$D$48-'Assumptions'!$B$48)*('Assumptions'!$C$48-'Assumptions'!$B$48)),'Assumptions'!$D$48-SQRT((1-C727)*('Assumptions'!$D$48-'Assumptions'!$B$48)*('Assumptions'!$D$48-'Assumptions'!$C$48)))</x:f>
        <x:v>0.0961319996492542</x:v>
      </x:c>
      <x:c r="I727" s="132" t="n">
        <x:f>IF(D727&lt;(('Assumptions'!$C$49-'Assumptions'!$B$49)/('Assumptions'!$D$49-'Assumptions'!$B$49)),'Assumptions'!$B$49+SQRT(D727*('Assumptions'!$D$49-'Assumptions'!$B$49)*('Assumptions'!$C$49-'Assumptions'!$B$49)),'Assumptions'!$D$49-SQRT((1-D727)*('Assumptions'!$D$49-'Assumptions'!$B$49)*('Assumptions'!$D$49-'Assumptions'!$C$49)))</x:f>
        <x:v>0.1377467229006725</x:v>
      </x:c>
      <x:c r="J727" s="132" t="n">
        <x:f>IF(E727&lt;(('Assumptions'!$C$50-'Assumptions'!$B$50)/('Assumptions'!$D$50-'Assumptions'!$B$50)),'Assumptions'!$B$50+SQRT(E727*('Assumptions'!$D$50-'Assumptions'!$B$50)*('Assumptions'!$C$50-'Assumptions'!$B$50)),'Assumptions'!$D$50-SQRT((1-E727)*('Assumptions'!$D$50-'Assumptions'!$B$50)*('Assumptions'!$D$50-'Assumptions'!$C$50)))</x:f>
        <x:v>0.06863341452287824</x:v>
      </x:c>
      <x:c r="K727" s="132" t="n">
        <x:f>IF(F727&lt;(('Assumptions'!$C$51-'Assumptions'!$B$51)/('Assumptions'!$D$51-'Assumptions'!$B$51)),'Assumptions'!$B$51+SQRT(F727*('Assumptions'!$D$51-'Assumptions'!$B$51)*('Assumptions'!$C$51-'Assumptions'!$B$51)),'Assumptions'!$D$51-SQRT((1-F727)*('Assumptions'!$D$51-'Assumptions'!$B$51)*('Assumptions'!$D$51-'Assumptions'!$C$51)))</x:f>
        <x:v>0.06795873412783845</x:v>
      </x:c>
      <x:c r="L727" s="133" t="n">
        <x:f>(('Assumptions'!$B$17*(1+G727)+'Assumptions'!$B$18)*(1-H727-'Assumptions'!$B$20)-SUM('Assumptions'!$B$21:$B$25)*(1+I727))-(('Assumptions'!$B$17*(1+G727)+'Assumptions'!$B$18)*(1-H727-'Assumptions'!$B$20)*'Assumptions'!$B$26)</x:f>
        <x:v>181806.93755211637</x:v>
      </x:c>
      <x:c r="M727" s="133" t="n">
        <x:f>'Assumptions'!$B$10*'Assumptions'!$B$33</x:f>
        <x:v>1950000</x:v>
      </x:c>
      <x:c r="N727" s="133" t="n">
        <x:f>-PMT(K727/12,'Assumptions'!$B$35*12,M727)*12</x:f>
        <x:v>152486.17826038392</x:v>
      </x:c>
      <x:c r="O727" s="133" t="n">
        <x:f>(L727*(1+'Assumptions'!$B$29)^('Assumptions'!$B$14/12)/J727)*(1-'Assumptions'!$B$42)-'Debt Schedule'!$F$9</x:f>
        <x:v>2886614.7263019253</x:v>
      </x:c>
      <x:c r="P727" s="132" t="n">
        <x:f>((O727+(L727-N727-'Assumptions'!$B$27-'Assumptions'!$B$28)*('Assumptions'!$B$14/12))/ABS('Monthly Cash Flow'!$S$5))^(1/('Assumptions'!$B$14/12))-1</x:f>
        <x:v>0.16959527069738622</x:v>
      </x:c>
      <x:c r="Q727" s="133" t="n">
        <x:f>-ABS('Monthly Cash Flow'!$S$5)+((L727-N727-'Assumptions'!$B$27-'Assumptions'!$B$28)*(1-(1+'Assumptions'!$B$43)^-('Assumptions'!$B$14/12))/'Assumptions'!$B$43)+(O727/(1+'Assumptions'!$B$43)^('Assumptions'!$B$14/12))</x:f>
        <x:v>457377.9106332031</x:v>
      </x:c>
    </x:row>
    <x:row r="728">
      <x:c r="A728" s="131" t="n">
        <x:f>721</x:f>
        <x:v>721</x:v>
      </x:c>
      <x:c r="B728" s="131" t="n">
        <x:f>MOD(ABS(SIN((A728+1)*12.9898+78.233)*43758.5453),1)</x:f>
        <x:v>0.7813180165030644</x:v>
      </x:c>
      <x:c r="C728" s="131" t="n">
        <x:f>MOD(ABS(SIN((A728+2)*12.9898+78.233)*43758.5453),1)</x:f>
        <x:v>0.9930489444595878</x:v>
      </x:c>
      <x:c r="D728" s="131" t="n">
        <x:f>MOD(ABS(SIN((A728+3)*12.9898+78.233)*43758.5453),1)</x:f>
        <x:v>0.5406248341023456</x:v>
      </x:c>
      <x:c r="E728" s="131" t="n">
        <x:f>MOD(ABS(SIN((A728+4)*12.9898+78.233)*43758.5453),1)</x:f>
        <x:v>0.3965615739725763</x:v>
      </x:c>
      <x:c r="F728" s="131" t="n">
        <x:f>MOD(ABS(SIN((A728+5)*12.9898+78.233)*43758.5453),1)</x:f>
        <x:v>0.05932968015258666</x:v>
      </x:c>
      <x:c r="G728" s="132" t="n">
        <x:f>IF(B728&lt;(('Assumptions'!$C$47-'Assumptions'!$B$47)/('Assumptions'!$D$47-'Assumptions'!$B$47)),'Assumptions'!$B$47+SQRT(B728*('Assumptions'!$D$47-'Assumptions'!$B$47)*('Assumptions'!$C$47-'Assumptions'!$B$47)),'Assumptions'!$D$47-SQRT((1-B728)*('Assumptions'!$D$47-'Assumptions'!$B$47)*('Assumptions'!$D$47-'Assumptions'!$C$47)))</x:f>
        <x:v>0.04084840039397947</x:v>
      </x:c>
      <x:c r="H728" s="132" t="n">
        <x:f>IF(C728&lt;(('Assumptions'!$C$48-'Assumptions'!$B$48)/('Assumptions'!$D$48-'Assumptions'!$B$48)),'Assumptions'!$B$48+SQRT(C728*('Assumptions'!$D$48-'Assumptions'!$B$48)*('Assumptions'!$C$48-'Assumptions'!$B$48)),'Assumptions'!$D$48-SQRT((1-C728)*('Assumptions'!$D$48-'Assumptions'!$B$48)*('Assumptions'!$D$48-'Assumptions'!$C$48)))</x:f>
        <x:v>0.13217892023083594</x:v>
      </x:c>
      <x:c r="I728" s="132" t="n">
        <x:f>IF(D728&lt;(('Assumptions'!$C$49-'Assumptions'!$B$49)/('Assumptions'!$D$49-'Assumptions'!$B$49)),'Assumptions'!$B$49+SQRT(D728*('Assumptions'!$D$49-'Assumptions'!$B$49)*('Assumptions'!$C$49-'Assumptions'!$B$49)),'Assumptions'!$D$49-SQRT((1-D728)*('Assumptions'!$D$49-'Assumptions'!$B$49)*('Assumptions'!$D$49-'Assumptions'!$C$49)))</x:f>
        <x:v>0.05038823571791666</x:v>
      </x:c>
      <x:c r="J728" s="132" t="n">
        <x:f>IF(E728&lt;(('Assumptions'!$C$50-'Assumptions'!$B$50)/('Assumptions'!$D$50-'Assumptions'!$B$50)),'Assumptions'!$B$50+SQRT(E728*('Assumptions'!$D$50-'Assumptions'!$B$50)*('Assumptions'!$C$50-'Assumptions'!$B$50)),'Assumptions'!$D$50-SQRT((1-E728)*('Assumptions'!$D$50-'Assumptions'!$B$50)*('Assumptions'!$D$50-'Assumptions'!$C$50)))</x:f>
        <x:v>0.06694597025952495</x:v>
      </x:c>
      <x:c r="K728" s="132" t="n">
        <x:f>IF(F728&lt;(('Assumptions'!$C$51-'Assumptions'!$B$51)/('Assumptions'!$D$51-'Assumptions'!$B$51)),'Assumptions'!$B$51+SQRT(F728*('Assumptions'!$D$51-'Assumptions'!$B$51)*('Assumptions'!$C$51-'Assumptions'!$B$51)),'Assumptions'!$D$51-SQRT((1-F728)*('Assumptions'!$D$51-'Assumptions'!$B$51)*('Assumptions'!$D$51-'Assumptions'!$C$51)))</x:f>
        <x:v>0.0615392650373504</x:v>
      </x:c>
      <x:c r="L728" s="133" t="n">
        <x:f>(('Assumptions'!$B$17*(1+G728)+'Assumptions'!$B$18)*(1-H728-'Assumptions'!$B$20)-SUM('Assumptions'!$B$21:$B$25)*(1+I728))-(('Assumptions'!$B$17*(1+G728)+'Assumptions'!$B$18)*(1-H728-'Assumptions'!$B$20)*'Assumptions'!$B$26)</x:f>
        <x:v>191047.23362935477</x:v>
      </x:c>
      <x:c r="M728" s="133" t="n">
        <x:f>'Assumptions'!$B$10*'Assumptions'!$B$33</x:f>
        <x:v>1950000</x:v>
      </x:c>
      <x:c r="N728" s="133" t="n">
        <x:f>-PMT(K728/12,'Assumptions'!$B$35*12,M728)*12</x:f>
        <x:v>142618.87980463245</x:v>
      </x:c>
      <x:c r="O728" s="133" t="n">
        <x:f>(L728*(1+'Assumptions'!$B$29)^('Assumptions'!$B$14/12)/J728)*(1-'Assumptions'!$B$42)-'Debt Schedule'!$F$9</x:f>
        <x:v>3109784.4696459644</x:v>
      </x:c>
      <x:c r="P728" s="132" t="n">
        <x:f>((O728+(L728-N728-'Assumptions'!$B$27-'Assumptions'!$B$28)*('Assumptions'!$B$14/12))/ABS('Monthly Cash Flow'!$S$5))^(1/('Assumptions'!$B$14/12))-1</x:f>
        <x:v>0.19479885617255088</x:v>
      </x:c>
      <x:c r="Q728" s="133" t="n">
        <x:f>-ABS('Monthly Cash Flow'!$S$5)+((L728-N728-'Assumptions'!$B$27-'Assumptions'!$B$28)*(1-(1+'Assumptions'!$B$43)^-('Assumptions'!$B$14/12))/'Assumptions'!$B$43)+(O728/(1+'Assumptions'!$B$43)^('Assumptions'!$B$14/12))</x:f>
        <x:v>668381.5794880353</x:v>
      </x:c>
    </x:row>
    <x:row r="729">
      <x:c r="A729" s="131" t="n">
        <x:f>722</x:f>
        <x:v>722</x:v>
      </x:c>
      <x:c r="B729" s="131" t="n">
        <x:f>MOD(ABS(SIN((A729+1)*12.9898+78.233)*43758.5453),1)</x:f>
        <x:v>0.9930489444595878</x:v>
      </x:c>
      <x:c r="C729" s="131" t="n">
        <x:f>MOD(ABS(SIN((A729+2)*12.9898+78.233)*43758.5453),1)</x:f>
        <x:v>0.5406248341023456</x:v>
      </x:c>
      <x:c r="D729" s="131" t="n">
        <x:f>MOD(ABS(SIN((A729+3)*12.9898+78.233)*43758.5453),1)</x:f>
        <x:v>0.3965615739725763</x:v>
      </x:c>
      <x:c r="E729" s="131" t="n">
        <x:f>MOD(ABS(SIN((A729+4)*12.9898+78.233)*43758.5453),1)</x:f>
        <x:v>0.05932968015258666</x:v>
      </x:c>
      <x:c r="F729" s="131" t="n">
        <x:f>MOD(ABS(SIN((A729+5)*12.9898+78.233)*43758.5453),1)</x:f>
        <x:v>0.7347758780269942</x:v>
      </x:c>
      <x:c r="G729" s="132" t="n">
        <x:f>IF(B729&lt;(('Assumptions'!$C$47-'Assumptions'!$B$47)/('Assumptions'!$D$47-'Assumptions'!$B$47)),'Assumptions'!$B$47+SQRT(B729*('Assumptions'!$D$47-'Assumptions'!$B$47)*('Assumptions'!$C$47-'Assumptions'!$B$47)),'Assumptions'!$D$47-SQRT((1-B729)*('Assumptions'!$D$47-'Assumptions'!$B$47)*('Assumptions'!$D$47-'Assumptions'!$C$47)))</x:f>
        <x:v>0.0894540581906311</x:v>
      </x:c>
      <x:c r="H729" s="132" t="n">
        <x:f>IF(C729&lt;(('Assumptions'!$C$48-'Assumptions'!$B$48)/('Assumptions'!$D$48-'Assumptions'!$B$48)),'Assumptions'!$B$48+SQRT(C729*('Assumptions'!$D$48-'Assumptions'!$B$48)*('Assumptions'!$C$48-'Assumptions'!$B$48)),'Assumptions'!$D$48-SQRT((1-C729)*('Assumptions'!$D$48-'Assumptions'!$B$48)*('Assumptions'!$D$48-'Assumptions'!$C$48)))</x:f>
        <x:v>0.07641933108326589</x:v>
      </x:c>
      <x:c r="I729" s="132" t="n">
        <x:f>IF(D729&lt;(('Assumptions'!$C$49-'Assumptions'!$B$49)/('Assumptions'!$D$49-'Assumptions'!$B$49)),'Assumptions'!$B$49+SQRT(D729*('Assumptions'!$D$49-'Assumptions'!$B$49)*('Assumptions'!$C$49-'Assumptions'!$B$49)),'Assumptions'!$D$49-SQRT((1-D729)*('Assumptions'!$D$49-'Assumptions'!$B$49)*('Assumptions'!$D$49-'Assumptions'!$C$49)))</x:f>
        <x:v>0.03583227250140979</x:v>
      </x:c>
      <x:c r="J729" s="132" t="n">
        <x:f>IF(E729&lt;(('Assumptions'!$C$50-'Assumptions'!$B$50)/('Assumptions'!$D$50-'Assumptions'!$B$50)),'Assumptions'!$B$50+SQRT(E729*('Assumptions'!$D$50-'Assumptions'!$B$50)*('Assumptions'!$C$50-'Assumptions'!$B$50)),'Assumptions'!$D$50-SQRT((1-E729)*('Assumptions'!$D$50-'Assumptions'!$B$50)*('Assumptions'!$D$50-'Assumptions'!$C$50)))</x:f>
        <x:v>0.061153652697552414</x:v>
      </x:c>
      <x:c r="K729" s="132" t="n">
        <x:f>IF(F729&lt;(('Assumptions'!$C$51-'Assumptions'!$B$51)/('Assumptions'!$D$51-'Assumptions'!$B$51)),'Assumptions'!$B$51+SQRT(F729*('Assumptions'!$D$51-'Assumptions'!$B$51)*('Assumptions'!$C$51-'Assumptions'!$B$51)),'Assumptions'!$D$51-SQRT((1-F729)*('Assumptions'!$D$51-'Assumptions'!$B$51)*('Assumptions'!$D$51-'Assumptions'!$C$51)))</x:f>
        <x:v>0.07370225205186852</x:v>
      </x:c>
      <x:c r="L729" s="133" t="n">
        <x:f>(('Assumptions'!$B$17*(1+G729)+'Assumptions'!$B$18)*(1-H729-'Assumptions'!$B$20)-SUM('Assumptions'!$B$21:$B$25)*(1+I729))-(('Assumptions'!$B$17*(1+G729)+'Assumptions'!$B$18)*(1-H729-'Assumptions'!$B$20)*'Assumptions'!$B$26)</x:f>
        <x:v>229248.92782041235</x:v>
      </x:c>
      <x:c r="M729" s="133" t="n">
        <x:f>'Assumptions'!$B$10*'Assumptions'!$B$33</x:f>
        <x:v>1950000</x:v>
      </x:c>
      <x:c r="N729" s="133" t="n">
        <x:f>-PMT(K729/12,'Assumptions'!$B$35*12,M729)*12</x:f>
        <x:v>161541.84314661083</x:v>
      </x:c>
      <x:c r="O729" s="133" t="n">
        <x:f>(L729*(1+'Assumptions'!$B$29)^('Assumptions'!$B$14/12)/J729)*(1-'Assumptions'!$B$42)-'Debt Schedule'!$F$9</x:f>
        <x:v>4085064.2152774967</x:v>
      </x:c>
      <x:c r="P729" s="132" t="n">
        <x:f>((O729+(L729-N729-'Assumptions'!$B$27-'Assumptions'!$B$28)*('Assumptions'!$B$14/12))/ABS('Monthly Cash Flow'!$S$5))^(1/('Assumptions'!$B$14/12))-1</x:f>
        <x:v>0.26682357809692214</x:v>
      </x:c>
      <x:c r="Q729" s="133" t="n">
        <x:f>-ABS('Monthly Cash Flow'!$S$5)+((L729-N729-'Assumptions'!$B$27-'Assumptions'!$B$28)*(1-(1+'Assumptions'!$B$43)^-('Assumptions'!$B$14/12))/'Assumptions'!$B$43)+(O729/(1+'Assumptions'!$B$43)^('Assumptions'!$B$14/12))</x:f>
        <x:v>1347035.1273320385</x:v>
      </x:c>
    </x:row>
    <x:row r="730">
      <x:c r="A730" s="131" t="n">
        <x:f>723</x:f>
        <x:v>723</x:v>
      </x:c>
      <x:c r="B730" s="131" t="n">
        <x:f>MOD(ABS(SIN((A730+1)*12.9898+78.233)*43758.5453),1)</x:f>
        <x:v>0.5406248341023456</x:v>
      </x:c>
      <x:c r="C730" s="131" t="n">
        <x:f>MOD(ABS(SIN((A730+2)*12.9898+78.233)*43758.5453),1)</x:f>
        <x:v>0.3965615739725763</x:v>
      </x:c>
      <x:c r="D730" s="131" t="n">
        <x:f>MOD(ABS(SIN((A730+3)*12.9898+78.233)*43758.5453),1)</x:f>
        <x:v>0.05932968015258666</x:v>
      </x:c>
      <x:c r="E730" s="131" t="n">
        <x:f>MOD(ABS(SIN((A730+4)*12.9898+78.233)*43758.5453),1)</x:f>
        <x:v>0.7347758780269942</x:v>
      </x:c>
      <x:c r="F730" s="131" t="n">
        <x:f>MOD(ABS(SIN((A730+5)*12.9898+78.233)*43758.5453),1)</x:f>
        <x:v>0.9269758453756367</x:v>
      </x:c>
      <x:c r="G730" s="132" t="n">
        <x:f>IF(B730&lt;(('Assumptions'!$C$47-'Assumptions'!$B$47)/('Assumptions'!$D$47-'Assumptions'!$B$47)),'Assumptions'!$B$47+SQRT(B730*('Assumptions'!$D$47-'Assumptions'!$B$47)*('Assumptions'!$C$47-'Assumptions'!$B$47)),'Assumptions'!$D$47-SQRT((1-B730)*('Assumptions'!$D$47-'Assumptions'!$B$47)*('Assumptions'!$D$47-'Assumptions'!$C$47)))</x:f>
        <x:v>0.013907840021906717</x:v>
      </x:c>
      <x:c r="H730" s="132" t="n">
        <x:f>IF(C730&lt;(('Assumptions'!$C$48-'Assumptions'!$B$48)/('Assumptions'!$D$48-'Assumptions'!$B$48)),'Assumptions'!$B$48+SQRT(C730*('Assumptions'!$D$48-'Assumptions'!$B$48)*('Assumptions'!$C$48-'Assumptions'!$B$48)),'Assumptions'!$D$48-SQRT((1-C730)*('Assumptions'!$D$48-'Assumptions'!$B$48)*('Assumptions'!$D$48-'Assumptions'!$C$48)))</x:f>
        <x:v>0.06712848190794068</x:v>
      </x:c>
      <x:c r="I730" s="132" t="n">
        <x:f>IF(D730&lt;(('Assumptions'!$C$49-'Assumptions'!$B$49)/('Assumptions'!$D$49-'Assumptions'!$B$49)),'Assumptions'!$B$49+SQRT(D730*('Assumptions'!$D$49-'Assumptions'!$B$49)*('Assumptions'!$C$49-'Assumptions'!$B$49)),'Assumptions'!$D$49-SQRT((1-D730)*('Assumptions'!$D$49-'Assumptions'!$B$49)*('Assumptions'!$D$49-'Assumptions'!$C$49)))</x:f>
        <x:v>-0.004686751578512567</x:v>
      </x:c>
      <x:c r="J730" s="132" t="n">
        <x:f>IF(E730&lt;(('Assumptions'!$C$50-'Assumptions'!$B$50)/('Assumptions'!$D$50-'Assumptions'!$B$50)),'Assumptions'!$B$50+SQRT(E730*('Assumptions'!$D$50-'Assumptions'!$B$50)*('Assumptions'!$C$50-'Assumptions'!$B$50)),'Assumptions'!$D$50-SQRT((1-E730)*('Assumptions'!$D$50-'Assumptions'!$B$50)*('Assumptions'!$D$50-'Assumptions'!$C$50)))</x:f>
        <x:v>0.0713632017329969</x:v>
      </x:c>
      <x:c r="K730" s="132" t="n">
        <x:f>IF(F730&lt;(('Assumptions'!$C$51-'Assumptions'!$B$51)/('Assumptions'!$D$51-'Assumptions'!$B$51)),'Assumptions'!$B$51+SQRT(F730*('Assumptions'!$D$51-'Assumptions'!$B$51)*('Assumptions'!$C$51-'Assumptions'!$B$51)),'Assumptions'!$D$51-SQRT((1-F730)*('Assumptions'!$D$51-'Assumptions'!$B$51)*('Assumptions'!$D$51-'Assumptions'!$C$51)))</x:f>
        <x:v>0.07907185742302239</x:v>
      </x:c>
      <x:c r="L730" s="133" t="n">
        <x:f>(('Assumptions'!$B$17*(1+G730)+'Assumptions'!$B$18)*(1-H730-'Assumptions'!$B$20)-SUM('Assumptions'!$B$21:$B$25)*(1+I730))-(('Assumptions'!$B$17*(1+G730)+'Assumptions'!$B$18)*(1-H730-'Assumptions'!$B$20)*'Assumptions'!$B$26)</x:f>
        <x:v>213917.97482866724</x:v>
      </x:c>
      <x:c r="M730" s="133" t="n">
        <x:f>'Assumptions'!$B$10*'Assumptions'!$B$33</x:f>
        <x:v>1950000</x:v>
      </x:c>
      <x:c r="N730" s="133" t="n">
        <x:f>-PMT(K730/12,'Assumptions'!$B$35*12,M730)*12</x:f>
        <x:v>170189.29225657703</x:v>
      </x:c>
      <x:c r="O730" s="133" t="n">
        <x:f>(L730*(1+'Assumptions'!$B$29)^('Assumptions'!$B$14/12)/J730)*(1-'Assumptions'!$B$42)-'Debt Schedule'!$F$9</x:f>
        <x:v>3266532.0900689135</x:v>
      </x:c>
      <x:c r="P730" s="132" t="n">
        <x:f>((O730+(L730-N730-'Assumptions'!$B$27-'Assumptions'!$B$28)*('Assumptions'!$B$14/12))/ABS('Monthly Cash Flow'!$S$5))^(1/('Assumptions'!$B$14/12))-1</x:f>
        <x:v>0.20473438007362477</x:v>
      </x:c>
      <x:c r="Q730" s="133" t="n">
        <x:f>-ABS('Monthly Cash Flow'!$S$5)+((L730-N730-'Assumptions'!$B$27-'Assumptions'!$B$28)*(1-(1+'Assumptions'!$B$43)^-('Assumptions'!$B$14/12))/'Assumptions'!$B$43)+(O730/(1+'Assumptions'!$B$43)^('Assumptions'!$B$14/12))</x:f>
        <x:v>747894.0677423801</x:v>
      </x:c>
    </x:row>
    <x:row r="731">
      <x:c r="A731" s="131" t="n">
        <x:f>724</x:f>
        <x:v>724</x:v>
      </x:c>
      <x:c r="B731" s="131" t="n">
        <x:f>MOD(ABS(SIN((A731+1)*12.9898+78.233)*43758.5453),1)</x:f>
        <x:v>0.3965615739725763</x:v>
      </x:c>
      <x:c r="C731" s="131" t="n">
        <x:f>MOD(ABS(SIN((A731+2)*12.9898+78.233)*43758.5453),1)</x:f>
        <x:v>0.05932968015258666</x:v>
      </x:c>
      <x:c r="D731" s="131" t="n">
        <x:f>MOD(ABS(SIN((A731+3)*12.9898+78.233)*43758.5453),1)</x:f>
        <x:v>0.7347758780269942</x:v>
      </x:c>
      <x:c r="E731" s="131" t="n">
        <x:f>MOD(ABS(SIN((A731+4)*12.9898+78.233)*43758.5453),1)</x:f>
        <x:v>0.9269758453756367</x:v>
      </x:c>
      <x:c r="F731" s="131" t="n">
        <x:f>MOD(ABS(SIN((A731+5)*12.9898+78.233)*43758.5453),1)</x:f>
        <x:v>0.5010927981347777</x:v>
      </x:c>
      <x:c r="G731" s="132" t="n">
        <x:f>IF(B731&lt;(('Assumptions'!$C$47-'Assumptions'!$B$47)/('Assumptions'!$D$47-'Assumptions'!$B$47)),'Assumptions'!$B$47+SQRT(B731*('Assumptions'!$D$47-'Assumptions'!$B$47)*('Assumptions'!$C$47-'Assumptions'!$B$47)),'Assumptions'!$D$47-SQRT((1-B731)*('Assumptions'!$D$47-'Assumptions'!$B$47)*('Assumptions'!$D$47-'Assumptions'!$C$47)))</x:f>
        <x:v>-0.002442438656238277</x:v>
      </x:c>
      <x:c r="H731" s="132" t="n">
        <x:f>IF(C731&lt;(('Assumptions'!$C$48-'Assumptions'!$B$48)/('Assumptions'!$D$48-'Assumptions'!$B$48)),'Assumptions'!$B$48+SQRT(C731*('Assumptions'!$D$48-'Assumptions'!$B$48)*('Assumptions'!$C$48-'Assumptions'!$B$48)),'Assumptions'!$D$48-SQRT((1-C731)*('Assumptions'!$D$48-'Assumptions'!$B$48)*('Assumptions'!$D$48-'Assumptions'!$C$48)))</x:f>
        <x:v>0.04399242453985498</x:v>
      </x:c>
      <x:c r="I731" s="132" t="n">
        <x:f>IF(D731&lt;(('Assumptions'!$C$49-'Assumptions'!$B$49)/('Assumptions'!$D$49-'Assumptions'!$B$49)),'Assumptions'!$B$49+SQRT(D731*('Assumptions'!$D$49-'Assumptions'!$B$49)*('Assumptions'!$C$49-'Assumptions'!$B$49)),'Assumptions'!$D$49-SQRT((1-D731)*('Assumptions'!$D$49-'Assumptions'!$B$49)*('Assumptions'!$D$49-'Assumptions'!$C$49)))</x:f>
        <x:v>0.07431089223265393</x:v>
      </x:c>
      <x:c r="J731" s="132" t="n">
        <x:f>IF(E731&lt;(('Assumptions'!$C$50-'Assumptions'!$B$50)/('Assumptions'!$D$50-'Assumptions'!$B$50)),'Assumptions'!$B$50+SQRT(E731*('Assumptions'!$D$50-'Assumptions'!$B$50)*('Assumptions'!$C$50-'Assumptions'!$B$50)),'Assumptions'!$D$50-SQRT((1-E731)*('Assumptions'!$D$50-'Assumptions'!$B$50)*('Assumptions'!$D$50-'Assumptions'!$C$50)))</x:f>
        <x:v>0.07546810817780232</x:v>
      </x:c>
      <x:c r="K731" s="132" t="n">
        <x:f>IF(F731&lt;(('Assumptions'!$C$51-'Assumptions'!$B$51)/('Assumptions'!$D$51-'Assumptions'!$B$51)),'Assumptions'!$B$51+SQRT(F731*('Assumptions'!$D$51-'Assumptions'!$B$51)*('Assumptions'!$C$51-'Assumptions'!$B$51)),'Assumptions'!$D$51-SQRT((1-F731)*('Assumptions'!$D$51-'Assumptions'!$B$51)*('Assumptions'!$D$51-'Assumptions'!$C$51)))</x:f>
        <x:v>0.06950486880024444</x:v>
      </x:c>
      <x:c r="L731" s="133" t="n">
        <x:f>(('Assumptions'!$B$17*(1+G731)+'Assumptions'!$B$18)*(1-H731-'Assumptions'!$B$20)-SUM('Assumptions'!$B$21:$B$25)*(1+I731))-(('Assumptions'!$B$17*(1+G731)+'Assumptions'!$B$18)*(1-H731-'Assumptions'!$B$20)*'Assumptions'!$B$26)</x:f>
        <x:v>207125.52513474785</x:v>
      </x:c>
      <x:c r="M731" s="133" t="n">
        <x:f>'Assumptions'!$B$10*'Assumptions'!$B$33</x:f>
        <x:v>1950000</x:v>
      </x:c>
      <x:c r="N731" s="133" t="n">
        <x:f>-PMT(K731/12,'Assumptions'!$B$35*12,M731)*12</x:f>
        <x:v>154903.4461801581</x:v>
      </x:c>
      <x:c r="O731" s="133" t="n">
        <x:f>(L731*(1+'Assumptions'!$B$29)^('Assumptions'!$B$14/12)/J731)*(1-'Assumptions'!$B$42)-'Debt Schedule'!$F$9</x:f>
        <x:v>2990777.7176267593</x:v>
      </x:c>
      <x:c r="P731" s="132" t="n">
        <x:f>((O731+(L731-N731-'Assumptions'!$B$27-'Assumptions'!$B$28)*('Assumptions'!$B$14/12))/ABS('Monthly Cash Flow'!$S$5))^(1/('Assumptions'!$B$14/12))-1</x:f>
        <x:v>0.1871164157441052</x:v>
      </x:c>
      <x:c r="Q731" s="133" t="n">
        <x:f>-ABS('Monthly Cash Flow'!$S$5)+((L731-N731-'Assumptions'!$B$27-'Assumptions'!$B$28)*(1-(1+'Assumptions'!$B$43)^-('Assumptions'!$B$14/12))/'Assumptions'!$B$43)+(O731/(1+'Assumptions'!$B$43)^('Assumptions'!$B$14/12))</x:f>
        <x:v>608868.9526003716</x:v>
      </x:c>
    </x:row>
    <x:row r="732">
      <x:c r="A732" s="131" t="n">
        <x:f>725</x:f>
        <x:v>725</x:v>
      </x:c>
      <x:c r="B732" s="131" t="n">
        <x:f>MOD(ABS(SIN((A732+1)*12.9898+78.233)*43758.5453),1)</x:f>
        <x:v>0.05932968015258666</x:v>
      </x:c>
      <x:c r="C732" s="131" t="n">
        <x:f>MOD(ABS(SIN((A732+2)*12.9898+78.233)*43758.5453),1)</x:f>
        <x:v>0.7347758780269942</x:v>
      </x:c>
      <x:c r="D732" s="131" t="n">
        <x:f>MOD(ABS(SIN((A732+3)*12.9898+78.233)*43758.5453),1)</x:f>
        <x:v>0.9269758453756367</x:v>
      </x:c>
      <x:c r="E732" s="131" t="n">
        <x:f>MOD(ABS(SIN((A732+4)*12.9898+78.233)*43758.5453),1)</x:f>
        <x:v>0.5010927981347777</x:v>
      </x:c>
      <x:c r="F732" s="131" t="n">
        <x:f>MOD(ABS(SIN((A732+5)*12.9898+78.233)*43758.5453),1)</x:f>
        <x:v>0.08045705091353739</x:v>
      </x:c>
      <x:c r="G732" s="132" t="n">
        <x:f>IF(B732&lt;(('Assumptions'!$C$47-'Assumptions'!$B$47)/('Assumptions'!$D$47-'Assumptions'!$B$47)),'Assumptions'!$B$47+SQRT(B732*('Assumptions'!$D$47-'Assumptions'!$B$47)*('Assumptions'!$C$47-'Assumptions'!$B$47)),'Assumptions'!$D$47-SQRT((1-B732)*('Assumptions'!$D$47-'Assumptions'!$B$47)*('Assumptions'!$D$47-'Assumptions'!$C$47)))</x:f>
        <x:v>-0.06226523719880991</x:v>
      </x:c>
      <x:c r="H732" s="132" t="n">
        <x:f>IF(C732&lt;(('Assumptions'!$C$48-'Assumptions'!$B$48)/('Assumptions'!$D$48-'Assumptions'!$B$48)),'Assumptions'!$B$48+SQRT(C732*('Assumptions'!$D$48-'Assumptions'!$B$48)*('Assumptions'!$C$48-'Assumptions'!$B$48)),'Assumptions'!$D$48-SQRT((1-C732)*('Assumptions'!$D$48-'Assumptions'!$B$48)*('Assumptions'!$D$48-'Assumptions'!$C$48)))</x:f>
        <x:v>0.09168879764110138</x:v>
      </x:c>
      <x:c r="I732" s="132" t="n">
        <x:f>IF(D732&lt;(('Assumptions'!$C$49-'Assumptions'!$B$49)/('Assumptions'!$D$49-'Assumptions'!$B$49)),'Assumptions'!$B$49+SQRT(D732*('Assumptions'!$D$49-'Assumptions'!$B$49)*('Assumptions'!$C$49-'Assumptions'!$B$49)),'Assumptions'!$D$49-SQRT((1-D732)*('Assumptions'!$D$49-'Assumptions'!$B$49)*('Assumptions'!$D$49-'Assumptions'!$C$49)))</x:f>
        <x:v>0.11028448993294626</x:v>
      </x:c>
      <x:c r="J732" s="132" t="n">
        <x:f>IF(E732&lt;(('Assumptions'!$C$50-'Assumptions'!$B$50)/('Assumptions'!$D$50-'Assumptions'!$B$50)),'Assumptions'!$B$50+SQRT(E732*('Assumptions'!$D$50-'Assumptions'!$B$50)*('Assumptions'!$C$50-'Assumptions'!$B$50)),'Assumptions'!$D$50-SQRT((1-E732)*('Assumptions'!$D$50-'Assumptions'!$B$50)*('Assumptions'!$D$50-'Assumptions'!$C$50)))</x:f>
        <x:v>0.06815442485463058</x:v>
      </x:c>
      <x:c r="K732" s="132" t="n">
        <x:f>IF(F732&lt;(('Assumptions'!$C$51-'Assumptions'!$B$51)/('Assumptions'!$D$51-'Assumptions'!$B$51)),'Assumptions'!$B$51+SQRT(F732*('Assumptions'!$D$51-'Assumptions'!$B$51)*('Assumptions'!$C$51-'Assumptions'!$B$51)),'Assumptions'!$D$51-SQRT((1-F732)*('Assumptions'!$D$51-'Assumptions'!$B$51)*('Assumptions'!$D$51-'Assumptions'!$C$51)))</x:f>
        <x:v>0.06220379516999017</x:v>
      </x:c>
      <x:c r="L732" s="133" t="n">
        <x:f>(('Assumptions'!$B$17*(1+G732)+'Assumptions'!$B$18)*(1-H732-'Assumptions'!$B$20)-SUM('Assumptions'!$B$21:$B$25)*(1+I732))-(('Assumptions'!$B$17*(1+G732)+'Assumptions'!$B$18)*(1-H732-'Assumptions'!$B$20)*'Assumptions'!$B$26)</x:f>
        <x:v>166752.68501222733</x:v>
      </x:c>
      <x:c r="M732" s="133" t="n">
        <x:f>'Assumptions'!$B$10*'Assumptions'!$B$33</x:f>
        <x:v>1950000</x:v>
      </x:c>
      <x:c r="N732" s="133" t="n">
        <x:f>-PMT(K732/12,'Assumptions'!$B$35*12,M732)*12</x:f>
        <x:v>143627.33500550085</x:v>
      </x:c>
      <x:c r="O732" s="133" t="n">
        <x:f>(L732*(1+'Assumptions'!$B$29)^('Assumptions'!$B$14/12)/J732)*(1-'Assumptions'!$B$42)-'Debt Schedule'!$F$9</x:f>
        <x:v>2666200.192707927</x:v>
      </x:c>
      <x:c r="P732" s="132" t="n">
        <x:f>((O732+(L732-N732-'Assumptions'!$B$27-'Assumptions'!$B$28)*('Assumptions'!$B$14/12))/ABS('Monthly Cash Flow'!$S$5))^(1/('Assumptions'!$B$14/12))-1</x:f>
        <x:v>0.14806113400120435</x:v>
      </x:c>
      <x:c r="Q732" s="133" t="n">
        <x:f>-ABS('Monthly Cash Flow'!$S$5)+((L732-N732-'Assumptions'!$B$27-'Assumptions'!$B$28)*(1-(1+'Assumptions'!$B$43)^-('Assumptions'!$B$14/12))/'Assumptions'!$B$43)+(O732/(1+'Assumptions'!$B$43)^('Assumptions'!$B$14/12))</x:f>
        <x:v>297032.35126388026</x:v>
      </x:c>
    </x:row>
    <x:row r="733">
      <x:c r="A733" s="131" t="n">
        <x:f>726</x:f>
        <x:v>726</x:v>
      </x:c>
      <x:c r="B733" s="131" t="n">
        <x:f>MOD(ABS(SIN((A733+1)*12.9898+78.233)*43758.5453),1)</x:f>
        <x:v>0.7347758780269942</x:v>
      </x:c>
      <x:c r="C733" s="131" t="n">
        <x:f>MOD(ABS(SIN((A733+2)*12.9898+78.233)*43758.5453),1)</x:f>
        <x:v>0.9269758453756367</x:v>
      </x:c>
      <x:c r="D733" s="131" t="n">
        <x:f>MOD(ABS(SIN((A733+3)*12.9898+78.233)*43758.5453),1)</x:f>
        <x:v>0.5010927981347777</x:v>
      </x:c>
      <x:c r="E733" s="131" t="n">
        <x:f>MOD(ABS(SIN((A733+4)*12.9898+78.233)*43758.5453),1)</x:f>
        <x:v>0.08045705091353739</x:v>
      </x:c>
      <x:c r="F733" s="131" t="n">
        <x:f>MOD(ABS(SIN((A733+5)*12.9898+78.233)*43758.5453),1)</x:f>
        <x:v>0.8136855988850584</x:v>
      </x:c>
      <x:c r="G733" s="132" t="n">
        <x:f>IF(B733&lt;(('Assumptions'!$C$47-'Assumptions'!$B$47)/('Assumptions'!$D$47-'Assumptions'!$B$47)),'Assumptions'!$B$47+SQRT(B733*('Assumptions'!$D$47-'Assumptions'!$B$47)*('Assumptions'!$C$47-'Assumptions'!$B$47)),'Assumptions'!$D$47-SQRT((1-B733)*('Assumptions'!$D$47-'Assumptions'!$B$47)*('Assumptions'!$D$47-'Assumptions'!$C$47)))</x:f>
        <x:v>0.034857188028393396</x:v>
      </x:c>
      <x:c r="H733" s="132" t="n">
        <x:f>IF(C733&lt;(('Assumptions'!$C$48-'Assumptions'!$B$48)/('Assumptions'!$D$48-'Assumptions'!$B$48)),'Assumptions'!$B$48+SQRT(C733*('Assumptions'!$D$48-'Assumptions'!$B$48)*('Assumptions'!$C$48-'Assumptions'!$B$48)),'Assumptions'!$D$48-SQRT((1-C733)*('Assumptions'!$D$48-'Assumptions'!$B$48)*('Assumptions'!$D$48-'Assumptions'!$C$48)))</x:f>
        <x:v>0.11465019604228868</x:v>
      </x:c>
      <x:c r="I733" s="132" t="n">
        <x:f>IF(D733&lt;(('Assumptions'!$C$49-'Assumptions'!$B$49)/('Assumptions'!$D$49-'Assumptions'!$B$49)),'Assumptions'!$B$49+SQRT(D733*('Assumptions'!$D$49-'Assumptions'!$B$49)*('Assumptions'!$C$49-'Assumptions'!$B$49)),'Assumptions'!$D$49-SQRT((1-D733)*('Assumptions'!$D$49-'Assumptions'!$B$49)*('Assumptions'!$D$49-'Assumptions'!$C$49)))</x:f>
        <x:v>0.0461905805801381</x:v>
      </x:c>
      <x:c r="J733" s="132" t="n">
        <x:f>IF(E733&lt;(('Assumptions'!$C$50-'Assumptions'!$B$50)/('Assumptions'!$D$50-'Assumptions'!$B$50)),'Assumptions'!$B$50+SQRT(E733*('Assumptions'!$D$50-'Assumptions'!$B$50)*('Assumptions'!$C$50-'Assumptions'!$B$50)),'Assumptions'!$D$50-SQRT((1-E733)*('Assumptions'!$D$50-'Assumptions'!$B$50)*('Assumptions'!$D$50-'Assumptions'!$C$50)))</x:f>
        <x:v>0.061754742818966375</x:v>
      </x:c>
      <x:c r="K733" s="132" t="n">
        <x:f>IF(F733&lt;(('Assumptions'!$C$51-'Assumptions'!$B$51)/('Assumptions'!$D$51-'Assumptions'!$B$51)),'Assumptions'!$B$51+SQRT(F733*('Assumptions'!$D$51-'Assumptions'!$B$51)*('Assumptions'!$C$51-'Assumptions'!$B$51)),'Assumptions'!$D$51-SQRT((1-F733)*('Assumptions'!$D$51-'Assumptions'!$B$51)*('Assumptions'!$D$51-'Assumptions'!$C$51)))</x:f>
        <x:v>0.07553090260180172</x:v>
      </x:c>
      <x:c r="L733" s="133" t="n">
        <x:f>(('Assumptions'!$B$17*(1+G733)+'Assumptions'!$B$18)*(1-H733-'Assumptions'!$B$20)-SUM('Assumptions'!$B$21:$B$25)*(1+I733))-(('Assumptions'!$B$17*(1+G733)+'Assumptions'!$B$18)*(1-H733-'Assumptions'!$B$20)*'Assumptions'!$B$26)</x:f>
        <x:v>196371.95133067522</x:v>
      </x:c>
      <x:c r="M733" s="133" t="n">
        <x:f>'Assumptions'!$B$10*'Assumptions'!$B$33</x:f>
        <x:v>1950000</x:v>
      </x:c>
      <x:c r="N733" s="133" t="n">
        <x:f>-PMT(K733/12,'Assumptions'!$B$35*12,M733)*12</x:f>
        <x:v>164467.71067091275</x:v>
      </x:c>
      <x:c r="O733" s="133" t="n">
        <x:f>(L733*(1+'Assumptions'!$B$29)^('Assumptions'!$B$14/12)/J733)*(1-'Assumptions'!$B$42)-'Debt Schedule'!$F$9</x:f>
        <x:v>3465158.5870711533</x:v>
      </x:c>
      <x:c r="P733" s="132" t="n">
        <x:f>((O733+(L733-N733-'Assumptions'!$B$27-'Assumptions'!$B$28)*('Assumptions'!$B$14/12))/ABS('Monthly Cash Flow'!$S$5))^(1/('Assumptions'!$B$14/12))-1</x:f>
        <x:v>0.21479664334800375</x:v>
      </x:c>
      <x:c r="Q733" s="133" t="n">
        <x:f>-ABS('Monthly Cash Flow'!$S$5)+((L733-N733-'Assumptions'!$B$27-'Assumptions'!$B$28)*(1-(1+'Assumptions'!$B$43)^-('Assumptions'!$B$14/12))/'Assumptions'!$B$43)+(O733/(1+'Assumptions'!$B$43)^('Assumptions'!$B$14/12))</x:f>
        <x:v>826401.5570987251</x:v>
      </x:c>
    </x:row>
    <x:row r="734">
      <x:c r="A734" s="131" t="n">
        <x:f>727</x:f>
        <x:v>727</x:v>
      </x:c>
      <x:c r="B734" s="131" t="n">
        <x:f>MOD(ABS(SIN((A734+1)*12.9898+78.233)*43758.5453),1)</x:f>
        <x:v>0.9269758453756367</x:v>
      </x:c>
      <x:c r="C734" s="131" t="n">
        <x:f>MOD(ABS(SIN((A734+2)*12.9898+78.233)*43758.5453),1)</x:f>
        <x:v>0.5010927981347777</x:v>
      </x:c>
      <x:c r="D734" s="131" t="n">
        <x:f>MOD(ABS(SIN((A734+3)*12.9898+78.233)*43758.5453),1)</x:f>
        <x:v>0.08045705091353739</x:v>
      </x:c>
      <x:c r="E734" s="131" t="n">
        <x:f>MOD(ABS(SIN((A734+4)*12.9898+78.233)*43758.5453),1)</x:f>
        <x:v>0.8136855988850584</x:v>
      </x:c>
      <x:c r="F734" s="131" t="n">
        <x:f>MOD(ABS(SIN((A734+5)*12.9898+78.233)*43758.5453),1)</x:f>
        <x:v>0.4474444795923773</x:v>
      </x:c>
      <x:c r="G734" s="132" t="n">
        <x:f>IF(B734&lt;(('Assumptions'!$C$47-'Assumptions'!$B$47)/('Assumptions'!$D$47-'Assumptions'!$B$47)),'Assumptions'!$B$47+SQRT(B734*('Assumptions'!$D$47-'Assumptions'!$B$47)*('Assumptions'!$C$47-'Assumptions'!$B$47)),'Assumptions'!$D$47-SQRT((1-B734)*('Assumptions'!$D$47-'Assumptions'!$B$47)*('Assumptions'!$D$47-'Assumptions'!$C$47)))</x:f>
        <x:v>0.06581833131648175</x:v>
      </x:c>
      <x:c r="H734" s="132" t="n">
        <x:f>IF(C734&lt;(('Assumptions'!$C$48-'Assumptions'!$B$48)/('Assumptions'!$D$48-'Assumptions'!$B$48)),'Assumptions'!$B$48+SQRT(C734*('Assumptions'!$D$48-'Assumptions'!$B$48)*('Assumptions'!$C$48-'Assumptions'!$B$48)),'Assumptions'!$D$48-SQRT((1-C734)*('Assumptions'!$D$48-'Assumptions'!$B$48)*('Assumptions'!$D$48-'Assumptions'!$C$48)))</x:f>
        <x:v>0.07374003187131799</x:v>
      </x:c>
      <x:c r="I734" s="132" t="n">
        <x:f>IF(D734&lt;(('Assumptions'!$C$49-'Assumptions'!$B$49)/('Assumptions'!$D$49-'Assumptions'!$B$49)),'Assumptions'!$B$49+SQRT(D734*('Assumptions'!$D$49-'Assumptions'!$B$49)*('Assumptions'!$C$49-'Assumptions'!$B$49)),'Assumptions'!$D$49-SQRT((1-D734)*('Assumptions'!$D$49-'Assumptions'!$B$49)*('Assumptions'!$D$49-'Assumptions'!$C$49)))</x:f>
        <x:v>-0.0005222770576456537</x:v>
      </x:c>
      <x:c r="J734" s="132" t="n">
        <x:f>IF(E734&lt;(('Assumptions'!$C$50-'Assumptions'!$B$50)/('Assumptions'!$D$50-'Assumptions'!$B$50)),'Assumptions'!$B$50+SQRT(E734*('Assumptions'!$D$50-'Assumptions'!$B$50)*('Assumptions'!$C$50-'Assumptions'!$B$50)),'Assumptions'!$D$50-SQRT((1-E734)*('Assumptions'!$D$50-'Assumptions'!$B$50)*('Assumptions'!$D$50-'Assumptions'!$C$50)))</x:f>
        <x:v>0.07276115165833838</x:v>
      </x:c>
      <x:c r="K734" s="132" t="n">
        <x:f>IF(F734&lt;(('Assumptions'!$C$51-'Assumptions'!$B$51)/('Assumptions'!$D$51-'Assumptions'!$B$51)),'Assumptions'!$B$51+SQRT(F734*('Assumptions'!$D$51-'Assumptions'!$B$51)*('Assumptions'!$C$51-'Assumptions'!$B$51)),'Assumptions'!$D$51-SQRT((1-F734)*('Assumptions'!$D$51-'Assumptions'!$B$51)*('Assumptions'!$D$51-'Assumptions'!$C$51)))</x:f>
        <x:v>0.06869302774282827</x:v>
      </x:c>
      <x:c r="L734" s="133" t="n">
        <x:f>(('Assumptions'!$B$17*(1+G734)+'Assumptions'!$B$18)*(1-H734-'Assumptions'!$B$20)-SUM('Assumptions'!$B$21:$B$25)*(1+I734))-(('Assumptions'!$B$17*(1+G734)+'Assumptions'!$B$18)*(1-H734-'Assumptions'!$B$20)*'Assumptions'!$B$26)</x:f>
        <x:v>227400.2204083334</x:v>
      </x:c>
      <x:c r="M734" s="133" t="n">
        <x:f>'Assumptions'!$B$10*'Assumptions'!$B$33</x:f>
        <x:v>1950000</x:v>
      </x:c>
      <x:c r="N734" s="133" t="n">
        <x:f>-PMT(K734/12,'Assumptions'!$B$35*12,M734)*12</x:f>
        <x:v>153632.27381635958</x:v>
      </x:c>
      <x:c r="O734" s="133" t="n">
        <x:f>(L734*(1+'Assumptions'!$B$29)^('Assumptions'!$B$14/12)/J734)*(1-'Assumptions'!$B$42)-'Debt Schedule'!$F$9</x:f>
        <x:v>3405691.4103354425</x:v>
      </x:c>
      <x:c r="P734" s="132" t="n">
        <x:f>((O734+(L734-N734-'Assumptions'!$B$27-'Assumptions'!$B$28)*('Assumptions'!$B$14/12))/ABS('Monthly Cash Flow'!$S$5))^(1/('Assumptions'!$B$14/12))-1</x:f>
        <x:v>0.22524631802380934</x:v>
      </x:c>
      <x:c r="Q734" s="133" t="n">
        <x:f>-ABS('Monthly Cash Flow'!$S$5)+((L734-N734-'Assumptions'!$B$27-'Assumptions'!$B$28)*(1-(1+'Assumptions'!$B$43)^-('Assumptions'!$B$14/12))/'Assumptions'!$B$43)+(O734/(1+'Assumptions'!$B$43)^('Assumptions'!$B$14/12))</x:f>
        <x:v>948173.5016076281</x:v>
      </x:c>
    </x:row>
    <x:row r="735">
      <x:c r="A735" s="131" t="n">
        <x:f>728</x:f>
        <x:v>728</x:v>
      </x:c>
      <x:c r="B735" s="131" t="n">
        <x:f>MOD(ABS(SIN((A735+1)*12.9898+78.233)*43758.5453),1)</x:f>
        <x:v>0.5010927981347777</x:v>
      </x:c>
      <x:c r="C735" s="131" t="n">
        <x:f>MOD(ABS(SIN((A735+2)*12.9898+78.233)*43758.5453),1)</x:f>
        <x:v>0.08045705091353739</x:v>
      </x:c>
      <x:c r="D735" s="131" t="n">
        <x:f>MOD(ABS(SIN((A735+3)*12.9898+78.233)*43758.5453),1)</x:f>
        <x:v>0.8136855988850584</x:v>
      </x:c>
      <x:c r="E735" s="131" t="n">
        <x:f>MOD(ABS(SIN((A735+4)*12.9898+78.233)*43758.5453),1)</x:f>
        <x:v>0.4474444795923773</x:v>
      </x:c>
      <x:c r="F735" s="131" t="n">
        <x:f>MOD(ABS(SIN((A735+5)*12.9898+78.233)*43758.5453),1)</x:f>
        <x:v>0.9433972619663109</x:v>
      </x:c>
      <x:c r="G735" s="132" t="n">
        <x:f>IF(B735&lt;(('Assumptions'!$C$47-'Assumptions'!$B$47)/('Assumptions'!$D$47-'Assumptions'!$B$47)),'Assumptions'!$B$47+SQRT(B735*('Assumptions'!$D$47-'Assumptions'!$B$47)*('Assumptions'!$C$47-'Assumptions'!$B$47)),'Assumptions'!$D$47-SQRT((1-B735)*('Assumptions'!$D$47-'Assumptions'!$B$47)*('Assumptions'!$D$47-'Assumptions'!$C$47)))</x:f>
        <x:v>0.00966415620080549</x:v>
      </x:c>
      <x:c r="H735" s="132" t="n">
        <x:f>IF(C735&lt;(('Assumptions'!$C$48-'Assumptions'!$B$48)/('Assumptions'!$D$48-'Assumptions'!$B$48)),'Assumptions'!$B$48+SQRT(C735*('Assumptions'!$D$48-'Assumptions'!$B$48)*('Assumptions'!$C$48-'Assumptions'!$B$48)),'Assumptions'!$D$48-SQRT((1-C735)*('Assumptions'!$D$48-'Assumptions'!$B$48)*('Assumptions'!$D$48-'Assumptions'!$C$48)))</x:f>
        <x:v>0.046294424445640095</x:v>
      </x:c>
      <x:c r="I735" s="132" t="n">
        <x:f>IF(D735&lt;(('Assumptions'!$C$49-'Assumptions'!$B$49)/('Assumptions'!$D$49-'Assumptions'!$B$49)),'Assumptions'!$B$49+SQRT(D735*('Assumptions'!$D$49-'Assumptions'!$B$49)*('Assumptions'!$C$49-'Assumptions'!$B$49)),'Assumptions'!$D$49-SQRT((1-D735)*('Assumptions'!$D$49-'Assumptions'!$B$49)*('Assumptions'!$D$49-'Assumptions'!$C$49)))</x:f>
        <x:v>0.08656191156660899</x:v>
      </x:c>
      <x:c r="J735" s="132" t="n">
        <x:f>IF(E735&lt;(('Assumptions'!$C$50-'Assumptions'!$B$50)/('Assumptions'!$D$50-'Assumptions'!$B$50)),'Assumptions'!$B$50+SQRT(E735*('Assumptions'!$D$50-'Assumptions'!$B$50)*('Assumptions'!$C$50-'Assumptions'!$B$50)),'Assumptions'!$D$50-SQRT((1-E735)*('Assumptions'!$D$50-'Assumptions'!$B$50)*('Assumptions'!$D$50-'Assumptions'!$C$50)))</x:f>
        <x:v>0.06753379608242173</x:v>
      </x:c>
      <x:c r="K735" s="132" t="n">
        <x:f>IF(F735&lt;(('Assumptions'!$C$51-'Assumptions'!$B$51)/('Assumptions'!$D$51-'Assumptions'!$B$51)),'Assumptions'!$B$51+SQRT(F735*('Assumptions'!$D$51-'Assumptions'!$B$51)*('Assumptions'!$C$51-'Assumptions'!$B$51)),'Assumptions'!$D$51-SQRT((1-F735)*('Assumptions'!$D$51-'Assumptions'!$B$51)*('Assumptions'!$D$51-'Assumptions'!$C$51)))</x:f>
        <x:v>0.0797807981760893</x:v>
      </x:c>
      <x:c r="L735" s="133" t="n">
        <x:f>(('Assumptions'!$B$17*(1+G735)+'Assumptions'!$B$18)*(1-H735-'Assumptions'!$B$20)-SUM('Assumptions'!$B$21:$B$25)*(1+I735))-(('Assumptions'!$B$17*(1+G735)+'Assumptions'!$B$18)*(1-H735-'Assumptions'!$B$20)*'Assumptions'!$B$26)</x:f>
        <x:v>208696.9912115835</x:v>
      </x:c>
      <x:c r="M735" s="133" t="n">
        <x:f>'Assumptions'!$B$10*'Assumptions'!$B$33</x:f>
        <x:v>1950000</x:v>
      </x:c>
      <x:c r="N735" s="133" t="n">
        <x:f>-PMT(K735/12,'Assumptions'!$B$35*12,M735)*12</x:f>
        <x:v>171343.46990213415</x:v>
      </x:c>
      <x:c r="O735" s="133" t="n">
        <x:f>(L735*(1+'Assumptions'!$B$29)^('Assumptions'!$B$14/12)/J735)*(1-'Assumptions'!$B$42)-'Debt Schedule'!$F$9</x:f>
        <x:v>3367510.8436180223</x:v>
      </x:c>
      <x:c r="P735" s="132" t="n">
        <x:f>((O735+(L735-N735-'Assumptions'!$B$27-'Assumptions'!$B$28)*('Assumptions'!$B$14/12))/ABS('Monthly Cash Flow'!$S$5))^(1/('Assumptions'!$B$14/12))-1</x:f>
        <x:v>0.20976053130977856</x:v>
      </x:c>
      <x:c r="Q735" s="133" t="n">
        <x:f>-ABS('Monthly Cash Flow'!$S$5)+((L735-N735-'Assumptions'!$B$27-'Assumptions'!$B$28)*(1-(1+'Assumptions'!$B$43)^-('Assumptions'!$B$14/12))/'Assumptions'!$B$43)+(O735/(1+'Assumptions'!$B$43)^('Assumptions'!$B$14/12))</x:f>
        <x:v>786427.0520296926</x:v>
      </x:c>
    </x:row>
    <x:row r="736">
      <x:c r="A736" s="131" t="n">
        <x:f>729</x:f>
        <x:v>729</x:v>
      </x:c>
      <x:c r="B736" s="131" t="n">
        <x:f>MOD(ABS(SIN((A736+1)*12.9898+78.233)*43758.5453),1)</x:f>
        <x:v>0.08045705091353739</x:v>
      </x:c>
      <x:c r="C736" s="131" t="n">
        <x:f>MOD(ABS(SIN((A736+2)*12.9898+78.233)*43758.5453),1)</x:f>
        <x:v>0.8136855988850584</x:v>
      </x:c>
      <x:c r="D736" s="131" t="n">
        <x:f>MOD(ABS(SIN((A736+3)*12.9898+78.233)*43758.5453),1)</x:f>
        <x:v>0.4474444795923773</x:v>
      </x:c>
      <x:c r="E736" s="131" t="n">
        <x:f>MOD(ABS(SIN((A736+4)*12.9898+78.233)*43758.5453),1)</x:f>
        <x:v>0.9433972619663109</x:v>
      </x:c>
      <x:c r="F736" s="131" t="n">
        <x:f>MOD(ABS(SIN((A736+5)*12.9898+78.233)*43758.5453),1)</x:f>
        <x:v>0.1398259809357114</x:v>
      </x:c>
      <x:c r="G736" s="132" t="n">
        <x:f>IF(B736&lt;(('Assumptions'!$C$47-'Assumptions'!$B$47)/('Assumptions'!$D$47-'Assumptions'!$B$47)),'Assumptions'!$B$47+SQRT(B736*('Assumptions'!$D$47-'Assumptions'!$B$47)*('Assumptions'!$C$47-'Assumptions'!$B$47)),'Assumptions'!$D$47-SQRT((1-B736)*('Assumptions'!$D$47-'Assumptions'!$B$47)*('Assumptions'!$D$47-'Assumptions'!$C$47)))</x:f>
        <x:v>-0.05605720511932705</x:v>
      </x:c>
      <x:c r="H736" s="132" t="n">
        <x:f>IF(C736&lt;(('Assumptions'!$C$48-'Assumptions'!$B$48)/('Assumptions'!$D$48-'Assumptions'!$B$48)),'Assumptions'!$B$48+SQRT(C736*('Assumptions'!$D$48-'Assumptions'!$B$48)*('Assumptions'!$C$48-'Assumptions'!$B$48)),'Assumptions'!$D$48-SQRT((1-C736)*('Assumptions'!$D$48-'Assumptions'!$B$48)*('Assumptions'!$D$48-'Assumptions'!$C$48)))</x:f>
        <x:v>0.0995084363130851</x:v>
      </x:c>
      <x:c r="I736" s="132" t="n">
        <x:f>IF(D736&lt;(('Assumptions'!$C$49-'Assumptions'!$B$49)/('Assumptions'!$D$49-'Assumptions'!$B$49)),'Assumptions'!$B$49+SQRT(D736*('Assumptions'!$D$49-'Assumptions'!$B$49)*('Assumptions'!$C$49-'Assumptions'!$B$49)),'Assumptions'!$D$49-SQRT((1-D736)*('Assumptions'!$D$49-'Assumptions'!$B$49)*('Assumptions'!$D$49-'Assumptions'!$C$49)))</x:f>
        <x:v>0.04075166252612972</x:v>
      </x:c>
      <x:c r="J736" s="132" t="n">
        <x:f>IF(E736&lt;(('Assumptions'!$C$50-'Assumptions'!$B$50)/('Assumptions'!$D$50-'Assumptions'!$B$50)),'Assumptions'!$B$50+SQRT(E736*('Assumptions'!$D$50-'Assumptions'!$B$50)*('Assumptions'!$C$50-'Assumptions'!$B$50)),'Assumptions'!$D$50-SQRT((1-E736)*('Assumptions'!$D$50-'Assumptions'!$B$50)*('Assumptions'!$D$50-'Assumptions'!$C$50)))</x:f>
        <x:v>0.07601007267334667</x:v>
      </x:c>
      <x:c r="K736" s="132" t="n">
        <x:f>IF(F736&lt;(('Assumptions'!$C$51-'Assumptions'!$B$51)/('Assumptions'!$D$51-'Assumptions'!$B$51)),'Assumptions'!$B$51+SQRT(F736*('Assumptions'!$D$51-'Assumptions'!$B$51)*('Assumptions'!$C$51-'Assumptions'!$B$51)),'Assumptions'!$D$51-SQRT((1-F736)*('Assumptions'!$D$51-'Assumptions'!$B$51)*('Assumptions'!$D$51-'Assumptions'!$C$51)))</x:f>
        <x:v>0.06370097933856586</x:v>
      </x:c>
      <x:c r="L736" s="133" t="n">
        <x:f>(('Assumptions'!$B$17*(1+G736)+'Assumptions'!$B$18)*(1-H736-'Assumptions'!$B$20)-SUM('Assumptions'!$B$21:$B$25)*(1+I736))-(('Assumptions'!$B$17*(1+G736)+'Assumptions'!$B$18)*(1-H736-'Assumptions'!$B$20)*'Assumptions'!$B$26)</x:f>
        <x:v>174755.04652776316</x:v>
      </x:c>
      <x:c r="M736" s="133" t="n">
        <x:f>'Assumptions'!$B$10*'Assumptions'!$B$33</x:f>
        <x:v>1950000</x:v>
      </x:c>
      <x:c r="N736" s="133" t="n">
        <x:f>-PMT(K736/12,'Assumptions'!$B$35*12,M736)*12</x:f>
        <x:v>145910.54052886204</x:v>
      </x:c>
      <x:c r="O736" s="133" t="n">
        <x:f>(L736*(1+'Assumptions'!$B$29)^('Assumptions'!$B$14/12)/J736)*(1-'Assumptions'!$B$42)-'Debt Schedule'!$F$9</x:f>
        <x:v>2505373.938050964</x:v>
      </x:c>
      <x:c r="P736" s="132" t="n">
        <x:f>((O736+(L736-N736-'Assumptions'!$B$27-'Assumptions'!$B$28)*('Assumptions'!$B$14/12))/ABS('Monthly Cash Flow'!$S$5))^(1/('Assumptions'!$B$14/12))-1</x:f>
        <x:v>0.1360527530584903</x:v>
      </x:c>
      <x:c r="Q736" s="133" t="n">
        <x:f>-ABS('Monthly Cash Flow'!$S$5)+((L736-N736-'Assumptions'!$B$27-'Assumptions'!$B$28)*(1-(1+'Assumptions'!$B$43)^-('Assumptions'!$B$14/12))/'Assumptions'!$B$43)+(O736/(1+'Assumptions'!$B$43)^('Assumptions'!$B$14/12))</x:f>
        <x:v>218852.00130694895</x:v>
      </x:c>
    </x:row>
    <x:row r="737">
      <x:c r="A737" s="131" t="n">
        <x:f>730</x:f>
        <x:v>730</x:v>
      </x:c>
      <x:c r="B737" s="131" t="n">
        <x:f>MOD(ABS(SIN((A737+1)*12.9898+78.233)*43758.5453),1)</x:f>
        <x:v>0.8136855988850584</x:v>
      </x:c>
      <x:c r="C737" s="131" t="n">
        <x:f>MOD(ABS(SIN((A737+2)*12.9898+78.233)*43758.5453),1)</x:f>
        <x:v>0.4474444795923773</x:v>
      </x:c>
      <x:c r="D737" s="131" t="n">
        <x:f>MOD(ABS(SIN((A737+3)*12.9898+78.233)*43758.5453),1)</x:f>
        <x:v>0.9433972619663109</x:v>
      </x:c>
      <x:c r="E737" s="131" t="n">
        <x:f>MOD(ABS(SIN((A737+4)*12.9898+78.233)*43758.5453),1)</x:f>
        <x:v>0.1398259809357114</x:v>
      </x:c>
      <x:c r="F737" s="131" t="n">
        <x:f>MOD(ABS(SIN((A737+5)*12.9898+78.233)*43758.5453),1)</x:f>
        <x:v>0.9280269412111011</x:v>
      </x:c>
      <x:c r="G737" s="132" t="n">
        <x:f>IF(B737&lt;(('Assumptions'!$C$47-'Assumptions'!$B$47)/('Assumptions'!$D$47-'Assumptions'!$B$47)),'Assumptions'!$B$47+SQRT(B737*('Assumptions'!$D$47-'Assumptions'!$B$47)*('Assumptions'!$C$47-'Assumptions'!$B$47)),'Assumptions'!$D$47-SQRT((1-B737)*('Assumptions'!$D$47-'Assumptions'!$B$47)*('Assumptions'!$D$47-'Assumptions'!$C$47)))</x:f>
        <x:v>0.045401186662720736</x:v>
      </x:c>
      <x:c r="H737" s="132" t="n">
        <x:f>IF(C737&lt;(('Assumptions'!$C$48-'Assumptions'!$B$48)/('Assumptions'!$D$48-'Assumptions'!$B$48)),'Assumptions'!$B$48+SQRT(C737*('Assumptions'!$D$48-'Assumptions'!$B$48)*('Assumptions'!$C$48-'Assumptions'!$B$48)),'Assumptions'!$D$48-SQRT((1-C737)*('Assumptions'!$D$48-'Assumptions'!$B$48)*('Assumptions'!$D$48-'Assumptions'!$C$48)))</x:f>
        <x:v>0.07026845348346934</x:v>
      </x:c>
      <x:c r="I737" s="132" t="n">
        <x:f>IF(D737&lt;(('Assumptions'!$C$49-'Assumptions'!$B$49)/('Assumptions'!$D$49-'Assumptions'!$B$49)),'Assumptions'!$B$49+SQRT(D737*('Assumptions'!$D$49-'Assumptions'!$B$49)*('Assumptions'!$C$49-'Assumptions'!$B$49)),'Assumptions'!$D$49-SQRT((1-D737)*('Assumptions'!$D$49-'Assumptions'!$B$49)*('Assumptions'!$D$49-'Assumptions'!$C$49)))</x:f>
        <x:v>0.11503402880617092</x:v>
      </x:c>
      <x:c r="J737" s="132" t="n">
        <x:f>IF(E737&lt;(('Assumptions'!$C$50-'Assumptions'!$B$50)/('Assumptions'!$D$50-'Assumptions'!$B$50)),'Assumptions'!$B$50+SQRT(E737*('Assumptions'!$D$50-'Assumptions'!$B$50)*('Assumptions'!$C$50-'Assumptions'!$B$50)),'Assumptions'!$D$50-SQRT((1-E737)*('Assumptions'!$D$50-'Assumptions'!$B$50)*('Assumptions'!$D$50-'Assumptions'!$C$50)))</x:f>
        <x:v>0.06310899685420977</x:v>
      </x:c>
      <x:c r="K737" s="132" t="n">
        <x:f>IF(F737&lt;(('Assumptions'!$C$51-'Assumptions'!$B$51)/('Assumptions'!$D$51-'Assumptions'!$B$51)),'Assumptions'!$B$51+SQRT(F737*('Assumptions'!$D$51-'Assumptions'!$B$51)*('Assumptions'!$C$51-'Assumptions'!$B$51)),'Assumptions'!$D$51-SQRT((1-F737)*('Assumptions'!$D$51-'Assumptions'!$B$51)*('Assumptions'!$D$51-'Assumptions'!$C$51)))</x:f>
        <x:v>0.0791146763434661</x:v>
      </x:c>
      <x:c r="L737" s="133" t="n">
        <x:f>(('Assumptions'!$B$17*(1+G737)+'Assumptions'!$B$18)*(1-H737-'Assumptions'!$B$20)-SUM('Assumptions'!$B$21:$B$25)*(1+I737))-(('Assumptions'!$B$17*(1+G737)+'Assumptions'!$B$18)*(1-H737-'Assumptions'!$B$20)*'Assumptions'!$B$26)</x:f>
        <x:v>207689.08186244636</x:v>
      </x:c>
      <x:c r="M737" s="133" t="n">
        <x:f>'Assumptions'!$B$10*'Assumptions'!$B$33</x:f>
        <x:v>1950000</x:v>
      </x:c>
      <x:c r="N737" s="133" t="n">
        <x:f>-PMT(K737/12,'Assumptions'!$B$35*12,M737)*12</x:f>
        <x:v>170258.92215721548</x:v>
      </x:c>
      <x:c r="O737" s="133" t="n">
        <x:f>(L737*(1+'Assumptions'!$B$29)^('Assumptions'!$B$14/12)/J737)*(1-'Assumptions'!$B$42)-'Debt Schedule'!$F$9</x:f>
        <x:v>3586215.3625106937</x:v>
      </x:c>
      <x:c r="P737" s="132" t="n">
        <x:f>((O737+(L737-N737-'Assumptions'!$B$27-'Assumptions'!$B$28)*('Assumptions'!$B$14/12))/ABS('Monthly Cash Flow'!$S$5))^(1/('Assumptions'!$B$14/12))-1</x:f>
        <x:v>0.22516644313766054</x:v>
      </x:c>
      <x:c r="Q737" s="133" t="n">
        <x:f>-ABS('Monthly Cash Flow'!$S$5)+((L737-N737-'Assumptions'!$B$27-'Assumptions'!$B$28)*(1-(1+'Assumptions'!$B$43)^-('Assumptions'!$B$14/12))/'Assumptions'!$B$43)+(O737/(1+'Assumptions'!$B$43)^('Assumptions'!$B$14/12))</x:f>
        <x:v>922515.8710763033</x:v>
      </x:c>
    </x:row>
    <x:row r="738">
      <x:c r="A738" s="131" t="n">
        <x:f>731</x:f>
        <x:v>731</x:v>
      </x:c>
      <x:c r="B738" s="131" t="n">
        <x:f>MOD(ABS(SIN((A738+1)*12.9898+78.233)*43758.5453),1)</x:f>
        <x:v>0.4474444795923773</x:v>
      </x:c>
      <x:c r="C738" s="131" t="n">
        <x:f>MOD(ABS(SIN((A738+2)*12.9898+78.233)*43758.5453),1)</x:f>
        <x:v>0.9433972619663109</x:v>
      </x:c>
      <x:c r="D738" s="131" t="n">
        <x:f>MOD(ABS(SIN((A738+3)*12.9898+78.233)*43758.5453),1)</x:f>
        <x:v>0.1398259809357114</x:v>
      </x:c>
      <x:c r="E738" s="131" t="n">
        <x:f>MOD(ABS(SIN((A738+4)*12.9898+78.233)*43758.5453),1)</x:f>
        <x:v>0.9280269412111011</x:v>
      </x:c>
      <x:c r="F738" s="131" t="n">
        <x:f>MOD(ABS(SIN((A738+5)*12.9898+78.233)*43758.5453),1)</x:f>
        <x:v>0.8161304147542978</x:v>
      </x:c>
      <x:c r="G738" s="132" t="n">
        <x:f>IF(B738&lt;(('Assumptions'!$C$47-'Assumptions'!$B$47)/('Assumptions'!$D$47-'Assumptions'!$B$47)),'Assumptions'!$B$47+SQRT(B738*('Assumptions'!$D$47-'Assumptions'!$B$47)*('Assumptions'!$C$47-'Assumptions'!$B$47)),'Assumptions'!$D$47-SQRT((1-B738)*('Assumptions'!$D$47-'Assumptions'!$B$47)*('Assumptions'!$D$47-'Assumptions'!$C$47)))</x:f>
        <x:v>0.0036275422376554206</x:v>
      </x:c>
      <x:c r="H738" s="132" t="n">
        <x:f>IF(C738&lt;(('Assumptions'!$C$48-'Assumptions'!$B$48)/('Assumptions'!$D$48-'Assumptions'!$B$48)),'Assumptions'!$B$48+SQRT(C738*('Assumptions'!$D$48-'Assumptions'!$B$48)*('Assumptions'!$C$48-'Assumptions'!$B$48)),'Assumptions'!$D$48-SQRT((1-C738)*('Assumptions'!$D$48-'Assumptions'!$B$48)*('Assumptions'!$D$48-'Assumptions'!$C$48)))</x:f>
        <x:v>0.11768175422000055</x:v>
      </x:c>
      <x:c r="I738" s="132" t="n">
        <x:f>IF(D738&lt;(('Assumptions'!$C$49-'Assumptions'!$B$49)/('Assumptions'!$D$49-'Assumptions'!$B$49)),'Assumptions'!$B$49+SQRT(D738*('Assumptions'!$D$49-'Assumptions'!$B$49)*('Assumptions'!$C$49-'Assumptions'!$B$49)),'Assumptions'!$D$49-SQRT((1-D738)*('Assumptions'!$D$49-'Assumptions'!$B$49)*('Assumptions'!$D$49-'Assumptions'!$C$49)))</x:f>
        <x:v>0.008860270123941277</x:v>
      </x:c>
      <x:c r="J738" s="132" t="n">
        <x:f>IF(E738&lt;(('Assumptions'!$C$50-'Assumptions'!$B$50)/('Assumptions'!$D$50-'Assumptions'!$B$50)),'Assumptions'!$B$50+SQRT(E738*('Assumptions'!$D$50-'Assumptions'!$B$50)*('Assumptions'!$C$50-'Assumptions'!$B$50)),'Assumptions'!$D$50-SQRT((1-E738)*('Assumptions'!$D$50-'Assumptions'!$B$50)*('Assumptions'!$D$50-'Assumptions'!$C$50)))</x:f>
        <x:v>0.07550084199161912</x:v>
      </x:c>
      <x:c r="K738" s="132" t="n">
        <x:f>IF(F738&lt;(('Assumptions'!$C$51-'Assumptions'!$B$51)/('Assumptions'!$D$51-'Assumptions'!$B$51)),'Assumptions'!$B$51+SQRT(F738*('Assumptions'!$D$51-'Assumptions'!$B$51)*('Assumptions'!$C$51-'Assumptions'!$B$51)),'Assumptions'!$D$51-SQRT((1-F738)*('Assumptions'!$D$51-'Assumptions'!$B$51)*('Assumptions'!$D$51-'Assumptions'!$C$51)))</x:f>
        <x:v>0.07559323446133082</x:v>
      </x:c>
      <x:c r="L738" s="133" t="n">
        <x:f>(('Assumptions'!$B$17*(1+G738)+'Assumptions'!$B$18)*(1-H738-'Assumptions'!$B$20)-SUM('Assumptions'!$B$21:$B$25)*(1+I738))-(('Assumptions'!$B$17*(1+G738)+'Assumptions'!$B$18)*(1-H738-'Assumptions'!$B$20)*'Assumptions'!$B$26)</x:f>
        <x:v>190524.05770782765</x:v>
      </x:c>
      <x:c r="M738" s="133" t="n">
        <x:f>'Assumptions'!$B$10*'Assumptions'!$B$33</x:f>
        <x:v>1950000</x:v>
      </x:c>
      <x:c r="N738" s="133" t="n">
        <x:f>-PMT(K738/12,'Assumptions'!$B$35*12,M738)*12</x:f>
        <x:v>164567.79475851002</x:v>
      </x:c>
      <x:c r="O738" s="133" t="n">
        <x:f>(L738*(1+'Assumptions'!$B$29)^('Assumptions'!$B$14/12)/J738)*(1-'Assumptions'!$B$42)-'Debt Schedule'!$F$9</x:f>
        <x:v>2749868.996378884</x:v>
      </x:c>
      <x:c r="P738" s="132" t="n">
        <x:f>((O738+(L738-N738-'Assumptions'!$B$27-'Assumptions'!$B$28)*('Assumptions'!$B$14/12))/ABS('Monthly Cash Flow'!$S$5))^(1/('Assumptions'!$B$14/12))-1</x:f>
        <x:v>0.1566320269672956</x:v>
      </x:c>
      <x:c r="Q738" s="133" t="n">
        <x:f>-ABS('Monthly Cash Flow'!$S$5)+((L738-N738-'Assumptions'!$B$27-'Assumptions'!$B$28)*(1-(1+'Assumptions'!$B$43)^-('Assumptions'!$B$14/12))/'Assumptions'!$B$43)+(O738/(1+'Assumptions'!$B$43)^('Assumptions'!$B$14/12))</x:f>
        <x:v>359715.4828661494</x:v>
      </x:c>
    </x:row>
    <x:row r="739">
      <x:c r="A739" s="131" t="n">
        <x:f>732</x:f>
        <x:v>732</x:v>
      </x:c>
      <x:c r="B739" s="131" t="n">
        <x:f>MOD(ABS(SIN((A739+1)*12.9898+78.233)*43758.5453),1)</x:f>
        <x:v>0.9433972619663109</x:v>
      </x:c>
      <x:c r="C739" s="131" t="n">
        <x:f>MOD(ABS(SIN((A739+2)*12.9898+78.233)*43758.5453),1)</x:f>
        <x:v>0.1398259809357114</x:v>
      </x:c>
      <x:c r="D739" s="131" t="n">
        <x:f>MOD(ABS(SIN((A739+3)*12.9898+78.233)*43758.5453),1)</x:f>
        <x:v>0.9280269412111011</x:v>
      </x:c>
      <x:c r="E739" s="131" t="n">
        <x:f>MOD(ABS(SIN((A739+4)*12.9898+78.233)*43758.5453),1)</x:f>
        <x:v>0.8161304147542978</x:v>
      </x:c>
      <x:c r="F739" s="131" t="n">
        <x:f>MOD(ABS(SIN((A739+5)*12.9898+78.233)*43758.5453),1)</x:f>
        <x:v>0.6424463427210867</x:v>
      </x:c>
      <x:c r="G739" s="132" t="n">
        <x:f>IF(B739&lt;(('Assumptions'!$C$47-'Assumptions'!$B$47)/('Assumptions'!$D$47-'Assumptions'!$B$47)),'Assumptions'!$B$47+SQRT(B739*('Assumptions'!$D$47-'Assumptions'!$B$47)*('Assumptions'!$C$47-'Assumptions'!$B$47)),'Assumptions'!$D$47-SQRT((1-B739)*('Assumptions'!$D$47-'Assumptions'!$B$47)*('Assumptions'!$D$47-'Assumptions'!$C$47)))</x:f>
        <x:v>0.06990608352940705</x:v>
      </x:c>
      <x:c r="H739" s="132" t="n">
        <x:f>IF(C739&lt;(('Assumptions'!$C$48-'Assumptions'!$B$48)/('Assumptions'!$D$48-'Assumptions'!$B$48)),'Assumptions'!$B$48+SQRT(C739*('Assumptions'!$D$48-'Assumptions'!$B$48)*('Assumptions'!$C$48-'Assumptions'!$B$48)),'Assumptions'!$D$48-SQRT((1-C739)*('Assumptions'!$D$48-'Assumptions'!$B$48)*('Assumptions'!$D$48-'Assumptions'!$C$48)))</x:f>
        <x:v>0.051480822542161825</x:v>
      </x:c>
      <x:c r="I739" s="132" t="n">
        <x:f>IF(D739&lt;(('Assumptions'!$C$49-'Assumptions'!$B$49)/('Assumptions'!$D$49-'Assumptions'!$B$49)),'Assumptions'!$B$49+SQRT(D739*('Assumptions'!$D$49-'Assumptions'!$B$49)*('Assumptions'!$C$49-'Assumptions'!$B$49)),'Assumptions'!$D$49-SQRT((1-D739)*('Assumptions'!$D$49-'Assumptions'!$B$49)*('Assumptions'!$D$49-'Assumptions'!$C$49)))</x:f>
        <x:v>0.11057135470447638</x:v>
      </x:c>
      <x:c r="J739" s="132" t="n">
        <x:f>IF(E739&lt;(('Assumptions'!$C$50-'Assumptions'!$B$50)/('Assumptions'!$D$50-'Assumptions'!$B$50)),'Assumptions'!$B$50+SQRT(E739*('Assumptions'!$D$50-'Assumptions'!$B$50)*('Assumptions'!$C$50-'Assumptions'!$B$50)),'Assumptions'!$D$50-SQRT((1-E739)*('Assumptions'!$D$50-'Assumptions'!$B$50)*('Assumptions'!$D$50-'Assumptions'!$C$50)))</x:f>
        <x:v>0.07280880254405751</x:v>
      </x:c>
      <x:c r="K739" s="132" t="n">
        <x:f>IF(F739&lt;(('Assumptions'!$C$51-'Assumptions'!$B$51)/('Assumptions'!$D$51-'Assumptions'!$B$51)),'Assumptions'!$B$51+SQRT(F739*('Assumptions'!$D$51-'Assumptions'!$B$51)*('Assumptions'!$C$51-'Assumptions'!$B$51)),'Assumptions'!$D$51-SQRT((1-F739)*('Assumptions'!$D$51-'Assumptions'!$B$51)*('Assumptions'!$D$51-'Assumptions'!$C$51)))</x:f>
        <x:v>0.07188235167549165</x:v>
      </x:c>
      <x:c r="L739" s="133" t="n">
        <x:f>(('Assumptions'!$B$17*(1+G739)+'Assumptions'!$B$18)*(1-H739-'Assumptions'!$B$20)-SUM('Assumptions'!$B$21:$B$25)*(1+I739))-(('Assumptions'!$B$17*(1+G739)+'Assumptions'!$B$18)*(1-H739-'Assumptions'!$B$20)*'Assumptions'!$B$26)</x:f>
        <x:v>223312.042347739</x:v>
      </x:c>
      <x:c r="M739" s="133" t="n">
        <x:f>'Assumptions'!$B$10*'Assumptions'!$B$33</x:f>
        <x:v>1950000</x:v>
      </x:c>
      <x:c r="N739" s="133" t="n">
        <x:f>-PMT(K739/12,'Assumptions'!$B$35*12,M739)*12</x:f>
        <x:v>158650.12052051377</x:v>
      </x:c>
      <x:c r="O739" s="133" t="n">
        <x:f>(L739*(1+'Assumptions'!$B$29)^('Assumptions'!$B$14/12)/J739)*(1-'Assumptions'!$B$42)-'Debt Schedule'!$F$9</x:f>
        <x:v>3342275.3980207564</x:v>
      </x:c>
      <x:c r="P739" s="132" t="n">
        <x:f>((O739+(L739-N739-'Assumptions'!$B$27-'Assumptions'!$B$28)*('Assumptions'!$B$14/12))/ABS('Monthly Cash Flow'!$S$5))^(1/('Assumptions'!$B$14/12))-1</x:f>
        <x:v>0.2176848430808973</x:v>
      </x:c>
      <x:c r="Q739" s="133" t="n">
        <x:f>-ABS('Monthly Cash Flow'!$S$5)+((L739-N739-'Assumptions'!$B$27-'Assumptions'!$B$28)*(1-(1+'Assumptions'!$B$43)^-('Assumptions'!$B$14/12))/'Assumptions'!$B$43)+(O739/(1+'Assumptions'!$B$43)^('Assumptions'!$B$14/12))</x:f>
        <x:v>874278.1491379428</x:v>
      </x:c>
    </x:row>
    <x:row r="740">
      <x:c r="A740" s="131" t="n">
        <x:f>733</x:f>
        <x:v>733</x:v>
      </x:c>
      <x:c r="B740" s="131" t="n">
        <x:f>MOD(ABS(SIN((A740+1)*12.9898+78.233)*43758.5453),1)</x:f>
        <x:v>0.1398259809357114</x:v>
      </x:c>
      <x:c r="C740" s="131" t="n">
        <x:f>MOD(ABS(SIN((A740+2)*12.9898+78.233)*43758.5453),1)</x:f>
        <x:v>0.9280269412111011</x:v>
      </x:c>
      <x:c r="D740" s="131" t="n">
        <x:f>MOD(ABS(SIN((A740+3)*12.9898+78.233)*43758.5453),1)</x:f>
        <x:v>0.8161304147542978</x:v>
      </x:c>
      <x:c r="E740" s="131" t="n">
        <x:f>MOD(ABS(SIN((A740+4)*12.9898+78.233)*43758.5453),1)</x:f>
        <x:v>0.6424463427210867</x:v>
      </x:c>
      <x:c r="F740" s="131" t="n">
        <x:f>MOD(ABS(SIN((A740+5)*12.9898+78.233)*43758.5453),1)</x:f>
        <x:v>0.942849225953978</x:v>
      </x:c>
      <x:c r="G740" s="132" t="n">
        <x:f>IF(B740&lt;(('Assumptions'!$C$47-'Assumptions'!$B$47)/('Assumptions'!$D$47-'Assumptions'!$B$47)),'Assumptions'!$B$47+SQRT(B740*('Assumptions'!$D$47-'Assumptions'!$B$47)*('Assumptions'!$C$47-'Assumptions'!$B$47)),'Assumptions'!$D$47-SQRT((1-B740)*('Assumptions'!$D$47-'Assumptions'!$B$47)*('Assumptions'!$D$47-'Assumptions'!$C$47)))</x:f>
        <x:v>-0.04207052958590875</x:v>
      </x:c>
      <x:c r="H740" s="132" t="n">
        <x:f>IF(C740&lt;(('Assumptions'!$C$48-'Assumptions'!$B$48)/('Assumptions'!$D$48-'Assumptions'!$B$48)),'Assumptions'!$B$48+SQRT(C740*('Assumptions'!$D$48-'Assumptions'!$B$48)*('Assumptions'!$C$48-'Assumptions'!$B$48)),'Assumptions'!$D$48-SQRT((1-C740)*('Assumptions'!$D$48-'Assumptions'!$B$48)*('Assumptions'!$D$48-'Assumptions'!$C$48)))</x:f>
        <x:v>0.11483329744797086</x:v>
      </x:c>
      <x:c r="I740" s="132" t="n">
        <x:f>IF(D740&lt;(('Assumptions'!$C$49-'Assumptions'!$B$49)/('Assumptions'!$D$49-'Assumptions'!$B$49)),'Assumptions'!$B$49+SQRT(D740*('Assumptions'!$D$49-'Assumptions'!$B$49)*('Assumptions'!$C$49-'Assumptions'!$B$49)),'Assumptions'!$D$49-SQRT((1-D740)*('Assumptions'!$D$49-'Assumptions'!$B$49)*('Assumptions'!$D$49-'Assumptions'!$C$49)))</x:f>
        <x:v>0.08697950300650456</x:v>
      </x:c>
      <x:c r="J740" s="132" t="n">
        <x:f>IF(E740&lt;(('Assumptions'!$C$50-'Assumptions'!$B$50)/('Assumptions'!$D$50-'Assumptions'!$B$50)),'Assumptions'!$B$50+SQRT(E740*('Assumptions'!$D$50-'Assumptions'!$B$50)*('Assumptions'!$C$50-'Assumptions'!$B$50)),'Assumptions'!$D$50-SQRT((1-E740)*('Assumptions'!$D$50-'Assumptions'!$B$50)*('Assumptions'!$D$50-'Assumptions'!$C$50)))</x:f>
        <x:v>0.06997194105972177</x:v>
      </x:c>
      <x:c r="K740" s="132" t="n">
        <x:f>IF(F740&lt;(('Assumptions'!$C$51-'Assumptions'!$B$51)/('Assumptions'!$D$51-'Assumptions'!$B$51)),'Assumptions'!$B$51+SQRT(F740*('Assumptions'!$D$51-'Assumptions'!$B$51)*('Assumptions'!$C$51-'Assumptions'!$B$51)),'Assumptions'!$D$51-SQRT((1-F740)*('Assumptions'!$D$51-'Assumptions'!$B$51)*('Assumptions'!$D$51-'Assumptions'!$C$51)))</x:f>
        <x:v>0.07975559250156436</x:v>
      </x:c>
      <x:c r="L740" s="133" t="n">
        <x:f>(('Assumptions'!$B$17*(1+G740)+'Assumptions'!$B$18)*(1-H740-'Assumptions'!$B$20)-SUM('Assumptions'!$B$21:$B$25)*(1+I740))-(('Assumptions'!$B$17*(1+G740)+'Assumptions'!$B$18)*(1-H740-'Assumptions'!$B$20)*'Assumptions'!$B$26)</x:f>
        <x:v>167896.52371221987</x:v>
      </x:c>
      <x:c r="M740" s="133" t="n">
        <x:f>'Assumptions'!$B$10*'Assumptions'!$B$33</x:f>
        <x:v>1950000</x:v>
      </x:c>
      <x:c r="N740" s="133" t="n">
        <x:f>-PMT(K740/12,'Assumptions'!$B$35*12,M740)*12</x:f>
        <x:v>171302.3856904066</x:v>
      </x:c>
      <x:c r="O740" s="133" t="n">
        <x:f>(L740*(1+'Assumptions'!$B$29)^('Assumptions'!$B$14/12)/J740)*(1-'Assumptions'!$B$42)-'Debt Schedule'!$F$9</x:f>
        <x:v>2614759.560867882</x:v>
      </x:c>
      <x:c r="P740" s="132" t="n">
        <x:f>((O740+(L740-N740-'Assumptions'!$B$27-'Assumptions'!$B$28)*('Assumptions'!$B$14/12))/ABS('Monthly Cash Flow'!$S$5))^(1/('Assumptions'!$B$14/12))-1</x:f>
        <x:v>0.13120066969330946</x:v>
      </x:c>
      <x:c r="Q740" s="133" t="n">
        <x:f>-ABS('Monthly Cash Flow'!$S$5)+((L740-N740-'Assumptions'!$B$27-'Assumptions'!$B$28)*(1-(1+'Assumptions'!$B$43)^-('Assumptions'!$B$14/12))/'Assumptions'!$B$43)+(O740/(1+'Assumptions'!$B$43)^('Assumptions'!$B$14/12))</x:f>
        <x:v>164517.59871398052</x:v>
      </x:c>
    </x:row>
    <x:row r="741">
      <x:c r="A741" s="131" t="n">
        <x:f>734</x:f>
        <x:v>734</x:v>
      </x:c>
      <x:c r="B741" s="131" t="n">
        <x:f>MOD(ABS(SIN((A741+1)*12.9898+78.233)*43758.5453),1)</x:f>
        <x:v>0.9280269412111011</x:v>
      </x:c>
      <x:c r="C741" s="131" t="n">
        <x:f>MOD(ABS(SIN((A741+2)*12.9898+78.233)*43758.5453),1)</x:f>
        <x:v>0.8161304147542978</x:v>
      </x:c>
      <x:c r="D741" s="131" t="n">
        <x:f>MOD(ABS(SIN((A741+3)*12.9898+78.233)*43758.5453),1)</x:f>
        <x:v>0.6424463427210867</x:v>
      </x:c>
      <x:c r="E741" s="131" t="n">
        <x:f>MOD(ABS(SIN((A741+4)*12.9898+78.233)*43758.5453),1)</x:f>
        <x:v>0.942849225953978</x:v>
      </x:c>
      <x:c r="F741" s="131" t="n">
        <x:f>MOD(ABS(SIN((A741+5)*12.9898+78.233)*43758.5453),1)</x:f>
        <x:v>0.6216461526346393</x:v>
      </x:c>
      <x:c r="G741" s="132" t="n">
        <x:f>IF(B741&lt;(('Assumptions'!$C$47-'Assumptions'!$B$47)/('Assumptions'!$D$47-'Assumptions'!$B$47)),'Assumptions'!$B$47+SQRT(B741*('Assumptions'!$D$47-'Assumptions'!$B$47)*('Assumptions'!$C$47-'Assumptions'!$B$47)),'Assumptions'!$D$47-SQRT((1-B741)*('Assumptions'!$D$47-'Assumptions'!$B$47)*('Assumptions'!$D$47-'Assumptions'!$C$47)))</x:f>
        <x:v>0.06606522520153725</x:v>
      </x:c>
      <x:c r="H741" s="132" t="n">
        <x:f>IF(C741&lt;(('Assumptions'!$C$48-'Assumptions'!$B$48)/('Assumptions'!$D$48-'Assumptions'!$B$48)),'Assumptions'!$B$48+SQRT(C741*('Assumptions'!$D$48-'Assumptions'!$B$48)*('Assumptions'!$C$48-'Assumptions'!$B$48)),'Assumptions'!$D$48-SQRT((1-C741)*('Assumptions'!$D$48-'Assumptions'!$B$48)*('Assumptions'!$D$48-'Assumptions'!$C$48)))</x:f>
        <x:v>0.09977497855610046</x:v>
      </x:c>
      <x:c r="I741" s="132" t="n">
        <x:f>IF(D741&lt;(('Assumptions'!$C$49-'Assumptions'!$B$49)/('Assumptions'!$D$49-'Assumptions'!$B$49)),'Assumptions'!$B$49+SQRT(D741*('Assumptions'!$D$49-'Assumptions'!$B$49)*('Assumptions'!$C$49-'Assumptions'!$B$49)),'Assumptions'!$D$49-SQRT((1-D741)*('Assumptions'!$D$49-'Assumptions'!$B$49)*('Assumptions'!$D$49-'Assumptions'!$C$49)))</x:f>
        <x:v>0.06211849456669209</x:v>
      </x:c>
      <x:c r="J741" s="132" t="n">
        <x:f>IF(E741&lt;(('Assumptions'!$C$50-'Assumptions'!$B$50)/('Assumptions'!$D$50-'Assumptions'!$B$50)),'Assumptions'!$B$50+SQRT(E741*('Assumptions'!$D$50-'Assumptions'!$B$50)*('Assumptions'!$C$50-'Assumptions'!$B$50)),'Assumptions'!$D$50-SQRT((1-E741)*('Assumptions'!$D$50-'Assumptions'!$B$50)*('Assumptions'!$D$50-'Assumptions'!$C$50)))</x:f>
        <x:v>0.07599080367150177</x:v>
      </x:c>
      <x:c r="K741" s="132" t="n">
        <x:f>IF(F741&lt;(('Assumptions'!$C$51-'Assumptions'!$B$51)/('Assumptions'!$D$51-'Assumptions'!$B$51)),'Assumptions'!$B$51+SQRT(F741*('Assumptions'!$D$51-'Assumptions'!$B$51)*('Assumptions'!$C$51-'Assumptions'!$B$51)),'Assumptions'!$D$51-SQRT((1-F741)*('Assumptions'!$D$51-'Assumptions'!$B$51)*('Assumptions'!$D$51-'Assumptions'!$C$51)))</x:f>
        <x:v>0.07150619441949085</x:v>
      </x:c>
      <x:c r="L741" s="133" t="n">
        <x:f>(('Assumptions'!$B$17*(1+G741)+'Assumptions'!$B$18)*(1-H741-'Assumptions'!$B$20)-SUM('Assumptions'!$B$21:$B$25)*(1+I741))-(('Assumptions'!$B$17*(1+G741)+'Assumptions'!$B$18)*(1-H741-'Assumptions'!$B$20)*'Assumptions'!$B$26)</x:f>
        <x:v>209543.66941607054</x:v>
      </x:c>
      <x:c r="M741" s="133" t="n">
        <x:f>'Assumptions'!$B$10*'Assumptions'!$B$33</x:f>
        <x:v>1950000</x:v>
      </x:c>
      <x:c r="N741" s="133" t="n">
        <x:f>-PMT(K741/12,'Assumptions'!$B$35*12,M741)*12</x:f>
        <x:v>158054.97421936283</x:v>
      </x:c>
      <x:c r="O741" s="133" t="n">
        <x:f>(L741*(1+'Assumptions'!$B$29)^('Assumptions'!$B$14/12)/J741)*(1-'Assumptions'!$B$42)-'Debt Schedule'!$F$9</x:f>
        <x:v>3004882.4298736798</x:v>
      </x:c>
      <x:c r="P741" s="132" t="n">
        <x:f>((O741+(L741-N741-'Assumptions'!$B$27-'Assumptions'!$B$28)*('Assumptions'!$B$14/12))/ABS('Monthly Cash Flow'!$S$5))^(1/('Assumptions'!$B$14/12))-1</x:f>
        <x:v>0.18792732092409326</x:v>
      </x:c>
      <x:c r="Q741" s="133" t="n">
        <x:f>-ABS('Monthly Cash Flow'!$S$5)+((L741-N741-'Assumptions'!$B$27-'Assumptions'!$B$28)*(1-(1+'Assumptions'!$B$43)^-('Assumptions'!$B$14/12))/'Assumptions'!$B$43)+(O741/(1+'Assumptions'!$B$43)^('Assumptions'!$B$14/12))</x:f>
        <x:v>614846.7677438196</x:v>
      </x:c>
    </x:row>
    <x:row r="742">
      <x:c r="A742" s="131" t="n">
        <x:f>735</x:f>
        <x:v>735</x:v>
      </x:c>
      <x:c r="B742" s="131" t="n">
        <x:f>MOD(ABS(SIN((A742+1)*12.9898+78.233)*43758.5453),1)</x:f>
        <x:v>0.8161304147542978</x:v>
      </x:c>
      <x:c r="C742" s="131" t="n">
        <x:f>MOD(ABS(SIN((A742+2)*12.9898+78.233)*43758.5453),1)</x:f>
        <x:v>0.6424463427210867</x:v>
      </x:c>
      <x:c r="D742" s="131" t="n">
        <x:f>MOD(ABS(SIN((A742+3)*12.9898+78.233)*43758.5453),1)</x:f>
        <x:v>0.942849225953978</x:v>
      </x:c>
      <x:c r="E742" s="131" t="n">
        <x:f>MOD(ABS(SIN((A742+4)*12.9898+78.233)*43758.5453),1)</x:f>
        <x:v>0.6216461526346393</x:v>
      </x:c>
      <x:c r="F742" s="131" t="n">
        <x:f>MOD(ABS(SIN((A742+5)*12.9898+78.233)*43758.5453),1)</x:f>
        <x:v>0.6461616970409523</x:v>
      </x:c>
      <x:c r="G742" s="132" t="n">
        <x:f>IF(B742&lt;(('Assumptions'!$C$47-'Assumptions'!$B$47)/('Assumptions'!$D$47-'Assumptions'!$B$47)),'Assumptions'!$B$47+SQRT(B742*('Assumptions'!$D$47-'Assumptions'!$B$47)*('Assumptions'!$C$47-'Assumptions'!$B$47)),'Assumptions'!$D$47-SQRT((1-B742)*('Assumptions'!$D$47-'Assumptions'!$B$47)*('Assumptions'!$D$47-'Assumptions'!$C$47)))</x:f>
        <x:v>0.045760592149883914</x:v>
      </x:c>
      <x:c r="H742" s="132" t="n">
        <x:f>IF(C742&lt;(('Assumptions'!$C$48-'Assumptions'!$B$48)/('Assumptions'!$D$48-'Assumptions'!$B$48)),'Assumptions'!$B$48+SQRT(C742*('Assumptions'!$D$48-'Assumptions'!$B$48)*('Assumptions'!$C$48-'Assumptions'!$B$48)),'Assumptions'!$D$48-SQRT((1-C742)*('Assumptions'!$D$48-'Assumptions'!$B$48)*('Assumptions'!$D$48-'Assumptions'!$C$48)))</x:f>
        <x:v>0.0839065762851434</x:v>
      </x:c>
      <x:c r="I742" s="132" t="n">
        <x:f>IF(D742&lt;(('Assumptions'!$C$49-'Assumptions'!$B$49)/('Assumptions'!$D$49-'Assumptions'!$B$49)),'Assumptions'!$B$49+SQRT(D742*('Assumptions'!$D$49-'Assumptions'!$B$49)*('Assumptions'!$C$49-'Assumptions'!$B$49)),'Assumptions'!$D$49-SQRT((1-D742)*('Assumptions'!$D$49-'Assumptions'!$B$49)*('Assumptions'!$D$49-'Assumptions'!$C$49)))</x:f>
        <x:v>0.11486516373463404</x:v>
      </x:c>
      <x:c r="J742" s="132" t="n">
        <x:f>IF(E742&lt;(('Assumptions'!$C$50-'Assumptions'!$B$50)/('Assumptions'!$D$50-'Assumptions'!$B$50)),'Assumptions'!$B$50+SQRT(E742*('Assumptions'!$D$50-'Assumptions'!$B$50)*('Assumptions'!$C$50-'Assumptions'!$B$50)),'Assumptions'!$D$50-SQRT((1-E742)*('Assumptions'!$D$50-'Assumptions'!$B$50)*('Assumptions'!$D$50-'Assumptions'!$C$50)))</x:f>
        <x:v>0.06968437982613224</x:v>
      </x:c>
      <x:c r="K742" s="132" t="n">
        <x:f>IF(F742&lt;(('Assumptions'!$C$51-'Assumptions'!$B$51)/('Assumptions'!$D$51-'Assumptions'!$B$51)),'Assumptions'!$B$51+SQRT(F742*('Assumptions'!$D$51-'Assumptions'!$B$51)*('Assumptions'!$C$51-'Assumptions'!$B$51)),'Assumptions'!$D$51-SQRT((1-F742)*('Assumptions'!$D$51-'Assumptions'!$B$51)*('Assumptions'!$D$51-'Assumptions'!$C$51)))</x:f>
        <x:v>0.07195068265007547</x:v>
      </x:c>
      <x:c r="L742" s="133" t="n">
        <x:f>(('Assumptions'!$B$17*(1+G742)+'Assumptions'!$B$18)*(1-H742-'Assumptions'!$B$20)-SUM('Assumptions'!$B$21:$B$25)*(1+I742))-(('Assumptions'!$B$17*(1+G742)+'Assumptions'!$B$18)*(1-H742-'Assumptions'!$B$20)*'Assumptions'!$B$26)</x:f>
        <x:v>202659.9121962967</x:v>
      </x:c>
      <x:c r="M742" s="133" t="n">
        <x:f>'Assumptions'!$B$10*'Assumptions'!$B$33</x:f>
        <x:v>1950000</x:v>
      </x:c>
      <x:c r="N742" s="133" t="n">
        <x:f>-PMT(K742/12,'Assumptions'!$B$35*12,M742)*12</x:f>
        <x:v>158758.3263316716</x:v>
      </x:c>
      <x:c r="O742" s="133" t="n">
        <x:f>(L742*(1+'Assumptions'!$B$29)^('Assumptions'!$B$14/12)/J742)*(1-'Assumptions'!$B$42)-'Debt Schedule'!$F$9</x:f>
        <x:v>3169176.21615567</x:v>
      </x:c>
      <x:c r="P742" s="132" t="n">
        <x:f>((O742+(L742-N742-'Assumptions'!$B$27-'Assumptions'!$B$28)*('Assumptions'!$B$14/12))/ABS('Monthly Cash Flow'!$S$5))^(1/('Assumptions'!$B$14/12))-1</x:f>
        <x:v>0.19757270635832658</x:v>
      </x:c>
      <x:c r="Q742" s="133" t="n">
        <x:f>-ABS('Monthly Cash Flow'!$S$5)+((L742-N742-'Assumptions'!$B$27-'Assumptions'!$B$28)*(1-(1+'Assumptions'!$B$43)^-('Assumptions'!$B$14/12))/'Assumptions'!$B$43)+(O742/(1+'Assumptions'!$B$43)^('Assumptions'!$B$14/12))</x:f>
        <x:v>688099.1692183171</x:v>
      </x:c>
    </x:row>
    <x:row r="743">
      <x:c r="A743" s="131" t="n">
        <x:f>736</x:f>
        <x:v>736</x:v>
      </x:c>
      <x:c r="B743" s="131" t="n">
        <x:f>MOD(ABS(SIN((A743+1)*12.9898+78.233)*43758.5453),1)</x:f>
        <x:v>0.6424463427210867</x:v>
      </x:c>
      <x:c r="C743" s="131" t="n">
        <x:f>MOD(ABS(SIN((A743+2)*12.9898+78.233)*43758.5453),1)</x:f>
        <x:v>0.942849225953978</x:v>
      </x:c>
      <x:c r="D743" s="131" t="n">
        <x:f>MOD(ABS(SIN((A743+3)*12.9898+78.233)*43758.5453),1)</x:f>
        <x:v>0.6216461526346393</x:v>
      </x:c>
      <x:c r="E743" s="131" t="n">
        <x:f>MOD(ABS(SIN((A743+4)*12.9898+78.233)*43758.5453),1)</x:f>
        <x:v>0.6461616970409523</x:v>
      </x:c>
      <x:c r="F743" s="131" t="n">
        <x:f>MOD(ABS(SIN((A743+5)*12.9898+78.233)*43758.5453),1)</x:f>
        <x:v>0.9161133564230113</x:v>
      </x:c>
      <x:c r="G743" s="132" t="n">
        <x:f>IF(B743&lt;(('Assumptions'!$C$47-'Assumptions'!$B$47)/('Assumptions'!$D$47-'Assumptions'!$B$47)),'Assumptions'!$B$47+SQRT(B743*('Assumptions'!$D$47-'Assumptions'!$B$47)*('Assumptions'!$C$47-'Assumptions'!$B$47)),'Assumptions'!$D$47-SQRT((1-B743)*('Assumptions'!$D$47-'Assumptions'!$B$47)*('Assumptions'!$D$47-'Assumptions'!$C$47)))</x:f>
        <x:v>0.02436364289270264</x:v>
      </x:c>
      <x:c r="H743" s="132" t="n">
        <x:f>IF(C743&lt;(('Assumptions'!$C$48-'Assumptions'!$B$48)/('Assumptions'!$D$48-'Assumptions'!$B$48)),'Assumptions'!$B$48+SQRT(C743*('Assumptions'!$D$48-'Assumptions'!$B$48)*('Assumptions'!$C$48-'Assumptions'!$B$48)),'Assumptions'!$D$48-SQRT((1-C743)*('Assumptions'!$D$48-'Assumptions'!$B$48)*('Assumptions'!$D$48-'Assumptions'!$C$48)))</x:f>
        <x:v>0.11757397022197212</x:v>
      </x:c>
      <x:c r="I743" s="132" t="n">
        <x:f>IF(D743&lt;(('Assumptions'!$C$49-'Assumptions'!$B$49)/('Assumptions'!$D$49-'Assumptions'!$B$49)),'Assumptions'!$B$49+SQRT(D743*('Assumptions'!$D$49-'Assumptions'!$B$49)*('Assumptions'!$C$49-'Assumptions'!$B$49)),'Assumptions'!$D$49-SQRT((1-D743)*('Assumptions'!$D$49-'Assumptions'!$B$49)*('Assumptions'!$D$49-'Assumptions'!$C$49)))</x:f>
        <x:v>0.05959843417787615</x:v>
      </x:c>
      <x:c r="J743" s="132" t="n">
        <x:f>IF(E743&lt;(('Assumptions'!$C$50-'Assumptions'!$B$50)/('Assumptions'!$D$50-'Assumptions'!$B$50)),'Assumptions'!$B$50+SQRT(E743*('Assumptions'!$D$50-'Assumptions'!$B$50)*('Assumptions'!$C$50-'Assumptions'!$B$50)),'Assumptions'!$D$50-SQRT((1-E743)*('Assumptions'!$D$50-'Assumptions'!$B$50)*('Assumptions'!$D$50-'Assumptions'!$C$50)))</x:f>
        <x:v>0.07002417809364903</x:v>
      </x:c>
      <x:c r="K743" s="132" t="n">
        <x:f>IF(F743&lt;(('Assumptions'!$C$51-'Assumptions'!$B$51)/('Assumptions'!$D$51-'Assumptions'!$B$51)),'Assumptions'!$B$51+SQRT(F743*('Assumptions'!$D$51-'Assumptions'!$B$51)*('Assumptions'!$C$51-'Assumptions'!$B$51)),'Assumptions'!$D$51-SQRT((1-F743)*('Assumptions'!$D$51-'Assumptions'!$B$51)*('Assumptions'!$D$51-'Assumptions'!$C$51)))</x:f>
        <x:v>0.07864622574988489</x:v>
      </x:c>
      <x:c r="L743" s="133" t="n">
        <x:f>(('Assumptions'!$B$17*(1+G743)+'Assumptions'!$B$18)*(1-H743-'Assumptions'!$B$20)-SUM('Assumptions'!$B$21:$B$25)*(1+I743))-(('Assumptions'!$B$17*(1+G743)+'Assumptions'!$B$18)*(1-H743-'Assumptions'!$B$20)*'Assumptions'!$B$26)</x:f>
        <x:v>190422.44756791677</x:v>
      </x:c>
      <x:c r="M743" s="133" t="n">
        <x:f>'Assumptions'!$B$10*'Assumptions'!$B$33</x:f>
        <x:v>1950000</x:v>
      </x:c>
      <x:c r="N743" s="133" t="n">
        <x:f>-PMT(K743/12,'Assumptions'!$B$35*12,M743)*12</x:f>
        <x:v>169497.71862339886</x:v>
      </x:c>
      <x:c r="O743" s="133" t="n">
        <x:f>(L743*(1+'Assumptions'!$B$29)^('Assumptions'!$B$14/12)/J743)*(1-'Assumptions'!$B$42)-'Debt Schedule'!$F$9</x:f>
        <x:v>2963357.855552509</x:v>
      </x:c>
      <x:c r="P743" s="132" t="n">
        <x:f>((O743+(L743-N743-'Assumptions'!$B$27-'Assumptions'!$B$28)*('Assumptions'!$B$14/12))/ABS('Monthly Cash Flow'!$S$5))^(1/('Assumptions'!$B$14/12))-1</x:f>
        <x:v>0.1724514232580845</x:v>
      </x:c>
      <x:c r="Q743" s="133" t="n">
        <x:f>-ABS('Monthly Cash Flow'!$S$5)+((L743-N743-'Assumptions'!$B$27-'Assumptions'!$B$28)*(1-(1+'Assumptions'!$B$43)^-('Assumptions'!$B$14/12))/'Assumptions'!$B$43)+(O743/(1+'Assumptions'!$B$43)^('Assumptions'!$B$14/12))</x:f>
        <x:v>473201.7952274026</x:v>
      </x:c>
    </x:row>
    <x:row r="744">
      <x:c r="A744" s="131" t="n">
        <x:f>737</x:f>
        <x:v>737</x:v>
      </x:c>
      <x:c r="B744" s="131" t="n">
        <x:f>MOD(ABS(SIN((A744+1)*12.9898+78.233)*43758.5453),1)</x:f>
        <x:v>0.942849225953978</x:v>
      </x:c>
      <x:c r="C744" s="131" t="n">
        <x:f>MOD(ABS(SIN((A744+2)*12.9898+78.233)*43758.5453),1)</x:f>
        <x:v>0.6216461526346393</x:v>
      </x:c>
      <x:c r="D744" s="131" t="n">
        <x:f>MOD(ABS(SIN((A744+3)*12.9898+78.233)*43758.5453),1)</x:f>
        <x:v>0.6461616970409523</x:v>
      </x:c>
      <x:c r="E744" s="131" t="n">
        <x:f>MOD(ABS(SIN((A744+4)*12.9898+78.233)*43758.5453),1)</x:f>
        <x:v>0.9161133564230113</x:v>
      </x:c>
      <x:c r="F744" s="131" t="n">
        <x:f>MOD(ABS(SIN((A744+5)*12.9898+78.233)*43758.5453),1)</x:f>
        <x:v>0.04554032833038946</x:v>
      </x:c>
      <x:c r="G744" s="132" t="n">
        <x:f>IF(B744&lt;(('Assumptions'!$C$47-'Assumptions'!$B$47)/('Assumptions'!$D$47-'Assumptions'!$B$47)),'Assumptions'!$B$47+SQRT(B744*('Assumptions'!$D$47-'Assumptions'!$B$47)*('Assumptions'!$C$47-'Assumptions'!$B$47)),'Assumptions'!$D$47-SQRT((1-B744)*('Assumptions'!$D$47-'Assumptions'!$B$47)*('Assumptions'!$D$47-'Assumptions'!$C$47)))</x:f>
        <x:v>0.06976074761611406</x:v>
      </x:c>
      <x:c r="H744" s="132" t="n">
        <x:f>IF(C744&lt;(('Assumptions'!$C$48-'Assumptions'!$B$48)/('Assumptions'!$D$48-'Assumptions'!$B$48)),'Assumptions'!$B$48+SQRT(C744*('Assumptions'!$D$48-'Assumptions'!$B$48)*('Assumptions'!$C$48-'Assumptions'!$B$48)),'Assumptions'!$D$48-SQRT((1-C744)*('Assumptions'!$D$48-'Assumptions'!$B$48)*('Assumptions'!$D$48-'Assumptions'!$C$48)))</x:f>
        <x:v>0.08229806019885316</x:v>
      </x:c>
      <x:c r="I744" s="132" t="n">
        <x:f>IF(D744&lt;(('Assumptions'!$C$49-'Assumptions'!$B$49)/('Assumptions'!$D$49-'Assumptions'!$B$49)),'Assumptions'!$B$49+SQRT(D744*('Assumptions'!$D$49-'Assumptions'!$B$49)*('Assumptions'!$C$49-'Assumptions'!$B$49)),'Assumptions'!$D$49-SQRT((1-D744)*('Assumptions'!$D$49-'Assumptions'!$B$49)*('Assumptions'!$D$49-'Assumptions'!$C$49)))</x:f>
        <x:v>0.06257627699579804</x:v>
      </x:c>
      <x:c r="J744" s="132" t="n">
        <x:f>IF(E744&lt;(('Assumptions'!$C$50-'Assumptions'!$B$50)/('Assumptions'!$D$50-'Assumptions'!$B$50)),'Assumptions'!$B$50+SQRT(E744*('Assumptions'!$D$50-'Assumptions'!$B$50)*('Assumptions'!$C$50-'Assumptions'!$B$50)),'Assumptions'!$D$50-SQRT((1-E744)*('Assumptions'!$D$50-'Assumptions'!$B$50)*('Assumptions'!$D$50-'Assumptions'!$C$50)))</x:f>
        <x:v>0.0751427251976002</x:v>
      </x:c>
      <x:c r="K744" s="132" t="n">
        <x:f>IF(F744&lt;(('Assumptions'!$C$51-'Assumptions'!$B$51)/('Assumptions'!$D$51-'Assumptions'!$B$51)),'Assumptions'!$B$51+SQRT(F744*('Assumptions'!$D$51-'Assumptions'!$B$51)*('Assumptions'!$C$51-'Assumptions'!$B$51)),'Assumptions'!$D$51-SQRT((1-F744)*('Assumptions'!$D$51-'Assumptions'!$B$51)*('Assumptions'!$D$51-'Assumptions'!$C$51)))</x:f>
        <x:v>0.06103886850431845</x:v>
      </x:c>
      <x:c r="L744" s="133" t="n">
        <x:f>(('Assumptions'!$B$17*(1+G744)+'Assumptions'!$B$18)*(1-H744-'Assumptions'!$B$20)-SUM('Assumptions'!$B$21:$B$25)*(1+I744))-(('Assumptions'!$B$17*(1+G744)+'Assumptions'!$B$18)*(1-H744-'Assumptions'!$B$20)*'Assumptions'!$B$26)</x:f>
        <x:v>217386.34044005757</x:v>
      </x:c>
      <x:c r="M744" s="133" t="n">
        <x:f>'Assumptions'!$B$10*'Assumptions'!$B$33</x:f>
        <x:v>1950000</x:v>
      </x:c>
      <x:c r="N744" s="133" t="n">
        <x:f>-PMT(K744/12,'Assumptions'!$B$35*12,M744)*12</x:f>
        <x:v>141861.5337260757</x:v>
      </x:c>
      <x:c r="O744" s="133" t="n">
        <x:f>(L744*(1+'Assumptions'!$B$29)^('Assumptions'!$B$14/12)/J744)*(1-'Assumptions'!$B$42)-'Debt Schedule'!$F$9</x:f>
        <x:v>3152530.428480269</x:v>
      </x:c>
      <x:c r="P744" s="132" t="n">
        <x:f>((O744+(L744-N744-'Assumptions'!$B$27-'Assumptions'!$B$28)*('Assumptions'!$B$14/12))/ABS('Monthly Cash Flow'!$S$5))^(1/('Assumptions'!$B$14/12))-1</x:f>
        <x:v>0.20801538280475307</x:v>
      </x:c>
      <x:c r="Q744" s="133" t="n">
        <x:f>-ABS('Monthly Cash Flow'!$S$5)+((L744-N744-'Assumptions'!$B$27-'Assumptions'!$B$28)*(1-(1+'Assumptions'!$B$43)^-('Assumptions'!$B$14/12))/'Assumptions'!$B$43)+(O744/(1+'Assumptions'!$B$43)^('Assumptions'!$B$14/12))</x:f>
        <x:v>797640.3319133683</x:v>
      </x:c>
    </x:row>
    <x:row r="745">
      <x:c r="A745" s="131" t="n">
        <x:f>738</x:f>
        <x:v>738</x:v>
      </x:c>
      <x:c r="B745" s="131" t="n">
        <x:f>MOD(ABS(SIN((A745+1)*12.9898+78.233)*43758.5453),1)</x:f>
        <x:v>0.6216461526346393</x:v>
      </x:c>
      <x:c r="C745" s="131" t="n">
        <x:f>MOD(ABS(SIN((A745+2)*12.9898+78.233)*43758.5453),1)</x:f>
        <x:v>0.6461616970409523</x:v>
      </x:c>
      <x:c r="D745" s="131" t="n">
        <x:f>MOD(ABS(SIN((A745+3)*12.9898+78.233)*43758.5453),1)</x:f>
        <x:v>0.9161133564230113</x:v>
      </x:c>
      <x:c r="E745" s="131" t="n">
        <x:f>MOD(ABS(SIN((A745+4)*12.9898+78.233)*43758.5453),1)</x:f>
        <x:v>0.04554032833038946</x:v>
      </x:c>
      <x:c r="F745" s="131" t="n">
        <x:f>MOD(ABS(SIN((A745+5)*12.9898+78.233)*43758.5453),1)</x:f>
        <x:v>0.7657201450110733</x:v>
      </x:c>
      <x:c r="G745" s="132" t="n">
        <x:f>IF(B745&lt;(('Assumptions'!$C$47-'Assumptions'!$B$47)/('Assumptions'!$D$47-'Assumptions'!$B$47)),'Assumptions'!$B$47+SQRT(B745*('Assumptions'!$D$47-'Assumptions'!$B$47)*('Assumptions'!$C$47-'Assumptions'!$B$47)),'Assumptions'!$D$47-SQRT((1-B745)*('Assumptions'!$D$47-'Assumptions'!$B$47)*('Assumptions'!$D$47-'Assumptions'!$C$47)))</x:f>
        <x:v>0.02219472024440905</x:v>
      </x:c>
      <x:c r="H745" s="132" t="n">
        <x:f>IF(C745&lt;(('Assumptions'!$C$48-'Assumptions'!$B$48)/('Assumptions'!$D$48-'Assumptions'!$B$48)),'Assumptions'!$B$48+SQRT(C745*('Assumptions'!$D$48-'Assumptions'!$B$48)*('Assumptions'!$C$48-'Assumptions'!$B$48)),'Assumptions'!$D$48-SQRT((1-C745)*('Assumptions'!$D$48-'Assumptions'!$B$48)*('Assumptions'!$D$48-'Assumptions'!$C$48)))</x:f>
        <x:v>0.08419877182319713</x:v>
      </x:c>
      <x:c r="I745" s="132" t="n">
        <x:f>IF(D745&lt;(('Assumptions'!$C$49-'Assumptions'!$B$49)/('Assumptions'!$D$49-'Assumptions'!$B$49)),'Assumptions'!$B$49+SQRT(D745*('Assumptions'!$D$49-'Assumptions'!$B$49)*('Assumptions'!$C$49-'Assumptions'!$B$49)),'Assumptions'!$D$49-SQRT((1-D745)*('Assumptions'!$D$49-'Assumptions'!$B$49)*('Assumptions'!$D$49-'Assumptions'!$C$49)))</x:f>
        <x:v>0.10743297636358684</x:v>
      </x:c>
      <x:c r="J745" s="132" t="n">
        <x:f>IF(E745&lt;(('Assumptions'!$C$50-'Assumptions'!$B$50)/('Assumptions'!$D$50-'Assumptions'!$B$50)),'Assumptions'!$B$50+SQRT(E745*('Assumptions'!$D$50-'Assumptions'!$B$50)*('Assumptions'!$C$50-'Assumptions'!$B$50)),'Assumptions'!$D$50-SQRT((1-E745)*('Assumptions'!$D$50-'Assumptions'!$B$50)*('Assumptions'!$D$50-'Assumptions'!$C$50)))</x:f>
        <x:v>0.06070102700306287</x:v>
      </x:c>
      <x:c r="K745" s="132" t="n">
        <x:f>IF(F745&lt;(('Assumptions'!$C$51-'Assumptions'!$B$51)/('Assumptions'!$D$51-'Assumptions'!$B$51)),'Assumptions'!$B$51+SQRT(F745*('Assumptions'!$D$51-'Assumptions'!$B$51)*('Assumptions'!$C$51-'Assumptions'!$B$51)),'Assumptions'!$D$51-SQRT((1-F745)*('Assumptions'!$D$51-'Assumptions'!$B$51)*('Assumptions'!$D$51-'Assumptions'!$C$51)))</x:f>
        <x:v>0.07438175248859677</x:v>
      </x:c>
      <x:c r="L745" s="133" t="n">
        <x:f>(('Assumptions'!$B$17*(1+G745)+'Assumptions'!$B$18)*(1-H745-'Assumptions'!$B$20)-SUM('Assumptions'!$B$21:$B$25)*(1+I745))-(('Assumptions'!$B$17*(1+G745)+'Assumptions'!$B$18)*(1-H745-'Assumptions'!$B$20)*'Assumptions'!$B$26)</x:f>
        <x:v>196108.53873736723</x:v>
      </x:c>
      <x:c r="M745" s="133" t="n">
        <x:f>'Assumptions'!$B$10*'Assumptions'!$B$33</x:f>
        <x:v>1950000</x:v>
      </x:c>
      <x:c r="N745" s="133" t="n">
        <x:f>-PMT(K745/12,'Assumptions'!$B$35*12,M745)*12</x:f>
        <x:v>162626.7088441661</x:v>
      </x:c>
      <x:c r="O745" s="133" t="n">
        <x:f>(L745*(1+'Assumptions'!$B$29)^('Assumptions'!$B$14/12)/J745)*(1-'Assumptions'!$B$42)-'Debt Schedule'!$F$9</x:f>
        <x:v>3520581.81839129</x:v>
      </x:c>
      <x:c r="P745" s="132" t="n">
        <x:f>((O745+(L745-N745-'Assumptions'!$B$27-'Assumptions'!$B$28)*('Assumptions'!$B$14/12))/ABS('Monthly Cash Flow'!$S$5))^(1/('Assumptions'!$B$14/12))-1</x:f>
        <x:v>0.21925532040487927</x:v>
      </x:c>
      <x:c r="Q745" s="133" t="n">
        <x:f>-ABS('Monthly Cash Flow'!$S$5)+((L745-N745-'Assumptions'!$B$27-'Assumptions'!$B$28)*(1-(1+'Assumptions'!$B$43)^-('Assumptions'!$B$14/12))/'Assumptions'!$B$43)+(O745/(1+'Assumptions'!$B$43)^('Assumptions'!$B$14/12))</x:f>
        <x:v>866795.3276119186</x:v>
      </x:c>
    </x:row>
    <x:row r="746">
      <x:c r="A746" s="131" t="n">
        <x:f>739</x:f>
        <x:v>739</x:v>
      </x:c>
      <x:c r="B746" s="131" t="n">
        <x:f>MOD(ABS(SIN((A746+1)*12.9898+78.233)*43758.5453),1)</x:f>
        <x:v>0.6461616970409523</x:v>
      </x:c>
      <x:c r="C746" s="131" t="n">
        <x:f>MOD(ABS(SIN((A746+2)*12.9898+78.233)*43758.5453),1)</x:f>
        <x:v>0.9161133564230113</x:v>
      </x:c>
      <x:c r="D746" s="131" t="n">
        <x:f>MOD(ABS(SIN((A746+3)*12.9898+78.233)*43758.5453),1)</x:f>
        <x:v>0.04554032833038946</x:v>
      </x:c>
      <x:c r="E746" s="131" t="n">
        <x:f>MOD(ABS(SIN((A746+4)*12.9898+78.233)*43758.5453),1)</x:f>
        <x:v>0.7657201450110733</x:v>
      </x:c>
      <x:c r="F746" s="131" t="n">
        <x:f>MOD(ABS(SIN((A746+5)*12.9898+78.233)*43758.5453),1)</x:f>
        <x:v>0.10458124606520869</x:v>
      </x:c>
      <x:c r="G746" s="132" t="n">
        <x:f>IF(B746&lt;(('Assumptions'!$C$47-'Assumptions'!$B$47)/('Assumptions'!$D$47-'Assumptions'!$B$47)),'Assumptions'!$B$47+SQRT(B746*('Assumptions'!$D$47-'Assumptions'!$B$47)*('Assumptions'!$C$47-'Assumptions'!$B$47)),'Assumptions'!$D$47-SQRT((1-B746)*('Assumptions'!$D$47-'Assumptions'!$B$47)*('Assumptions'!$D$47-'Assumptions'!$C$47)))</x:f>
        <x:v>0.02475763927583903</x:v>
      </x:c>
      <x:c r="H746" s="132" t="n">
        <x:f>IF(C746&lt;(('Assumptions'!$C$48-'Assumptions'!$B$48)/('Assumptions'!$D$48-'Assumptions'!$B$48)),'Assumptions'!$B$48+SQRT(C746*('Assumptions'!$D$48-'Assumptions'!$B$48)*('Assumptions'!$C$48-'Assumptions'!$B$48)),'Assumptions'!$D$48-SQRT((1-C746)*('Assumptions'!$D$48-'Assumptions'!$B$48)*('Assumptions'!$D$48-'Assumptions'!$C$48)))</x:f>
        <x:v>0.11283011844932886</x:v>
      </x:c>
      <x:c r="I746" s="132" t="n">
        <x:f>IF(D746&lt;(('Assumptions'!$C$49-'Assumptions'!$B$49)/('Assumptions'!$D$49-'Assumptions'!$B$49)),'Assumptions'!$B$49+SQRT(D746*('Assumptions'!$D$49-'Assumptions'!$B$49)*('Assumptions'!$C$49-'Assumptions'!$B$49)),'Assumptions'!$D$49-SQRT((1-D746)*('Assumptions'!$D$49-'Assumptions'!$B$49)*('Assumptions'!$D$49-'Assumptions'!$C$49)))</x:f>
        <x:v>-0.007822634377180726</x:v>
      </x:c>
      <x:c r="J746" s="132" t="n">
        <x:f>IF(E746&lt;(('Assumptions'!$C$50-'Assumptions'!$B$50)/('Assumptions'!$D$50-'Assumptions'!$B$50)),'Assumptions'!$B$50+SQRT(E746*('Assumptions'!$D$50-'Assumptions'!$B$50)*('Assumptions'!$C$50-'Assumptions'!$B$50)),'Assumptions'!$D$50-SQRT((1-E746)*('Assumptions'!$D$50-'Assumptions'!$B$50)*('Assumptions'!$D$50-'Assumptions'!$C$50)))</x:f>
        <x:v>0.07188265996673568</x:v>
      </x:c>
      <x:c r="K746" s="132" t="n">
        <x:f>IF(F746&lt;(('Assumptions'!$C$51-'Assumptions'!$B$51)/('Assumptions'!$D$51-'Assumptions'!$B$51)),'Assumptions'!$B$51+SQRT(F746*('Assumptions'!$D$51-'Assumptions'!$B$51)*('Assumptions'!$C$51-'Assumptions'!$B$51)),'Assumptions'!$D$51-SQRT((1-F746)*('Assumptions'!$D$51-'Assumptions'!$B$51)*('Assumptions'!$D$51-'Assumptions'!$C$51)))</x:f>
        <x:v>0.06286282040235662</x:v>
      </x:c>
      <x:c r="L746" s="133" t="n">
        <x:f>(('Assumptions'!$B$17*(1+G746)+'Assumptions'!$B$18)*(1-H746-'Assumptions'!$B$20)-SUM('Assumptions'!$B$21:$B$25)*(1+I746))-(('Assumptions'!$B$17*(1+G746)+'Assumptions'!$B$18)*(1-H746-'Assumptions'!$B$20)*'Assumptions'!$B$26)</x:f>
        <x:v>200798.33469325534</x:v>
      </x:c>
      <x:c r="M746" s="133" t="n">
        <x:f>'Assumptions'!$B$10*'Assumptions'!$B$33</x:f>
        <x:v>1950000</x:v>
      </x:c>
      <x:c r="N746" s="133" t="n">
        <x:f>-PMT(K746/12,'Assumptions'!$B$35*12,M746)*12</x:f>
        <x:v>144630.45269550406</x:v>
      </x:c>
      <x:c r="O746" s="133" t="n">
        <x:f>(L746*(1+'Assumptions'!$B$29)^('Assumptions'!$B$14/12)/J746)*(1-'Assumptions'!$B$42)-'Debt Schedule'!$F$9</x:f>
        <x:v>3044037.1218790826</x:v>
      </x:c>
      <x:c r="P746" s="132" t="n">
        <x:f>((O746+(L746-N746-'Assumptions'!$B$27-'Assumptions'!$B$28)*('Assumptions'!$B$14/12))/ABS('Monthly Cash Flow'!$S$5))^(1/('Assumptions'!$B$14/12))-1</x:f>
        <x:v>0.19274103659512276</x:v>
      </x:c>
      <x:c r="Q746" s="133" t="n">
        <x:f>-ABS('Monthly Cash Flow'!$S$5)+((L746-N746-'Assumptions'!$B$27-'Assumptions'!$B$28)*(1-(1+'Assumptions'!$B$43)^-('Assumptions'!$B$14/12))/'Assumptions'!$B$43)+(O746/(1+'Assumptions'!$B$43)^('Assumptions'!$B$14/12))</x:f>
        <x:v>656896.5503247748</x:v>
      </x:c>
    </x:row>
    <x:row r="747">
      <x:c r="A747" s="131" t="n">
        <x:f>740</x:f>
        <x:v>740</x:v>
      </x:c>
      <x:c r="B747" s="131" t="n">
        <x:f>MOD(ABS(SIN((A747+1)*12.9898+78.233)*43758.5453),1)</x:f>
        <x:v>0.9161133564230113</x:v>
      </x:c>
      <x:c r="C747" s="131" t="n">
        <x:f>MOD(ABS(SIN((A747+2)*12.9898+78.233)*43758.5453),1)</x:f>
        <x:v>0.04554032833038946</x:v>
      </x:c>
      <x:c r="D747" s="131" t="n">
        <x:f>MOD(ABS(SIN((A747+3)*12.9898+78.233)*43758.5453),1)</x:f>
        <x:v>0.7657201450110733</x:v>
      </x:c>
      <x:c r="E747" s="131" t="n">
        <x:f>MOD(ABS(SIN((A747+4)*12.9898+78.233)*43758.5453),1)</x:f>
        <x:v>0.10458124606520869</x:v>
      </x:c>
      <x:c r="F747" s="131" t="n">
        <x:f>MOD(ABS(SIN((A747+5)*12.9898+78.233)*43758.5453),1)</x:f>
        <x:v>0.6975359105999814</x:v>
      </x:c>
      <x:c r="G747" s="132" t="n">
        <x:f>IF(B747&lt;(('Assumptions'!$C$47-'Assumptions'!$B$47)/('Assumptions'!$D$47-'Assumptions'!$B$47)),'Assumptions'!$B$47+SQRT(B747*('Assumptions'!$D$47-'Assumptions'!$B$47)*('Assumptions'!$C$47-'Assumptions'!$B$47)),'Assumptions'!$D$47-SQRT((1-B747)*('Assumptions'!$D$47-'Assumptions'!$B$47)*('Assumptions'!$D$47-'Assumptions'!$C$47)))</x:f>
        <x:v>0.06336413919078987</x:v>
      </x:c>
      <x:c r="H747" s="132" t="n">
        <x:f>IF(C747&lt;(('Assumptions'!$C$48-'Assumptions'!$B$48)/('Assumptions'!$D$48-'Assumptions'!$B$48)),'Assumptions'!$B$48+SQRT(C747*('Assumptions'!$D$48-'Assumptions'!$B$48)*('Assumptions'!$C$48-'Assumptions'!$B$48)),'Assumptions'!$D$48-SQRT((1-C747)*('Assumptions'!$D$48-'Assumptions'!$B$48)*('Assumptions'!$D$48-'Assumptions'!$C$48)))</x:f>
        <x:v>0.042259000101569674</x:v>
      </x:c>
      <x:c r="I747" s="132" t="n">
        <x:f>IF(D747&lt;(('Assumptions'!$C$49-'Assumptions'!$B$49)/('Assumptions'!$D$49-'Assumptions'!$B$49)),'Assumptions'!$B$49+SQRT(D747*('Assumptions'!$D$49-'Assumptions'!$B$49)*('Assumptions'!$C$49-'Assumptions'!$B$49)),'Assumptions'!$D$49-SQRT((1-D747)*('Assumptions'!$D$49-'Assumptions'!$B$49)*('Assumptions'!$D$49-'Assumptions'!$C$49)))</x:f>
        <x:v>0.07886319610946232</x:v>
      </x:c>
      <x:c r="J747" s="132" t="n">
        <x:f>IF(E747&lt;(('Assumptions'!$C$50-'Assumptions'!$B$50)/('Assumptions'!$D$50-'Assumptions'!$B$50)),'Assumptions'!$B$50+SQRT(E747*('Assumptions'!$D$50-'Assumptions'!$B$50)*('Assumptions'!$C$50-'Assumptions'!$B$50)),'Assumptions'!$D$50-SQRT((1-E747)*('Assumptions'!$D$50-'Assumptions'!$B$50)*('Assumptions'!$D$50-'Assumptions'!$C$50)))</x:f>
        <x:v>0.06235085357073082</x:v>
      </x:c>
      <x:c r="K747" s="132" t="n">
        <x:f>IF(F747&lt;(('Assumptions'!$C$51-'Assumptions'!$B$51)/('Assumptions'!$D$51-'Assumptions'!$B$51)),'Assumptions'!$B$51+SQRT(F747*('Assumptions'!$D$51-'Assumptions'!$B$51)*('Assumptions'!$C$51-'Assumptions'!$B$51)),'Assumptions'!$D$51-SQRT((1-F747)*('Assumptions'!$D$51-'Assumptions'!$B$51)*('Assumptions'!$D$51-'Assumptions'!$C$51)))</x:f>
        <x:v>0.07293514015730979</x:v>
      </x:c>
      <x:c r="L747" s="133" t="n">
        <x:f>(('Assumptions'!$B$17*(1+G747)+'Assumptions'!$B$18)*(1-H747-'Assumptions'!$B$20)-SUM('Assumptions'!$B$21:$B$25)*(1+I747))-(('Assumptions'!$B$17*(1+G747)+'Assumptions'!$B$18)*(1-H747-'Assumptions'!$B$20)*'Assumptions'!$B$26)</x:f>
        <x:v>228733.73646779274</x:v>
      </x:c>
      <x:c r="M747" s="133" t="n">
        <x:f>'Assumptions'!$B$10*'Assumptions'!$B$33</x:f>
        <x:v>1950000</x:v>
      </x:c>
      <x:c r="N747" s="133" t="n">
        <x:f>-PMT(K747/12,'Assumptions'!$B$35*12,M747)*12</x:f>
        <x:v>160320.46814740574</x:v>
      </x:c>
      <x:c r="O747" s="133" t="n">
        <x:f>(L747*(1+'Assumptions'!$B$29)^('Assumptions'!$B$14/12)/J747)*(1-'Assumptions'!$B$42)-'Debt Schedule'!$F$9</x:f>
        <x:v>3997622.661024722</x:v>
      </x:c>
      <x:c r="P747" s="132" t="n">
        <x:f>((O747+(L747-N747-'Assumptions'!$B$27-'Assumptions'!$B$28)*('Assumptions'!$B$14/12))/ABS('Monthly Cash Flow'!$S$5))^(1/('Assumptions'!$B$14/12))-1</x:f>
        <x:v>0.26174947346589117</x:v>
      </x:c>
      <x:c r="Q747" s="133" t="n">
        <x:f>-ABS('Monthly Cash Flow'!$S$5)+((L747-N747-'Assumptions'!$B$27-'Assumptions'!$B$28)*(1-(1+'Assumptions'!$B$43)^-('Assumptions'!$B$14/12))/'Assumptions'!$B$43)+(O747/(1+'Assumptions'!$B$43)^('Assumptions'!$B$14/12))</x:f>
        <x:v>1295417.7933993053</x:v>
      </x:c>
    </x:row>
    <x:row r="748">
      <x:c r="A748" s="131" t="n">
        <x:f>741</x:f>
        <x:v>741</x:v>
      </x:c>
      <x:c r="B748" s="131" t="n">
        <x:f>MOD(ABS(SIN((A748+1)*12.9898+78.233)*43758.5453),1)</x:f>
        <x:v>0.04554032833038946</x:v>
      </x:c>
      <x:c r="C748" s="131" t="n">
        <x:f>MOD(ABS(SIN((A748+2)*12.9898+78.233)*43758.5453),1)</x:f>
        <x:v>0.7657201450110733</x:v>
      </x:c>
      <x:c r="D748" s="131" t="n">
        <x:f>MOD(ABS(SIN((A748+3)*12.9898+78.233)*43758.5453),1)</x:f>
        <x:v>0.10458124606520869</x:v>
      </x:c>
      <x:c r="E748" s="131" t="n">
        <x:f>MOD(ABS(SIN((A748+4)*12.9898+78.233)*43758.5453),1)</x:f>
        <x:v>0.6975359105999814</x:v>
      </x:c>
      <x:c r="F748" s="131" t="n">
        <x:f>MOD(ABS(SIN((A748+5)*12.9898+78.233)*43758.5453),1)</x:f>
        <x:v>0.6493209733962431</x:v>
      </x:c>
      <x:c r="G748" s="132" t="n">
        <x:f>IF(B748&lt;(('Assumptions'!$C$47-'Assumptions'!$B$47)/('Assumptions'!$D$47-'Assumptions'!$B$47)),'Assumptions'!$B$47+SQRT(B748*('Assumptions'!$D$47-'Assumptions'!$B$47)*('Assumptions'!$C$47-'Assumptions'!$B$47)),'Assumptions'!$D$47-SQRT((1-B748)*('Assumptions'!$D$47-'Assumptions'!$B$47)*('Assumptions'!$D$47-'Assumptions'!$C$47)))</x:f>
        <x:v>-0.06693993527033942</x:v>
      </x:c>
      <x:c r="H748" s="132" t="n">
        <x:f>IF(C748&lt;(('Assumptions'!$C$48-'Assumptions'!$B$48)/('Assumptions'!$D$48-'Assumptions'!$B$48)),'Assumptions'!$B$48+SQRT(C748*('Assumptions'!$D$48-'Assumptions'!$B$48)*('Assumptions'!$C$48-'Assumptions'!$B$48)),'Assumptions'!$D$48-SQRT((1-C748)*('Assumptions'!$D$48-'Assumptions'!$B$48)*('Assumptions'!$D$48-'Assumptions'!$C$48)))</x:f>
        <x:v>0.0945944637307018</x:v>
      </x:c>
      <x:c r="I748" s="132" t="n">
        <x:f>IF(D748&lt;(('Assumptions'!$C$49-'Assumptions'!$B$49)/('Assumptions'!$D$49-'Assumptions'!$B$49)),'Assumptions'!$B$49+SQRT(D748*('Assumptions'!$D$49-'Assumptions'!$B$49)*('Assumptions'!$C$49-'Assumptions'!$B$49)),'Assumptions'!$D$49-SQRT((1-D748)*('Assumptions'!$D$49-'Assumptions'!$B$49)*('Assumptions'!$D$49-'Assumptions'!$C$49)))</x:f>
        <x:v>0.0036076993783307615</x:v>
      </x:c>
      <x:c r="J748" s="132" t="n">
        <x:f>IF(E748&lt;(('Assumptions'!$C$50-'Assumptions'!$B$50)/('Assumptions'!$D$50-'Assumptions'!$B$50)),'Assumptions'!$B$50+SQRT(E748*('Assumptions'!$D$50-'Assumptions'!$B$50)*('Assumptions'!$C$50-'Assumptions'!$B$50)),'Assumptions'!$D$50-SQRT((1-E748)*('Assumptions'!$D$50-'Assumptions'!$B$50)*('Assumptions'!$D$50-'Assumptions'!$C$50)))</x:f>
        <x:v>0.07077676709912652</x:v>
      </x:c>
      <x:c r="K748" s="132" t="n">
        <x:f>IF(F748&lt;(('Assumptions'!$C$51-'Assumptions'!$B$51)/('Assumptions'!$D$51-'Assumptions'!$B$51)),'Assumptions'!$B$51+SQRT(F748*('Assumptions'!$D$51-'Assumptions'!$B$51)*('Assumptions'!$C$51-'Assumptions'!$B$51)),'Assumptions'!$D$51-SQRT((1-F748)*('Assumptions'!$D$51-'Assumptions'!$B$51)*('Assumptions'!$D$51-'Assumptions'!$C$51)))</x:f>
        <x:v>0.07200906925762984</x:v>
      </x:c>
      <x:c r="L748" s="133" t="n">
        <x:f>(('Assumptions'!$B$17*(1+G748)+'Assumptions'!$B$18)*(1-H748-'Assumptions'!$B$20)-SUM('Assumptions'!$B$21:$B$25)*(1+I748))-(('Assumptions'!$B$17*(1+G748)+'Assumptions'!$B$18)*(1-H748-'Assumptions'!$B$20)*'Assumptions'!$B$26)</x:f>
        <x:v>177755.4837662433</x:v>
      </x:c>
      <x:c r="M748" s="133" t="n">
        <x:f>'Assumptions'!$B$10*'Assumptions'!$B$33</x:f>
        <x:v>1950000</x:v>
      </x:c>
      <x:c r="N748" s="133" t="n">
        <x:f>-PMT(K748/12,'Assumptions'!$B$35*12,M748)*12</x:f>
        <x:v>158850.80762428345</x:v>
      </x:c>
      <x:c r="O748" s="133" t="n">
        <x:f>(L748*(1+'Assumptions'!$B$29)^('Assumptions'!$B$14/12)/J748)*(1-'Assumptions'!$B$42)-'Debt Schedule'!$F$9</x:f>
        <x:v>2736820.1798462668</x:v>
      </x:c>
      <x:c r="P748" s="132" t="n">
        <x:f>((O748+(L748-N748-'Assumptions'!$B$27-'Assumptions'!$B$28)*('Assumptions'!$B$14/12))/ABS('Monthly Cash Flow'!$S$5))^(1/('Assumptions'!$B$14/12))-1</x:f>
        <x:v>0.1524314457193099</x:v>
      </x:c>
      <x:c r="Q748" s="133" t="n">
        <x:f>-ABS('Monthly Cash Flow'!$S$5)+((L748-N748-'Assumptions'!$B$27-'Assumptions'!$B$28)*(1-(1+'Assumptions'!$B$43)^-('Assumptions'!$B$14/12))/'Assumptions'!$B$43)+(O748/(1+'Assumptions'!$B$43)^('Assumptions'!$B$14/12))</x:f>
        <x:v>324882.1324676934</x:v>
      </x:c>
    </x:row>
    <x:row r="749">
      <x:c r="A749" s="131" t="n">
        <x:f>742</x:f>
        <x:v>742</x:v>
      </x:c>
      <x:c r="B749" s="131" t="n">
        <x:f>MOD(ABS(SIN((A749+1)*12.9898+78.233)*43758.5453),1)</x:f>
        <x:v>0.7657201450110733</x:v>
      </x:c>
      <x:c r="C749" s="131" t="n">
        <x:f>MOD(ABS(SIN((A749+2)*12.9898+78.233)*43758.5453),1)</x:f>
        <x:v>0.10458124606520869</x:v>
      </x:c>
      <x:c r="D749" s="131" t="n">
        <x:f>MOD(ABS(SIN((A749+3)*12.9898+78.233)*43758.5453),1)</x:f>
        <x:v>0.6975359105999814</x:v>
      </x:c>
      <x:c r="E749" s="131" t="n">
        <x:f>MOD(ABS(SIN((A749+4)*12.9898+78.233)*43758.5453),1)</x:f>
        <x:v>0.6493209733962431</x:v>
      </x:c>
      <x:c r="F749" s="131" t="n">
        <x:f>MOD(ABS(SIN((A749+5)*12.9898+78.233)*43758.5453),1)</x:f>
        <x:v>0.4985436249044142</x:v>
      </x:c>
      <x:c r="G749" s="132" t="n">
        <x:f>IF(B749&lt;(('Assumptions'!$C$47-'Assumptions'!$B$47)/('Assumptions'!$D$47-'Assumptions'!$B$47)),'Assumptions'!$B$47+SQRT(B749*('Assumptions'!$D$47-'Assumptions'!$B$47)*('Assumptions'!$C$47-'Assumptions'!$B$47)),'Assumptions'!$D$47-SQRT((1-B749)*('Assumptions'!$D$47-'Assumptions'!$B$47)*('Assumptions'!$D$47-'Assumptions'!$C$47)))</x:f>
        <x:v>0.038775187384338806</x:v>
      </x:c>
      <x:c r="H749" s="132" t="n">
        <x:f>IF(C749&lt;(('Assumptions'!$C$48-'Assumptions'!$B$48)/('Assumptions'!$D$48-'Assumptions'!$B$48)),'Assumptions'!$B$48+SQRT(C749*('Assumptions'!$D$48-'Assumptions'!$B$48)*('Assumptions'!$C$48-'Assumptions'!$B$48)),'Assumptions'!$D$48-SQRT((1-C749)*('Assumptions'!$D$48-'Assumptions'!$B$48)*('Assumptions'!$D$48-'Assumptions'!$C$48)))</x:f>
        <x:v>0.04857735481749726</x:v>
      </x:c>
      <x:c r="I749" s="132" t="n">
        <x:f>IF(D749&lt;(('Assumptions'!$C$49-'Assumptions'!$B$49)/('Assumptions'!$D$49-'Assumptions'!$B$49)),'Assumptions'!$B$49+SQRT(D749*('Assumptions'!$D$49-'Assumptions'!$B$49)*('Assumptions'!$C$49-'Assumptions'!$B$49)),'Assumptions'!$D$49-SQRT((1-D749)*('Assumptions'!$D$49-'Assumptions'!$B$49)*('Assumptions'!$D$49-'Assumptions'!$C$49)))</x:f>
        <x:v>0.06917163659308447</x:v>
      </x:c>
      <x:c r="J749" s="132" t="n">
        <x:f>IF(E749&lt;(('Assumptions'!$C$50-'Assumptions'!$B$50)/('Assumptions'!$D$50-'Assumptions'!$B$50)),'Assumptions'!$B$50+SQRT(E749*('Assumptions'!$D$50-'Assumptions'!$B$50)*('Assumptions'!$C$50-'Assumptions'!$B$50)),'Assumptions'!$D$50-SQRT((1-E749)*('Assumptions'!$D$50-'Assumptions'!$B$50)*('Assumptions'!$D$50-'Assumptions'!$C$50)))</x:f>
        <x:v>0.07006881294948551</x:v>
      </x:c>
      <x:c r="K749" s="132" t="n">
        <x:f>IF(F749&lt;(('Assumptions'!$C$51-'Assumptions'!$B$51)/('Assumptions'!$D$51-'Assumptions'!$B$51)),'Assumptions'!$B$51+SQRT(F749*('Assumptions'!$D$51-'Assumptions'!$B$51)*('Assumptions'!$C$51-'Assumptions'!$B$51)),'Assumptions'!$D$51-SQRT((1-F749)*('Assumptions'!$D$51-'Assumptions'!$B$51)*('Assumptions'!$D$51-'Assumptions'!$C$51)))</x:f>
        <x:v>0.06946533294483752</x:v>
      </x:c>
      <x:c r="L749" s="133" t="n">
        <x:f>(('Assumptions'!$B$17*(1+G749)+'Assumptions'!$B$18)*(1-H749-'Assumptions'!$B$20)-SUM('Assumptions'!$B$21:$B$25)*(1+I749))-(('Assumptions'!$B$17*(1+G749)+'Assumptions'!$B$18)*(1-H749-'Assumptions'!$B$20)*'Assumptions'!$B$26)</x:f>
        <x:v>219523.5501955927</x:v>
      </x:c>
      <x:c r="M749" s="133" t="n">
        <x:f>'Assumptions'!$B$10*'Assumptions'!$B$33</x:f>
        <x:v>1950000</x:v>
      </x:c>
      <x:c r="N749" s="133" t="n">
        <x:f>-PMT(K749/12,'Assumptions'!$B$35*12,M749)*12</x:f>
        <x:v>154841.44364482717</x:v>
      </x:c>
      <x:c r="O749" s="133" t="n">
        <x:f>(L749*(1+'Assumptions'!$B$29)^('Assumptions'!$B$14/12)/J749)*(1-'Assumptions'!$B$42)-'Debt Schedule'!$F$9</x:f>
        <x:v>3414053.5959429163</x:v>
      </x:c>
      <x:c r="P749" s="132" t="n">
        <x:f>((O749+(L749-N749-'Assumptions'!$B$27-'Assumptions'!$B$28)*('Assumptions'!$B$14/12))/ABS('Monthly Cash Flow'!$S$5))^(1/('Assumptions'!$B$14/12))-1</x:f>
        <x:v>0.22269461073437857</x:v>
      </x:c>
      <x:c r="Q749" s="133" t="n">
        <x:f>-ABS('Monthly Cash Flow'!$S$5)+((L749-N749-'Assumptions'!$B$27-'Assumptions'!$B$28)*(1-(1+'Assumptions'!$B$43)^-('Assumptions'!$B$14/12))/'Assumptions'!$B$43)+(O749/(1+'Assumptions'!$B$43)^('Assumptions'!$B$14/12))</x:f>
        <x:v>918923.2787415129</x:v>
      </x:c>
    </x:row>
    <x:row r="750">
      <x:c r="A750" s="131" t="n">
        <x:f>743</x:f>
        <x:v>743</x:v>
      </x:c>
      <x:c r="B750" s="131" t="n">
        <x:f>MOD(ABS(SIN((A750+1)*12.9898+78.233)*43758.5453),1)</x:f>
        <x:v>0.10458124606520869</x:v>
      </x:c>
      <x:c r="C750" s="131" t="n">
        <x:f>MOD(ABS(SIN((A750+2)*12.9898+78.233)*43758.5453),1)</x:f>
        <x:v>0.6975359105999814</x:v>
      </x:c>
      <x:c r="D750" s="131" t="n">
        <x:f>MOD(ABS(SIN((A750+3)*12.9898+78.233)*43758.5453),1)</x:f>
        <x:v>0.6493209733962431</x:v>
      </x:c>
      <x:c r="E750" s="131" t="n">
        <x:f>MOD(ABS(SIN((A750+4)*12.9898+78.233)*43758.5453),1)</x:f>
        <x:v>0.4985436249044142</x:v>
      </x:c>
      <x:c r="F750" s="131" t="n">
        <x:f>MOD(ABS(SIN((A750+5)*12.9898+78.233)*43758.5453),1)</x:f>
        <x:v>0.8389432429539738</x:v>
      </x:c>
      <x:c r="G750" s="132" t="n">
        <x:f>IF(B750&lt;(('Assumptions'!$C$47-'Assumptions'!$B$47)/('Assumptions'!$D$47-'Assumptions'!$B$47)),'Assumptions'!$B$47+SQRT(B750*('Assumptions'!$D$47-'Assumptions'!$B$47)*('Assumptions'!$C$47-'Assumptions'!$B$47)),'Assumptions'!$D$47-SQRT((1-B750)*('Assumptions'!$D$47-'Assumptions'!$B$47)*('Assumptions'!$D$47-'Assumptions'!$C$47)))</x:f>
        <x:v>-0.04990059974845</x:v>
      </x:c>
      <x:c r="H750" s="132" t="n">
        <x:f>IF(C750&lt;(('Assumptions'!$C$48-'Assumptions'!$B$48)/('Assumptions'!$D$48-'Assumptions'!$B$48)),'Assumptions'!$B$48+SQRT(C750*('Assumptions'!$D$48-'Assumptions'!$B$48)*('Assumptions'!$C$48-'Assumptions'!$B$48)),'Assumptions'!$D$48-SQRT((1-C750)*('Assumptions'!$D$48-'Assumptions'!$B$48)*('Assumptions'!$D$48-'Assumptions'!$C$48)))</x:f>
        <x:v>0.08840848919909243</x:v>
      </x:c>
      <x:c r="I750" s="132" t="n">
        <x:f>IF(D750&lt;(('Assumptions'!$C$49-'Assumptions'!$B$49)/('Assumptions'!$D$49-'Assumptions'!$B$49)),'Assumptions'!$B$49+SQRT(D750*('Assumptions'!$D$49-'Assumptions'!$B$49)*('Assumptions'!$C$49-'Assumptions'!$B$49)),'Assumptions'!$D$49-SQRT((1-D750)*('Assumptions'!$D$49-'Assumptions'!$B$49)*('Assumptions'!$D$49-'Assumptions'!$C$49)))</x:f>
        <x:v>0.06296743727408029</x:v>
      </x:c>
      <x:c r="J750" s="132" t="n">
        <x:f>IF(E750&lt;(('Assumptions'!$C$50-'Assumptions'!$B$50)/('Assumptions'!$D$50-'Assumptions'!$B$50)),'Assumptions'!$B$50+SQRT(E750*('Assumptions'!$D$50-'Assumptions'!$B$50)*('Assumptions'!$C$50-'Assumptions'!$B$50)),'Assumptions'!$D$50-SQRT((1-E750)*('Assumptions'!$D$50-'Assumptions'!$B$50)*('Assumptions'!$D$50-'Assumptions'!$C$50)))</x:f>
        <x:v>0.06812420084812675</x:v>
      </x:c>
      <x:c r="K750" s="132" t="n">
        <x:f>IF(F750&lt;(('Assumptions'!$C$51-'Assumptions'!$B$51)/('Assumptions'!$D$51-'Assumptions'!$B$51)),'Assumptions'!$B$51+SQRT(F750*('Assumptions'!$D$51-'Assumptions'!$B$51)*('Assumptions'!$C$51-'Assumptions'!$B$51)),'Assumptions'!$D$51-SQRT((1-F750)*('Assumptions'!$D$51-'Assumptions'!$B$51)*('Assumptions'!$D$51-'Assumptions'!$C$51)))</x:f>
        <x:v>0.07619610516144133</x:v>
      </x:c>
      <x:c r="L750" s="133" t="n">
        <x:f>(('Assumptions'!$B$17*(1+G750)+'Assumptions'!$B$18)*(1-H750-'Assumptions'!$B$20)-SUM('Assumptions'!$B$21:$B$25)*(1+I750))-(('Assumptions'!$B$17*(1+G750)+'Assumptions'!$B$18)*(1-H750-'Assumptions'!$B$20)*'Assumptions'!$B$26)</x:f>
        <x:v>177687.10116323765</x:v>
      </x:c>
      <x:c r="M750" s="133" t="n">
        <x:f>'Assumptions'!$B$10*'Assumptions'!$B$33</x:f>
        <x:v>1950000</x:v>
      </x:c>
      <x:c r="N750" s="133" t="n">
        <x:f>-PMT(K750/12,'Assumptions'!$B$35*12,M750)*12</x:f>
        <x:v>165536.98919178493</x:v>
      </x:c>
      <x:c r="O750" s="133" t="n">
        <x:f>(L750*(1+'Assumptions'!$B$29)^('Assumptions'!$B$14/12)/J750)*(1-'Assumptions'!$B$42)-'Debt Schedule'!$F$9</x:f>
        <x:v>2842290.46832809</x:v>
      </x:c>
      <x:c r="P750" s="132" t="n">
        <x:f>((O750+(L750-N750-'Assumptions'!$B$27-'Assumptions'!$B$28)*('Assumptions'!$B$14/12))/ABS('Monthly Cash Flow'!$S$5))^(1/('Assumptions'!$B$14/12))-1</x:f>
        <x:v>0.15864426569772005</x:v>
      </x:c>
      <x:c r="Q750" s="133" t="n">
        <x:f>-ABS('Monthly Cash Flow'!$S$5)+((L750-N750-'Assumptions'!$B$27-'Assumptions'!$B$28)*(1-(1+'Assumptions'!$B$43)^-('Assumptions'!$B$14/12))/'Assumptions'!$B$43)+(O750/(1+'Assumptions'!$B$43)^('Assumptions'!$B$14/12))</x:f>
        <x:v>364765.77104457887</x:v>
      </x:c>
    </x:row>
    <x:row r="751">
      <x:c r="A751" s="131" t="n">
        <x:f>744</x:f>
        <x:v>744</x:v>
      </x:c>
      <x:c r="B751" s="131" t="n">
        <x:f>MOD(ABS(SIN((A751+1)*12.9898+78.233)*43758.5453),1)</x:f>
        <x:v>0.6975359105999814</x:v>
      </x:c>
      <x:c r="C751" s="131" t="n">
        <x:f>MOD(ABS(SIN((A751+2)*12.9898+78.233)*43758.5453),1)</x:f>
        <x:v>0.6493209733962431</x:v>
      </x:c>
      <x:c r="D751" s="131" t="n">
        <x:f>MOD(ABS(SIN((A751+3)*12.9898+78.233)*43758.5453),1)</x:f>
        <x:v>0.4985436249044142</x:v>
      </x:c>
      <x:c r="E751" s="131" t="n">
        <x:f>MOD(ABS(SIN((A751+4)*12.9898+78.233)*43758.5453),1)</x:f>
        <x:v>0.8389432429539738</x:v>
      </x:c>
      <x:c r="F751" s="131" t="n">
        <x:f>MOD(ABS(SIN((A751+5)*12.9898+78.233)*43758.5453),1)</x:f>
        <x:v>0.8342300791882735</x:v>
      </x:c>
      <x:c r="G751" s="132" t="n">
        <x:f>IF(B751&lt;(('Assumptions'!$C$47-'Assumptions'!$B$47)/('Assumptions'!$D$47-'Assumptions'!$B$47)),'Assumptions'!$B$47+SQRT(B751*('Assumptions'!$D$47-'Assumptions'!$B$47)*('Assumptions'!$C$47-'Assumptions'!$B$47)),'Assumptions'!$D$47-SQRT((1-B751)*('Assumptions'!$D$47-'Assumptions'!$B$47)*('Assumptions'!$D$47-'Assumptions'!$C$47)))</x:f>
        <x:v>0.030434021027514482</x:v>
      </x:c>
      <x:c r="H751" s="132" t="n">
        <x:f>IF(C751&lt;(('Assumptions'!$C$48-'Assumptions'!$B$48)/('Assumptions'!$D$48-'Assumptions'!$B$48)),'Assumptions'!$B$48+SQRT(C751*('Assumptions'!$D$48-'Assumptions'!$B$48)*('Assumptions'!$C$48-'Assumptions'!$B$48)),'Assumptions'!$D$48-SQRT((1-C751)*('Assumptions'!$D$48-'Assumptions'!$B$48)*('Assumptions'!$D$48-'Assumptions'!$C$48)))</x:f>
        <x:v>0.08444844345913374</x:v>
      </x:c>
      <x:c r="I751" s="132" t="n">
        <x:f>IF(D751&lt;(('Assumptions'!$C$49-'Assumptions'!$B$49)/('Assumptions'!$D$49-'Assumptions'!$B$49)),'Assumptions'!$B$49+SQRT(D751*('Assumptions'!$D$49-'Assumptions'!$B$49)*('Assumptions'!$C$49-'Assumptions'!$B$49)),'Assumptions'!$D$49-SQRT((1-D751)*('Assumptions'!$D$49-'Assumptions'!$B$49)*('Assumptions'!$D$49-'Assumptions'!$C$49)))</x:f>
        <x:v>0.04592571065789276</x:v>
      </x:c>
      <x:c r="J751" s="132" t="n">
        <x:f>IF(E751&lt;(('Assumptions'!$C$50-'Assumptions'!$B$50)/('Assumptions'!$D$50-'Assumptions'!$B$50)),'Assumptions'!$B$50+SQRT(E751*('Assumptions'!$D$50-'Assumptions'!$B$50)*('Assumptions'!$C$50-'Assumptions'!$B$50)),'Assumptions'!$D$50-SQRT((1-E751)*('Assumptions'!$D$50-'Assumptions'!$B$50)*('Assumptions'!$D$50-'Assumptions'!$C$50)))</x:f>
        <x:v>0.07326967958272454</x:v>
      </x:c>
      <x:c r="K751" s="132" t="n">
        <x:f>IF(F751&lt;(('Assumptions'!$C$51-'Assumptions'!$B$51)/('Assumptions'!$D$51-'Assumptions'!$B$51)),'Assumptions'!$B$51+SQRT(F751*('Assumptions'!$D$51-'Assumptions'!$B$51)*('Assumptions'!$C$51-'Assumptions'!$B$51)),'Assumptions'!$D$51-SQRT((1-F751)*('Assumptions'!$D$51-'Assumptions'!$B$51)*('Assumptions'!$D$51-'Assumptions'!$C$51)))</x:f>
        <x:v>0.07606821549797337</x:v>
      </x:c>
      <x:c r="L751" s="133" t="n">
        <x:f>(('Assumptions'!$B$17*(1+G751)+'Assumptions'!$B$18)*(1-H751-'Assumptions'!$B$20)-SUM('Assumptions'!$B$21:$B$25)*(1+I751))-(('Assumptions'!$B$17*(1+G751)+'Assumptions'!$B$18)*(1-H751-'Assumptions'!$B$20)*'Assumptions'!$B$26)</x:f>
        <x:v>206344.4984537988</x:v>
      </x:c>
      <x:c r="M751" s="133" t="n">
        <x:f>'Assumptions'!$B$10*'Assumptions'!$B$33</x:f>
        <x:v>1950000</x:v>
      </x:c>
      <x:c r="N751" s="133" t="n">
        <x:f>-PMT(K751/12,'Assumptions'!$B$35*12,M751)*12</x:f>
        <x:v>165331.21038353757</x:v>
      </x:c>
      <x:c r="O751" s="133" t="n">
        <x:f>(L751*(1+'Assumptions'!$B$29)^('Assumptions'!$B$14/12)/J751)*(1-'Assumptions'!$B$42)-'Debt Schedule'!$F$9</x:f>
        <x:v>3068898.8824106515</x:v>
      </x:c>
      <x:c r="P751" s="132" t="n">
        <x:f>((O751+(L751-N751-'Assumptions'!$B$27-'Assumptions'!$B$28)*('Assumptions'!$B$14/12))/ABS('Monthly Cash Flow'!$S$5))^(1/('Assumptions'!$B$14/12))-1</x:f>
        <x:v>0.18882897595447656</x:v>
      </x:c>
      <x:c r="Q751" s="133" t="n">
        <x:f>-ABS('Monthly Cash Flow'!$S$5)+((L751-N751-'Assumptions'!$B$27-'Assumptions'!$B$28)*(1-(1+'Assumptions'!$B$43)^-('Assumptions'!$B$14/12))/'Assumptions'!$B$43)+(O751/(1+'Assumptions'!$B$43)^('Assumptions'!$B$14/12))</x:f>
        <x:v>614885.9134115293</x:v>
      </x:c>
    </x:row>
    <x:row r="752">
      <x:c r="A752" s="131" t="n">
        <x:f>745</x:f>
        <x:v>745</x:v>
      </x:c>
      <x:c r="B752" s="131" t="n">
        <x:f>MOD(ABS(SIN((A752+1)*12.9898+78.233)*43758.5453),1)</x:f>
        <x:v>0.6493209733962431</x:v>
      </x:c>
      <x:c r="C752" s="131" t="n">
        <x:f>MOD(ABS(SIN((A752+2)*12.9898+78.233)*43758.5453),1)</x:f>
        <x:v>0.4985436249044142</x:v>
      </x:c>
      <x:c r="D752" s="131" t="n">
        <x:f>MOD(ABS(SIN((A752+3)*12.9898+78.233)*43758.5453),1)</x:f>
        <x:v>0.8389432429539738</x:v>
      </x:c>
      <x:c r="E752" s="131" t="n">
        <x:f>MOD(ABS(SIN((A752+4)*12.9898+78.233)*43758.5453),1)</x:f>
        <x:v>0.8342300791882735</x:v>
      </x:c>
      <x:c r="F752" s="131" t="n">
        <x:f>MOD(ABS(SIN((A752+5)*12.9898+78.233)*43758.5453),1)</x:f>
        <x:v>0.011083194551702036</x:v>
      </x:c>
      <x:c r="G752" s="132" t="n">
        <x:f>IF(B752&lt;(('Assumptions'!$C$47-'Assumptions'!$B$47)/('Assumptions'!$D$47-'Assumptions'!$B$47)),'Assumptions'!$B$47+SQRT(B752*('Assumptions'!$D$47-'Assumptions'!$B$47)*('Assumptions'!$C$47-'Assumptions'!$B$47)),'Assumptions'!$D$47-SQRT((1-B752)*('Assumptions'!$D$47-'Assumptions'!$B$47)*('Assumptions'!$D$47-'Assumptions'!$C$47)))</x:f>
        <x:v>0.0250942964410579</x:v>
      </x:c>
      <x:c r="H752" s="132" t="n">
        <x:f>IF(C752&lt;(('Assumptions'!$C$48-'Assumptions'!$B$48)/('Assumptions'!$D$48-'Assumptions'!$B$48)),'Assumptions'!$B$48+SQRT(C752*('Assumptions'!$D$48-'Assumptions'!$B$48)*('Assumptions'!$C$48-'Assumptions'!$B$48)),'Assumptions'!$D$48-SQRT((1-C752)*('Assumptions'!$D$48-'Assumptions'!$B$48)*('Assumptions'!$D$48-'Assumptions'!$C$48)))</x:f>
        <x:v>0.07357096944225999</x:v>
      </x:c>
      <x:c r="I752" s="132" t="n">
        <x:f>IF(D752&lt;(('Assumptions'!$C$49-'Assumptions'!$B$49)/('Assumptions'!$D$49-'Assumptions'!$B$49)),'Assumptions'!$B$49+SQRT(D752*('Assumptions'!$D$49-'Assumptions'!$B$49)*('Assumptions'!$C$49-'Assumptions'!$B$49)),'Assumptions'!$D$49-SQRT((1-D752)*('Assumptions'!$D$49-'Assumptions'!$B$49)*('Assumptions'!$D$49-'Assumptions'!$C$49)))</x:f>
        <x:v>0.0910184270115304</x:v>
      </x:c>
      <x:c r="J752" s="132" t="n">
        <x:f>IF(E752&lt;(('Assumptions'!$C$50-'Assumptions'!$B$50)/('Assumptions'!$D$50-'Assumptions'!$B$50)),'Assumptions'!$B$50+SQRT(E752*('Assumptions'!$D$50-'Assumptions'!$B$50)*('Assumptions'!$C$50-'Assumptions'!$B$50)),'Assumptions'!$D$50-SQRT((1-E752)*('Assumptions'!$D$50-'Assumptions'!$B$50)*('Assumptions'!$D$50-'Assumptions'!$C$50)))</x:f>
        <x:v>0.07317191167102402</x:v>
      </x:c>
      <x:c r="K752" s="132" t="n">
        <x:f>IF(F752&lt;(('Assumptions'!$C$51-'Assumptions'!$B$51)/('Assumptions'!$D$51-'Assumptions'!$B$51)),'Assumptions'!$B$51+SQRT(F752*('Assumptions'!$D$51-'Assumptions'!$B$51)*('Assumptions'!$C$51-'Assumptions'!$B$51)),'Assumptions'!$D$51-SQRT((1-F752)*('Assumptions'!$D$51-'Assumptions'!$B$51)*('Assumptions'!$D$51-'Assumptions'!$C$51)))</x:f>
        <x:v>0.059245817430809436</x:v>
      </x:c>
      <x:c r="L752" s="133" t="n">
        <x:f>(('Assumptions'!$B$17*(1+G752)+'Assumptions'!$B$18)*(1-H752-'Assumptions'!$B$20)-SUM('Assumptions'!$B$21:$B$25)*(1+I752))-(('Assumptions'!$B$17*(1+G752)+'Assumptions'!$B$18)*(1-H752-'Assumptions'!$B$20)*'Assumptions'!$B$26)</x:f>
        <x:v>203033.2569975984</x:v>
      </x:c>
      <x:c r="M752" s="133" t="n">
        <x:f>'Assumptions'!$B$10*'Assumptions'!$B$33</x:f>
        <x:v>1950000</x:v>
      </x:c>
      <x:c r="N752" s="133" t="n">
        <x:f>-PMT(K752/12,'Assumptions'!$B$35*12,M752)*12</x:f>
        <x:v>139162.22517003948</x:v>
      </x:c>
      <x:c r="O752" s="133" t="n">
        <x:f>(L752*(1+'Assumptions'!$B$29)^('Assumptions'!$B$14/12)/J752)*(1-'Assumptions'!$B$42)-'Debt Schedule'!$F$9</x:f>
        <x:v>3023686.473974396</x:v>
      </x:c>
      <x:c r="P752" s="132" t="n">
        <x:f>((O752+(L752-N752-'Assumptions'!$B$27-'Assumptions'!$B$28)*('Assumptions'!$B$14/12))/ABS('Monthly Cash Flow'!$S$5))^(1/('Assumptions'!$B$14/12))-1</x:f>
        <x:v>0.19412451895288196</x:v>
      </x:c>
      <x:c r="Q752" s="133" t="n">
        <x:f>-ABS('Monthly Cash Flow'!$S$5)+((L752-N752-'Assumptions'!$B$27-'Assumptions'!$B$28)*(1-(1+'Assumptions'!$B$43)^-('Assumptions'!$B$14/12))/'Assumptions'!$B$43)+(O752/(1+'Assumptions'!$B$43)^('Assumptions'!$B$14/12))</x:f>
        <x:v>673461.3975602915</x:v>
      </x:c>
    </x:row>
    <x:row r="753">
      <x:c r="A753" s="131" t="n">
        <x:f>746</x:f>
        <x:v>746</x:v>
      </x:c>
      <x:c r="B753" s="131" t="n">
        <x:f>MOD(ABS(SIN((A753+1)*12.9898+78.233)*43758.5453),1)</x:f>
        <x:v>0.4985436249044142</x:v>
      </x:c>
      <x:c r="C753" s="131" t="n">
        <x:f>MOD(ABS(SIN((A753+2)*12.9898+78.233)*43758.5453),1)</x:f>
        <x:v>0.8389432429539738</x:v>
      </x:c>
      <x:c r="D753" s="131" t="n">
        <x:f>MOD(ABS(SIN((A753+3)*12.9898+78.233)*43758.5453),1)</x:f>
        <x:v>0.8342300791882735</x:v>
      </x:c>
      <x:c r="E753" s="131" t="n">
        <x:f>MOD(ABS(SIN((A753+4)*12.9898+78.233)*43758.5453),1)</x:f>
        <x:v>0.011083194551702036</x:v>
      </x:c>
      <x:c r="F753" s="131" t="n">
        <x:f>MOD(ABS(SIN((A753+5)*12.9898+78.233)*43758.5453),1)</x:f>
        <x:v>0.1795491890516132</x:v>
      </x:c>
      <x:c r="G753" s="132" t="n">
        <x:f>IF(B753&lt;(('Assumptions'!$C$47-'Assumptions'!$B$47)/('Assumptions'!$D$47-'Assumptions'!$B$47)),'Assumptions'!$B$47+SQRT(B753*('Assumptions'!$D$47-'Assumptions'!$B$47)*('Assumptions'!$C$47-'Assumptions'!$B$47)),'Assumptions'!$D$47-SQRT((1-B753)*('Assumptions'!$D$47-'Assumptions'!$B$47)*('Assumptions'!$D$47-'Assumptions'!$C$47)))</x:f>
        <x:v>0.009384857259613133</x:v>
      </x:c>
      <x:c r="H753" s="132" t="n">
        <x:f>IF(C753&lt;(('Assumptions'!$C$48-'Assumptions'!$B$48)/('Assumptions'!$D$48-'Assumptions'!$B$48)),'Assumptions'!$B$48+SQRT(C753*('Assumptions'!$D$48-'Assumptions'!$B$48)*('Assumptions'!$C$48-'Assumptions'!$B$48)),'Assumptions'!$D$48-SQRT((1-C753)*('Assumptions'!$D$48-'Assumptions'!$B$48)*('Assumptions'!$D$48-'Assumptions'!$C$48)))</x:f>
        <x:v>0.10235296210848681</x:v>
      </x:c>
      <x:c r="I753" s="132" t="n">
        <x:f>IF(D753&lt;(('Assumptions'!$C$49-'Assumptions'!$B$49)/('Assumptions'!$D$49-'Assumptions'!$B$49)),'Assumptions'!$B$49+SQRT(D753*('Assumptions'!$D$49-'Assumptions'!$B$49)*('Assumptions'!$C$49-'Assumptions'!$B$49)),'Assumptions'!$D$49-SQRT((1-D753)*('Assumptions'!$D$49-'Assumptions'!$B$49)*('Assumptions'!$D$49-'Assumptions'!$C$49)))</x:f>
        <x:v>0.09016163196131355</x:v>
      </x:c>
      <x:c r="J753" s="132" t="n">
        <x:f>IF(E753&lt;(('Assumptions'!$C$50-'Assumptions'!$B$50)/('Assumptions'!$D$50-'Assumptions'!$B$50)),'Assumptions'!$B$50+SQRT(E753*('Assumptions'!$D$50-'Assumptions'!$B$50)*('Assumptions'!$C$50-'Assumptions'!$B$50)),'Assumptions'!$D$50-SQRT((1-E753)*('Assumptions'!$D$50-'Assumptions'!$B$50)*('Assumptions'!$D$50-'Assumptions'!$C$50)))</x:f>
        <x:v>0.059079151282851954</x:v>
      </x:c>
      <x:c r="K753" s="132" t="n">
        <x:f>IF(F753&lt;(('Assumptions'!$C$51-'Assumptions'!$B$51)/('Assumptions'!$D$51-'Assumptions'!$B$51)),'Assumptions'!$B$51+SQRT(F753*('Assumptions'!$D$51-'Assumptions'!$B$51)*('Assumptions'!$C$51-'Assumptions'!$B$51)),'Assumptions'!$D$51-SQRT((1-F753)*('Assumptions'!$D$51-'Assumptions'!$B$51)*('Assumptions'!$D$51-'Assumptions'!$C$51)))</x:f>
        <x:v>0.06452680773816914</x:v>
      </x:c>
      <x:c r="L753" s="133" t="n">
        <x:f>(('Assumptions'!$B$17*(1+G753)+'Assumptions'!$B$18)*(1-H753-'Assumptions'!$B$20)-SUM('Assumptions'!$B$21:$B$25)*(1+I753))-(('Assumptions'!$B$17*(1+G753)+'Assumptions'!$B$18)*(1-H753-'Assumptions'!$B$20)*'Assumptions'!$B$26)</x:f>
        <x:v>187627.99180529328</x:v>
      </x:c>
      <x:c r="M753" s="133" t="n">
        <x:f>'Assumptions'!$B$10*'Assumptions'!$B$33</x:f>
        <x:v>1950000</x:v>
      </x:c>
      <x:c r="N753" s="133" t="n">
        <x:f>-PMT(K753/12,'Assumptions'!$B$35*12,M753)*12</x:f>
        <x:v>147176.47335475823</x:v>
      </x:c>
      <x:c r="O753" s="133" t="n">
        <x:f>(L753*(1+'Assumptions'!$B$29)^('Assumptions'!$B$14/12)/J753)*(1-'Assumptions'!$B$42)-'Debt Schedule'!$F$9</x:f>
        <x:v>3460806.8342617587</x:v>
      </x:c>
      <x:c r="P753" s="132" t="n">
        <x:f>((O753+(L753-N753-'Assumptions'!$B$27-'Assumptions'!$B$28)*('Assumptions'!$B$14/12))/ABS('Monthly Cash Flow'!$S$5))^(1/('Assumptions'!$B$14/12))-1</x:f>
        <x:v>0.21750766282636902</x:v>
      </x:c>
      <x:c r="Q753" s="133" t="n">
        <x:f>-ABS('Monthly Cash Flow'!$S$5)+((L753-N753-'Assumptions'!$B$27-'Assumptions'!$B$28)*(1-(1+'Assumptions'!$B$43)^-('Assumptions'!$B$14/12))/'Assumptions'!$B$43)+(O753/(1+'Assumptions'!$B$43)^('Assumptions'!$B$14/12))</x:f>
        <x:v>856100.3685504089</x:v>
      </x:c>
    </x:row>
    <x:row r="754">
      <x:c r="A754" s="131" t="n">
        <x:f>747</x:f>
        <x:v>747</x:v>
      </x:c>
      <x:c r="B754" s="131" t="n">
        <x:f>MOD(ABS(SIN((A754+1)*12.9898+78.233)*43758.5453),1)</x:f>
        <x:v>0.8389432429539738</x:v>
      </x:c>
      <x:c r="C754" s="131" t="n">
        <x:f>MOD(ABS(SIN((A754+2)*12.9898+78.233)*43758.5453),1)</x:f>
        <x:v>0.8342300791882735</x:v>
      </x:c>
      <x:c r="D754" s="131" t="n">
        <x:f>MOD(ABS(SIN((A754+3)*12.9898+78.233)*43758.5453),1)</x:f>
        <x:v>0.011083194551702036</x:v>
      </x:c>
      <x:c r="E754" s="131" t="n">
        <x:f>MOD(ABS(SIN((A754+4)*12.9898+78.233)*43758.5453),1)</x:f>
        <x:v>0.1795491890516132</x:v>
      </x:c>
      <x:c r="F754" s="131" t="n">
        <x:f>MOD(ABS(SIN((A754+5)*12.9898+78.233)*43758.5453),1)</x:f>
        <x:v>0.6486733086749155</x:v>
      </x:c>
      <x:c r="G754" s="132" t="n">
        <x:f>IF(B754&lt;(('Assumptions'!$C$47-'Assumptions'!$B$47)/('Assumptions'!$D$47-'Assumptions'!$B$47)),'Assumptions'!$B$47+SQRT(B754*('Assumptions'!$D$47-'Assumptions'!$B$47)*('Assumptions'!$C$47-'Assumptions'!$B$47)),'Assumptions'!$D$47-SQRT((1-B754)*('Assumptions'!$D$47-'Assumptions'!$B$47)*('Assumptions'!$D$47-'Assumptions'!$C$47)))</x:f>
        <x:v>0.04923674446278668</x:v>
      </x:c>
      <x:c r="H754" s="132" t="n">
        <x:f>IF(C754&lt;(('Assumptions'!$C$48-'Assumptions'!$B$48)/('Assumptions'!$D$48-'Assumptions'!$B$48)),'Assumptions'!$B$48+SQRT(C754*('Assumptions'!$D$48-'Assumptions'!$B$48)*('Assumptions'!$C$48-'Assumptions'!$B$48)),'Assumptions'!$D$48-SQRT((1-C754)*('Assumptions'!$D$48-'Assumptions'!$B$48)*('Assumptions'!$D$48-'Assumptions'!$C$48)))</x:f>
        <x:v>0.10180608290390743</x:v>
      </x:c>
      <x:c r="I754" s="132" t="n">
        <x:f>IF(D754&lt;(('Assumptions'!$C$49-'Assumptions'!$B$49)/('Assumptions'!$D$49-'Assumptions'!$B$49)),'Assumptions'!$B$49+SQRT(D754*('Assumptions'!$D$49-'Assumptions'!$B$49)*('Assumptions'!$C$49-'Assumptions'!$B$49)),'Assumptions'!$D$49-SQRT((1-D754)*('Assumptions'!$D$49-'Assumptions'!$B$49)*('Assumptions'!$D$49-'Assumptions'!$C$49)))</x:f>
        <x:v>-0.019059318981051405</x:v>
      </x:c>
      <x:c r="J754" s="132" t="n">
        <x:f>IF(E754&lt;(('Assumptions'!$C$50-'Assumptions'!$B$50)/('Assumptions'!$D$50-'Assumptions'!$B$50)),'Assumptions'!$B$50+SQRT(E754*('Assumptions'!$D$50-'Assumptions'!$B$50)*('Assumptions'!$C$50-'Assumptions'!$B$50)),'Assumptions'!$D$50-SQRT((1-E754)*('Assumptions'!$D$50-'Assumptions'!$B$50)*('Assumptions'!$D$50-'Assumptions'!$C$50)))</x:f>
        <x:v>0.06385598674767443</x:v>
      </x:c>
      <x:c r="K754" s="132" t="n">
        <x:f>IF(F754&lt;(('Assumptions'!$C$51-'Assumptions'!$B$51)/('Assumptions'!$D$51-'Assumptions'!$B$51)),'Assumptions'!$B$51+SQRT(F754*('Assumptions'!$D$51-'Assumptions'!$B$51)*('Assumptions'!$C$51-'Assumptions'!$B$51)),'Assumptions'!$D$51-SQRT((1-F754)*('Assumptions'!$D$51-'Assumptions'!$B$51)*('Assumptions'!$D$51-'Assumptions'!$C$51)))</x:f>
        <x:v>0.0719970783975217</x:v>
      </x:c>
      <x:c r="L754" s="133" t="n">
        <x:f>(('Assumptions'!$B$17*(1+G754)+'Assumptions'!$B$18)*(1-H754-'Assumptions'!$B$20)-SUM('Assumptions'!$B$21:$B$25)*(1+I754))-(('Assumptions'!$B$17*(1+G754)+'Assumptions'!$B$18)*(1-H754-'Assumptions'!$B$20)*'Assumptions'!$B$26)</x:f>
        <x:v>213822.98493426456</x:v>
      </x:c>
      <x:c r="M754" s="133" t="n">
        <x:f>'Assumptions'!$B$10*'Assumptions'!$B$33</x:f>
        <x:v>1950000</x:v>
      </x:c>
      <x:c r="N754" s="133" t="n">
        <x:f>-PMT(K754/12,'Assumptions'!$B$35*12,M754)*12</x:f>
        <x:v>158831.8130140708</x:v>
      </x:c>
      <x:c r="O754" s="133" t="n">
        <x:f>(L754*(1+'Assumptions'!$B$29)^('Assumptions'!$B$14/12)/J754)*(1-'Assumptions'!$B$42)-'Debt Schedule'!$F$9</x:f>
        <x:v>3648940.1889446857</x:v>
      </x:c>
      <x:c r="P754" s="132" t="n">
        <x:f>((O754+(L754-N754-'Assumptions'!$B$27-'Assumptions'!$B$28)*('Assumptions'!$B$14/12))/ABS('Monthly Cash Flow'!$S$5))^(1/('Assumptions'!$B$14/12))-1</x:f>
        <x:v>0.2353189365747641</x:v>
      </x:c>
      <x:c r="Q754" s="133" t="n">
        <x:f>-ABS('Monthly Cash Flow'!$S$5)+((L754-N754-'Assumptions'!$B$27-'Assumptions'!$B$28)*(1-(1+'Assumptions'!$B$43)^-('Assumptions'!$B$14/12))/'Assumptions'!$B$43)+(O754/(1+'Assumptions'!$B$43)^('Assumptions'!$B$14/12))</x:f>
        <x:v>1028033.1060562553</x:v>
      </x:c>
    </x:row>
    <x:row r="755">
      <x:c r="A755" s="131" t="n">
        <x:f>748</x:f>
        <x:v>748</x:v>
      </x:c>
      <x:c r="B755" s="131" t="n">
        <x:f>MOD(ABS(SIN((A755+1)*12.9898+78.233)*43758.5453),1)</x:f>
        <x:v>0.8342300791882735</x:v>
      </x:c>
      <x:c r="C755" s="131" t="n">
        <x:f>MOD(ABS(SIN((A755+2)*12.9898+78.233)*43758.5453),1)</x:f>
        <x:v>0.011083194551702036</x:v>
      </x:c>
      <x:c r="D755" s="131" t="n">
        <x:f>MOD(ABS(SIN((A755+3)*12.9898+78.233)*43758.5453),1)</x:f>
        <x:v>0.1795491890516132</x:v>
      </x:c>
      <x:c r="E755" s="131" t="n">
        <x:f>MOD(ABS(SIN((A755+4)*12.9898+78.233)*43758.5453),1)</x:f>
        <x:v>0.6486733086749155</x:v>
      </x:c>
      <x:c r="F755" s="131" t="n">
        <x:f>MOD(ABS(SIN((A755+5)*12.9898+78.233)*43758.5453),1)</x:f>
        <x:v>0.5463914118081448</x:v>
      </x:c>
      <x:c r="G755" s="132" t="n">
        <x:f>IF(B755&lt;(('Assumptions'!$C$47-'Assumptions'!$B$47)/('Assumptions'!$D$47-'Assumptions'!$B$47)),'Assumptions'!$B$47+SQRT(B755*('Assumptions'!$D$47-'Assumptions'!$B$47)*('Assumptions'!$C$47-'Assumptions'!$B$47)),'Assumptions'!$D$47-SQRT((1-B755)*('Assumptions'!$D$47-'Assumptions'!$B$47)*('Assumptions'!$D$47-'Assumptions'!$C$47)))</x:f>
        <x:v>0.04849933269376383</x:v>
      </x:c>
      <x:c r="H755" s="132" t="n">
        <x:f>IF(C755&lt;(('Assumptions'!$C$48-'Assumptions'!$B$48)/('Assumptions'!$D$48-'Assumptions'!$B$48)),'Assumptions'!$B$48+SQRT(C755*('Assumptions'!$D$48-'Assumptions'!$B$48)*('Assumptions'!$C$48-'Assumptions'!$B$48)),'Assumptions'!$D$48-SQRT((1-C755)*('Assumptions'!$D$48-'Assumptions'!$B$48)*('Assumptions'!$D$48-'Assumptions'!$C$48)))</x:f>
        <x:v>0.03604768898180261</x:v>
      </x:c>
      <x:c r="I755" s="132" t="n">
        <x:f>IF(D755&lt;(('Assumptions'!$C$49-'Assumptions'!$B$49)/('Assumptions'!$D$49-'Assumptions'!$B$49)),'Assumptions'!$B$49+SQRT(D755*('Assumptions'!$D$49-'Assumptions'!$B$49)*('Assumptions'!$C$49-'Assumptions'!$B$49)),'Assumptions'!$D$49-SQRT((1-D755)*('Assumptions'!$D$49-'Assumptions'!$B$49)*('Assumptions'!$D$49-'Assumptions'!$C$49)))</x:f>
        <x:v>0.014035567916826308</x:v>
      </x:c>
      <x:c r="J755" s="132" t="n">
        <x:f>IF(E755&lt;(('Assumptions'!$C$50-'Assumptions'!$B$50)/('Assumptions'!$D$50-'Assumptions'!$B$50)),'Assumptions'!$B$50+SQRT(E755*('Assumptions'!$D$50-'Assumptions'!$B$50)*('Assumptions'!$C$50-'Assumptions'!$B$50)),'Assumptions'!$D$50-SQRT((1-E755)*('Assumptions'!$D$50-'Assumptions'!$B$50)*('Assumptions'!$D$50-'Assumptions'!$C$50)))</x:f>
        <x:v>0.07005964628721996</x:v>
      </x:c>
      <x:c r="K755" s="132" t="n">
        <x:f>IF(F755&lt;(('Assumptions'!$C$51-'Assumptions'!$B$51)/('Assumptions'!$D$51-'Assumptions'!$B$51)),'Assumptions'!$B$51+SQRT(F755*('Assumptions'!$D$51-'Assumptions'!$B$51)*('Assumptions'!$C$51-'Assumptions'!$B$51)),'Assumptions'!$D$51-SQRT((1-F755)*('Assumptions'!$D$51-'Assumptions'!$B$51)*('Assumptions'!$D$51-'Assumptions'!$C$51)))</x:f>
        <x:v>0.07022505048850149</x:v>
      </x:c>
      <x:c r="L755" s="133" t="n">
        <x:f>(('Assumptions'!$B$17*(1+G755)+'Assumptions'!$B$18)*(1-H755-'Assumptions'!$B$20)-SUM('Assumptions'!$B$21:$B$25)*(1+I755))-(('Assumptions'!$B$17*(1+G755)+'Assumptions'!$B$18)*(1-H755-'Assumptions'!$B$20)*'Assumptions'!$B$26)</x:f>
        <x:v>234391.2801196564</x:v>
      </x:c>
      <x:c r="M755" s="133" t="n">
        <x:f>'Assumptions'!$B$10*'Assumptions'!$B$33</x:f>
        <x:v>1950000</x:v>
      </x:c>
      <x:c r="N755" s="133" t="n">
        <x:f>-PMT(K755/12,'Assumptions'!$B$35*12,M755)*12</x:f>
        <x:v>156034.61929819058</x:v>
      </x:c>
      <x:c r="O755" s="133" t="n">
        <x:f>(L755*(1+'Assumptions'!$B$29)^('Assumptions'!$B$14/12)/J755)*(1-'Assumptions'!$B$42)-'Debt Schedule'!$F$9</x:f>
        <x:v>3645755.0639135498</x:v>
      </x:c>
      <x:c r="P755" s="132" t="n">
        <x:f>((O755+(L755-N755-'Assumptions'!$B$27-'Assumptions'!$B$28)*('Assumptions'!$B$14/12))/ABS('Monthly Cash Flow'!$S$5))^(1/('Assumptions'!$B$14/12))-1</x:f>
        <x:v>0.24276820912313468</x:v>
      </x:c>
      <x:c r="Q755" s="133" t="n">
        <x:f>-ABS('Monthly Cash Flow'!$S$5)+((L755-N755-'Assumptions'!$B$27-'Assumptions'!$B$28)*(1-(1+'Assumptions'!$B$43)^-('Assumptions'!$B$14/12))/'Assumptions'!$B$43)+(O755/(1+'Assumptions'!$B$43)^('Assumptions'!$B$14/12))</x:f>
        <x:v>1114628.9801955153</x:v>
      </x:c>
    </x:row>
    <x:row r="756">
      <x:c r="A756" s="131" t="n">
        <x:f>749</x:f>
        <x:v>749</x:v>
      </x:c>
      <x:c r="B756" s="131" t="n">
        <x:f>MOD(ABS(SIN((A756+1)*12.9898+78.233)*43758.5453),1)</x:f>
        <x:v>0.011083194551702036</x:v>
      </x:c>
      <x:c r="C756" s="131" t="n">
        <x:f>MOD(ABS(SIN((A756+2)*12.9898+78.233)*43758.5453),1)</x:f>
        <x:v>0.1795491890516132</x:v>
      </x:c>
      <x:c r="D756" s="131" t="n">
        <x:f>MOD(ABS(SIN((A756+3)*12.9898+78.233)*43758.5453),1)</x:f>
        <x:v>0.6486733086749155</x:v>
      </x:c>
      <x:c r="E756" s="131" t="n">
        <x:f>MOD(ABS(SIN((A756+4)*12.9898+78.233)*43758.5453),1)</x:f>
        <x:v>0.5463914118081448</x:v>
      </x:c>
      <x:c r="F756" s="131" t="n">
        <x:f>MOD(ABS(SIN((A756+5)*12.9898+78.233)*43758.5453),1)</x:f>
        <x:v>0.9559449812368257</x:v>
      </x:c>
      <x:c r="G756" s="132" t="n">
        <x:f>IF(B756&lt;(('Assumptions'!$C$47-'Assumptions'!$B$47)/('Assumptions'!$D$47-'Assumptions'!$B$47)),'Assumptions'!$B$47+SQRT(B756*('Assumptions'!$D$47-'Assumptions'!$B$47)*('Assumptions'!$C$47-'Assumptions'!$B$47)),'Assumptions'!$D$47-SQRT((1-B756)*('Assumptions'!$D$47-'Assumptions'!$B$47)*('Assumptions'!$D$47-'Assumptions'!$C$47)))</x:f>
        <x:v>-0.08369059568099287</x:v>
      </x:c>
      <x:c r="H756" s="132" t="n">
        <x:f>IF(C756&lt;(('Assumptions'!$C$48-'Assumptions'!$B$48)/('Assumptions'!$D$48-'Assumptions'!$B$48)),'Assumptions'!$B$48+SQRT(C756*('Assumptions'!$D$48-'Assumptions'!$B$48)*('Assumptions'!$C$48-'Assumptions'!$B$48)),'Assumptions'!$D$48-SQRT((1-C756)*('Assumptions'!$D$48-'Assumptions'!$B$48)*('Assumptions'!$D$48-'Assumptions'!$C$48)))</x:f>
        <x:v>0.05434157603505417</x:v>
      </x:c>
      <x:c r="I756" s="132" t="n">
        <x:f>IF(D756&lt;(('Assumptions'!$C$49-'Assumptions'!$B$49)/('Assumptions'!$D$49-'Assumptions'!$B$49)),'Assumptions'!$B$49+SQRT(D756*('Assumptions'!$D$49-'Assumptions'!$B$49)*('Assumptions'!$C$49-'Assumptions'!$B$49)),'Assumptions'!$D$49-SQRT((1-D756)*('Assumptions'!$D$49-'Assumptions'!$B$49)*('Assumptions'!$D$49-'Assumptions'!$C$49)))</x:f>
        <x:v>0.06288710467088224</x:v>
      </x:c>
      <x:c r="J756" s="132" t="n">
        <x:f>IF(E756&lt;(('Assumptions'!$C$50-'Assumptions'!$B$50)/('Assumptions'!$D$50-'Assumptions'!$B$50)),'Assumptions'!$B$50+SQRT(E756*('Assumptions'!$D$50-'Assumptions'!$B$50)*('Assumptions'!$C$50-'Assumptions'!$B$50)),'Assumptions'!$D$50-SQRT((1-E756)*('Assumptions'!$D$50-'Assumptions'!$B$50)*('Assumptions'!$D$50-'Assumptions'!$C$50)))</x:f>
        <x:v>0.0687049827167481</x:v>
      </x:c>
      <x:c r="K756" s="132" t="n">
        <x:f>IF(F756&lt;(('Assumptions'!$C$51-'Assumptions'!$B$51)/('Assumptions'!$D$51-'Assumptions'!$B$51)),'Assumptions'!$B$51+SQRT(F756*('Assumptions'!$D$51-'Assumptions'!$B$51)*('Assumptions'!$C$51-'Assumptions'!$B$51)),'Assumptions'!$D$51-SQRT((1-F756)*('Assumptions'!$D$51-'Assumptions'!$B$51)*('Assumptions'!$D$51-'Assumptions'!$C$51)))</x:f>
        <x:v>0.08039549375287887</x:v>
      </x:c>
      <x:c r="L756" s="133" t="n">
        <x:f>(('Assumptions'!$B$17*(1+G756)+'Assumptions'!$B$18)*(1-H756-'Assumptions'!$B$20)-SUM('Assumptions'!$B$21:$B$25)*(1+I756))-(('Assumptions'!$B$17*(1+G756)+'Assumptions'!$B$18)*(1-H756-'Assumptions'!$B$20)*'Assumptions'!$B$26)</x:f>
        <x:v>178545.46546818496</x:v>
      </x:c>
      <x:c r="M756" s="133" t="n">
        <x:f>'Assumptions'!$B$10*'Assumptions'!$B$33</x:f>
        <x:v>1950000</x:v>
      </x:c>
      <x:c r="N756" s="133" t="n">
        <x:f>-PMT(K756/12,'Assumptions'!$B$35*12,M756)*12</x:f>
        <x:v>172346.50100406766</x:v>
      </x:c>
      <x:c r="O756" s="133" t="n">
        <x:f>(L756*(1+'Assumptions'!$B$29)^('Assumptions'!$B$14/12)/J756)*(1-'Assumptions'!$B$42)-'Debt Schedule'!$F$9</x:f>
        <x:v>2831878.1805267613</x:v>
      </x:c>
      <x:c r="P756" s="132" t="n">
        <x:f>((O756+(L756-N756-'Assumptions'!$B$27-'Assumptions'!$B$28)*('Assumptions'!$B$14/12))/ABS('Monthly Cash Flow'!$S$5))^(1/('Assumptions'!$B$14/12))-1</x:f>
        <x:v>0.15518004991395062</x:v>
      </x:c>
      <x:c r="Q756" s="133" t="n">
        <x:f>-ABS('Monthly Cash Flow'!$S$5)+((L756-N756-'Assumptions'!$B$27-'Assumptions'!$B$28)*(1-(1+'Assumptions'!$B$43)^-('Assumptions'!$B$14/12))/'Assumptions'!$B$43)+(O756/(1+'Assumptions'!$B$43)^('Assumptions'!$B$14/12))</x:f>
        <x:v>335741.02829329995</x:v>
      </x:c>
    </x:row>
    <x:row r="757">
      <x:c r="A757" s="131" t="n">
        <x:f>750</x:f>
        <x:v>750</x:v>
      </x:c>
      <x:c r="B757" s="131" t="n">
        <x:f>MOD(ABS(SIN((A757+1)*12.9898+78.233)*43758.5453),1)</x:f>
        <x:v>0.1795491890516132</x:v>
      </x:c>
      <x:c r="C757" s="131" t="n">
        <x:f>MOD(ABS(SIN((A757+2)*12.9898+78.233)*43758.5453),1)</x:f>
        <x:v>0.6486733086749155</x:v>
      </x:c>
      <x:c r="D757" s="131" t="n">
        <x:f>MOD(ABS(SIN((A757+3)*12.9898+78.233)*43758.5453),1)</x:f>
        <x:v>0.5463914118081448</x:v>
      </x:c>
      <x:c r="E757" s="131" t="n">
        <x:f>MOD(ABS(SIN((A757+4)*12.9898+78.233)*43758.5453),1)</x:f>
        <x:v>0.9559449812368257</x:v>
      </x:c>
      <x:c r="F757" s="131" t="n">
        <x:f>MOD(ABS(SIN((A757+5)*12.9898+78.233)*43758.5453),1)</x:f>
        <x:v>0.7362746102080564</x:v>
      </x:c>
      <x:c r="G757" s="132" t="n">
        <x:f>IF(B757&lt;(('Assumptions'!$C$47-'Assumptions'!$B$47)/('Assumptions'!$D$47-'Assumptions'!$B$47)),'Assumptions'!$B$47+SQRT(B757*('Assumptions'!$D$47-'Assumptions'!$B$47)*('Assumptions'!$C$47-'Assumptions'!$B$47)),'Assumptions'!$D$47-SQRT((1-B757)*('Assumptions'!$D$47-'Assumptions'!$B$47)*('Assumptions'!$D$47-'Assumptions'!$C$47)))</x:f>
        <x:v>-0.034355651140111715</x:v>
      </x:c>
      <x:c r="H757" s="132" t="n">
        <x:f>IF(C757&lt;(('Assumptions'!$C$48-'Assumptions'!$B$48)/('Assumptions'!$D$48-'Assumptions'!$B$48)),'Assumptions'!$B$48+SQRT(C757*('Assumptions'!$D$48-'Assumptions'!$B$48)*('Assumptions'!$C$48-'Assumptions'!$B$48)),'Assumptions'!$D$48-SQRT((1-C757)*('Assumptions'!$D$48-'Assumptions'!$B$48)*('Assumptions'!$D$48-'Assumptions'!$C$48)))</x:f>
        <x:v>0.08439716838450811</x:v>
      </x:c>
      <x:c r="I757" s="132" t="n">
        <x:f>IF(D757&lt;(('Assumptions'!$C$49-'Assumptions'!$B$49)/('Assumptions'!$D$49-'Assumptions'!$B$49)),'Assumptions'!$B$49+SQRT(D757*('Assumptions'!$D$49-'Assumptions'!$B$49)*('Assumptions'!$C$49-'Assumptions'!$B$49)),'Assumptions'!$D$49-SQRT((1-D757)*('Assumptions'!$D$49-'Assumptions'!$B$49)*('Assumptions'!$D$49-'Assumptions'!$C$49)))</x:f>
        <x:v>0.051015427944835406</x:v>
      </x:c>
      <x:c r="J757" s="132" t="n">
        <x:f>IF(E757&lt;(('Assumptions'!$C$50-'Assumptions'!$B$50)/('Assumptions'!$D$50-'Assumptions'!$B$50)),'Assumptions'!$B$50+SQRT(E757*('Assumptions'!$D$50-'Assumptions'!$B$50)*('Assumptions'!$C$50-'Assumptions'!$B$50)),'Assumptions'!$D$50-SQRT((1-E757)*('Assumptions'!$D$50-'Assumptions'!$B$50)*('Assumptions'!$D$50-'Assumptions'!$C$50)))</x:f>
        <x:v>0.07647998948479656</x:v>
      </x:c>
      <x:c r="K757" s="132" t="n">
        <x:f>IF(F757&lt;(('Assumptions'!$C$51-'Assumptions'!$B$51)/('Assumptions'!$D$51-'Assumptions'!$B$51)),'Assumptions'!$B$51+SQRT(F757*('Assumptions'!$D$51-'Assumptions'!$B$51)*('Assumptions'!$C$51-'Assumptions'!$B$51)),'Assumptions'!$D$51-SQRT((1-F757)*('Assumptions'!$D$51-'Assumptions'!$B$51)*('Assumptions'!$D$51-'Assumptions'!$C$51)))</x:f>
        <x:v>0.07373421801039215</x:v>
      </x:c>
      <x:c r="L757" s="133" t="n">
        <x:f>(('Assumptions'!$B$17*(1+G757)+'Assumptions'!$B$18)*(1-H757-'Assumptions'!$B$20)-SUM('Assumptions'!$B$21:$B$25)*(1+I757))-(('Assumptions'!$B$17*(1+G757)+'Assumptions'!$B$18)*(1-H757-'Assumptions'!$B$20)*'Assumptions'!$B$26)</x:f>
        <x:v>185444.70571131236</x:v>
      </x:c>
      <x:c r="M757" s="133" t="n">
        <x:f>'Assumptions'!$B$10*'Assumptions'!$B$33</x:f>
        <x:v>1950000</x:v>
      </x:c>
      <x:c r="N757" s="133" t="n">
        <x:f>-PMT(K757/12,'Assumptions'!$B$35*12,M757)*12</x:f>
        <x:v>161592.81621643953</x:v>
      </x:c>
      <x:c r="O757" s="133" t="n">
        <x:f>(L757*(1+'Assumptions'!$B$29)^('Assumptions'!$B$14/12)/J757)*(1-'Assumptions'!$B$42)-'Debt Schedule'!$F$9</x:f>
        <x:v>2642290.7029119083</x:v>
      </x:c>
      <x:c r="P757" s="132" t="n">
        <x:f>((O757+(L757-N757-'Assumptions'!$B$27-'Assumptions'!$B$28)*('Assumptions'!$B$14/12))/ABS('Monthly Cash Flow'!$S$5))^(1/('Assumptions'!$B$14/12))-1</x:f>
        <x:v>0.14625214568484468</x:v>
      </x:c>
      <x:c r="Q757" s="133" t="n">
        <x:f>-ABS('Monthly Cash Flow'!$S$5)+((L757-N757-'Assumptions'!$B$27-'Assumptions'!$B$28)*(1-(1+'Assumptions'!$B$43)^-('Assumptions'!$B$14/12))/'Assumptions'!$B$43)+(O757/(1+'Assumptions'!$B$43)^('Assumptions'!$B$14/12))</x:f>
        <x:v>284940.59550518496</x:v>
      </x:c>
    </x:row>
    <x:row r="758">
      <x:c r="A758" s="131" t="n">
        <x:f>751</x:f>
        <x:v>751</x:v>
      </x:c>
      <x:c r="B758" s="131" t="n">
        <x:f>MOD(ABS(SIN((A758+1)*12.9898+78.233)*43758.5453),1)</x:f>
        <x:v>0.6486733086749155</x:v>
      </x:c>
      <x:c r="C758" s="131" t="n">
        <x:f>MOD(ABS(SIN((A758+2)*12.9898+78.233)*43758.5453),1)</x:f>
        <x:v>0.5463914118081448</x:v>
      </x:c>
      <x:c r="D758" s="131" t="n">
        <x:f>MOD(ABS(SIN((A758+3)*12.9898+78.233)*43758.5453),1)</x:f>
        <x:v>0.9559449812368257</x:v>
      </x:c>
      <x:c r="E758" s="131" t="n">
        <x:f>MOD(ABS(SIN((A758+4)*12.9898+78.233)*43758.5453),1)</x:f>
        <x:v>0.7362746102080564</x:v>
      </x:c>
      <x:c r="F758" s="131" t="n">
        <x:f>MOD(ABS(SIN((A758+5)*12.9898+78.233)*43758.5453),1)</x:f>
        <x:v>0.7286594770739612</x:v>
      </x:c>
      <x:c r="G758" s="132" t="n">
        <x:f>IF(B758&lt;(('Assumptions'!$C$47-'Assumptions'!$B$47)/('Assumptions'!$D$47-'Assumptions'!$B$47)),'Assumptions'!$B$47+SQRT(B758*('Assumptions'!$D$47-'Assumptions'!$B$47)*('Assumptions'!$C$47-'Assumptions'!$B$47)),'Assumptions'!$D$47-SQRT((1-B758)*('Assumptions'!$D$47-'Assumptions'!$B$47)*('Assumptions'!$D$47-'Assumptions'!$C$47)))</x:f>
        <x:v>0.025025157144537125</x:v>
      </x:c>
      <x:c r="H758" s="132" t="n">
        <x:f>IF(C758&lt;(('Assumptions'!$C$48-'Assumptions'!$B$48)/('Assumptions'!$D$48-'Assumptions'!$B$48)),'Assumptions'!$B$48+SQRT(C758*('Assumptions'!$D$48-'Assumptions'!$B$48)*('Assumptions'!$C$48-'Assumptions'!$B$48)),'Assumptions'!$D$48-SQRT((1-C758)*('Assumptions'!$D$48-'Assumptions'!$B$48)*('Assumptions'!$D$48-'Assumptions'!$C$48)))</x:f>
        <x:v>0.0768196583098166</x:v>
      </x:c>
      <x:c r="I758" s="132" t="n">
        <x:f>IF(D758&lt;(('Assumptions'!$C$49-'Assumptions'!$B$49)/('Assumptions'!$D$49-'Assumptions'!$B$49)),'Assumptions'!$B$49+SQRT(D758*('Assumptions'!$D$49-'Assumptions'!$B$49)*('Assumptions'!$C$49-'Assumptions'!$B$49)),'Assumptions'!$D$49-SQRT((1-D758)*('Assumptions'!$D$49-'Assumptions'!$B$49)*('Assumptions'!$D$49-'Assumptions'!$C$49)))</x:f>
        <x:v>0.11915217341068313</x:v>
      </x:c>
      <x:c r="J758" s="132" t="n">
        <x:f>IF(E758&lt;(('Assumptions'!$C$50-'Assumptions'!$B$50)/('Assumptions'!$D$50-'Assumptions'!$B$50)),'Assumptions'!$B$50+SQRT(E758*('Assumptions'!$D$50-'Assumptions'!$B$50)*('Assumptions'!$C$50-'Assumptions'!$B$50)),'Assumptions'!$D$50-SQRT((1-E758)*('Assumptions'!$D$50-'Assumptions'!$B$50)*('Assumptions'!$D$50-'Assumptions'!$C$50)))</x:f>
        <x:v>0.07138763877447166</x:v>
      </x:c>
      <x:c r="K758" s="132" t="n">
        <x:f>IF(F758&lt;(('Assumptions'!$C$51-'Assumptions'!$B$51)/('Assumptions'!$D$51-'Assumptions'!$B$51)),'Assumptions'!$B$51+SQRT(F758*('Assumptions'!$D$51-'Assumptions'!$B$51)*('Assumptions'!$C$51-'Assumptions'!$B$51)),'Assumptions'!$D$51-SQRT((1-F758)*('Assumptions'!$D$51-'Assumptions'!$B$51)*('Assumptions'!$D$51-'Assumptions'!$C$51)))</x:f>
        <x:v>0.07357272444288858</x:v>
      </x:c>
      <x:c r="L758" s="133" t="n">
        <x:f>(('Assumptions'!$B$17*(1+G758)+'Assumptions'!$B$18)*(1-H758-'Assumptions'!$B$20)-SUM('Assumptions'!$B$21:$B$25)*(1+I758))-(('Assumptions'!$B$17*(1+G758)+'Assumptions'!$B$18)*(1-H758-'Assumptions'!$B$20)*'Assumptions'!$B$26)</x:f>
        <x:v>198259.5261671931</x:v>
      </x:c>
      <x:c r="M758" s="133" t="n">
        <x:f>'Assumptions'!$B$10*'Assumptions'!$B$33</x:f>
        <x:v>1950000</x:v>
      </x:c>
      <x:c r="N758" s="133" t="n">
        <x:f>-PMT(K758/12,'Assumptions'!$B$35*12,M758)*12</x:f>
        <x:v>161335.36129196634</x:v>
      </x:c>
      <x:c r="O758" s="133" t="n">
        <x:f>(L758*(1+'Assumptions'!$B$29)^('Assumptions'!$B$14/12)/J758)*(1-'Assumptions'!$B$42)-'Debt Schedule'!$F$9</x:f>
        <x:v>3026390.9082502164</x:v>
      </x:c>
      <x:c r="P758" s="132" t="n">
        <x:f>((O758+(L758-N758-'Assumptions'!$B$27-'Assumptions'!$B$28)*('Assumptions'!$B$14/12))/ABS('Monthly Cash Flow'!$S$5))^(1/('Assumptions'!$B$14/12))-1</x:f>
        <x:v>0.1839192405897323</x:v>
      </x:c>
      <x:c r="Q758" s="133" t="n">
        <x:f>-ABS('Monthly Cash Flow'!$S$5)+((L758-N758-'Assumptions'!$B$27-'Assumptions'!$B$28)*(1-(1+'Assumptions'!$B$43)^-('Assumptions'!$B$14/12))/'Assumptions'!$B$43)+(O758/(1+'Assumptions'!$B$43)^('Assumptions'!$B$14/12))</x:f>
        <x:v>572990.8117490499</x:v>
      </x:c>
    </x:row>
    <x:row r="759">
      <x:c r="A759" s="131" t="n">
        <x:f>752</x:f>
        <x:v>752</x:v>
      </x:c>
      <x:c r="B759" s="131" t="n">
        <x:f>MOD(ABS(SIN((A759+1)*12.9898+78.233)*43758.5453),1)</x:f>
        <x:v>0.5463914118081448</x:v>
      </x:c>
      <x:c r="C759" s="131" t="n">
        <x:f>MOD(ABS(SIN((A759+2)*12.9898+78.233)*43758.5453),1)</x:f>
        <x:v>0.9559449812368257</x:v>
      </x:c>
      <x:c r="D759" s="131" t="n">
        <x:f>MOD(ABS(SIN((A759+3)*12.9898+78.233)*43758.5453),1)</x:f>
        <x:v>0.7362746102080564</x:v>
      </x:c>
      <x:c r="E759" s="131" t="n">
        <x:f>MOD(ABS(SIN((A759+4)*12.9898+78.233)*43758.5453),1)</x:f>
        <x:v>0.7286594770739612</x:v>
      </x:c>
      <x:c r="F759" s="131" t="n">
        <x:f>MOD(ABS(SIN((A759+5)*12.9898+78.233)*43758.5453),1)</x:f>
        <x:v>0.7502361703354836</x:v>
      </x:c>
      <x:c r="G759" s="132" t="n">
        <x:f>IF(B759&lt;(('Assumptions'!$C$47-'Assumptions'!$B$47)/('Assumptions'!$D$47-'Assumptions'!$B$47)),'Assumptions'!$B$47+SQRT(B759*('Assumptions'!$D$47-'Assumptions'!$B$47)*('Assumptions'!$C$47-'Assumptions'!$B$47)),'Assumptions'!$D$47-SQRT((1-B759)*('Assumptions'!$D$47-'Assumptions'!$B$47)*('Assumptions'!$D$47-'Assumptions'!$C$47)))</x:f>
        <x:v>0.014513727925500153</x:v>
      </x:c>
      <x:c r="H759" s="132" t="n">
        <x:f>IF(C759&lt;(('Assumptions'!$C$48-'Assumptions'!$B$48)/('Assumptions'!$D$48-'Assumptions'!$B$48)),'Assumptions'!$B$48+SQRT(C759*('Assumptions'!$D$48-'Assumptions'!$B$48)*('Assumptions'!$C$48-'Assumptions'!$B$48)),'Assumptions'!$D$48-SQRT((1-C759)*('Assumptions'!$D$48-'Assumptions'!$B$48)*('Assumptions'!$D$48-'Assumptions'!$C$48)))</x:f>
        <x:v>0.12031030307201421</x:v>
      </x:c>
      <x:c r="I759" s="132" t="n">
        <x:f>IF(D759&lt;(('Assumptions'!$C$49-'Assumptions'!$B$49)/('Assumptions'!$D$49-'Assumptions'!$B$49)),'Assumptions'!$B$49+SQRT(D759*('Assumptions'!$D$49-'Assumptions'!$B$49)*('Assumptions'!$C$49-'Assumptions'!$B$49)),'Assumptions'!$D$49-SQRT((1-D759)*('Assumptions'!$D$49-'Assumptions'!$B$49)*('Assumptions'!$D$49-'Assumptions'!$C$49)))</x:f>
        <x:v>0.07452504773432458</x:v>
      </x:c>
      <x:c r="J759" s="132" t="n">
        <x:f>IF(E759&lt;(('Assumptions'!$C$50-'Assumptions'!$B$50)/('Assumptions'!$D$50-'Assumptions'!$B$50)),'Assumptions'!$B$50+SQRT(E759*('Assumptions'!$D$50-'Assumptions'!$B$50)*('Assumptions'!$C$50-'Assumptions'!$B$50)),'Assumptions'!$D$50-SQRT((1-E759)*('Assumptions'!$D$50-'Assumptions'!$B$50)*('Assumptions'!$D$50-'Assumptions'!$C$50)))</x:f>
        <x:v>0.0712641816598015</x:v>
      </x:c>
      <x:c r="K759" s="132" t="n">
        <x:f>IF(F759&lt;(('Assumptions'!$C$51-'Assumptions'!$B$51)/('Assumptions'!$D$51-'Assumptions'!$B$51)),'Assumptions'!$B$51+SQRT(F759*('Assumptions'!$D$51-'Assumptions'!$B$51)*('Assumptions'!$C$51-'Assumptions'!$B$51)),'Assumptions'!$D$51-SQRT((1-F759)*('Assumptions'!$D$51-'Assumptions'!$B$51)*('Assumptions'!$D$51-'Assumptions'!$C$51)))</x:f>
        <x:v>0.07403647670563662</x:v>
      </x:c>
      <x:c r="L759" s="133" t="n">
        <x:f>(('Assumptions'!$B$17*(1+G759)+'Assumptions'!$B$18)*(1-H759-'Assumptions'!$B$20)-SUM('Assumptions'!$B$21:$B$25)*(1+I759))-(('Assumptions'!$B$17*(1+G759)+'Assumptions'!$B$18)*(1-H759-'Assumptions'!$B$20)*'Assumptions'!$B$26)</x:f>
        <x:v>184565.15634657117</x:v>
      </x:c>
      <x:c r="M759" s="133" t="n">
        <x:f>'Assumptions'!$B$10*'Assumptions'!$B$33</x:f>
        <x:v>1950000</x:v>
      </x:c>
      <x:c r="N759" s="133" t="n">
        <x:f>-PMT(K759/12,'Assumptions'!$B$35*12,M759)*12</x:f>
        <x:v>162075.1054090847</x:v>
      </x:c>
      <x:c r="O759" s="133" t="n">
        <x:f>(L759*(1+'Assumptions'!$B$29)^('Assumptions'!$B$14/12)/J759)*(1-'Assumptions'!$B$42)-'Debt Schedule'!$F$9</x:f>
        <x:v>2822229.9062595298</x:v>
      </x:c>
      <x:c r="P759" s="132" t="n">
        <x:f>((O759+(L759-N759-'Assumptions'!$B$27-'Assumptions'!$B$28)*('Assumptions'!$B$14/12))/ABS('Monthly Cash Flow'!$S$5))^(1/('Assumptions'!$B$14/12))-1</x:f>
        <x:v>0.16134404418223336</x:v>
      </x:c>
      <x:c r="Q759" s="133" t="n">
        <x:f>-ABS('Monthly Cash Flow'!$S$5)+((L759-N759-'Assumptions'!$B$27-'Assumptions'!$B$28)*(1-(1+'Assumptions'!$B$43)^-('Assumptions'!$B$14/12))/'Assumptions'!$B$43)+(O759/(1+'Assumptions'!$B$43)^('Assumptions'!$B$14/12))</x:f>
        <x:v>391506.2441325898</x:v>
      </x:c>
    </x:row>
    <x:row r="760">
      <x:c r="A760" s="131" t="n">
        <x:f>753</x:f>
        <x:v>753</x:v>
      </x:c>
      <x:c r="B760" s="131" t="n">
        <x:f>MOD(ABS(SIN((A760+1)*12.9898+78.233)*43758.5453),1)</x:f>
        <x:v>0.9559449812368257</x:v>
      </x:c>
      <x:c r="C760" s="131" t="n">
        <x:f>MOD(ABS(SIN((A760+2)*12.9898+78.233)*43758.5453),1)</x:f>
        <x:v>0.7362746102080564</x:v>
      </x:c>
      <x:c r="D760" s="131" t="n">
        <x:f>MOD(ABS(SIN((A760+3)*12.9898+78.233)*43758.5453),1)</x:f>
        <x:v>0.7286594770739612</x:v>
      </x:c>
      <x:c r="E760" s="131" t="n">
        <x:f>MOD(ABS(SIN((A760+4)*12.9898+78.233)*43758.5453),1)</x:f>
        <x:v>0.7502361703354836</x:v>
      </x:c>
      <x:c r="F760" s="131" t="n">
        <x:f>MOD(ABS(SIN((A760+5)*12.9898+78.233)*43758.5453),1)</x:f>
        <x:v>0.7740575218795129</x:v>
      </x:c>
      <x:c r="G760" s="132" t="n">
        <x:f>IF(B760&lt;(('Assumptions'!$C$47-'Assumptions'!$B$47)/('Assumptions'!$D$47-'Assumptions'!$B$47)),'Assumptions'!$B$47+SQRT(B760*('Assumptions'!$D$47-'Assumptions'!$B$47)*('Assumptions'!$C$47-'Assumptions'!$B$47)),'Assumptions'!$D$47-SQRT((1-B760)*('Assumptions'!$D$47-'Assumptions'!$B$47)*('Assumptions'!$D$47-'Assumptions'!$C$47)))</x:f>
        <x:v>0.0734504180784181</x:v>
      </x:c>
      <x:c r="H760" s="132" t="n">
        <x:f>IF(C760&lt;(('Assumptions'!$C$48-'Assumptions'!$B$48)/('Assumptions'!$D$48-'Assumptions'!$B$48)),'Assumptions'!$B$48+SQRT(C760*('Assumptions'!$D$48-'Assumptions'!$B$48)*('Assumptions'!$C$48-'Assumptions'!$B$48)),'Assumptions'!$D$48-SQRT((1-C760)*('Assumptions'!$D$48-'Assumptions'!$B$48)*('Assumptions'!$D$48-'Assumptions'!$C$48)))</x:f>
        <x:v>0.09182548982948448</x:v>
      </x:c>
      <x:c r="I760" s="132" t="n">
        <x:f>IF(D760&lt;(('Assumptions'!$C$49-'Assumptions'!$B$49)/('Assumptions'!$D$49-'Assumptions'!$B$49)),'Assumptions'!$B$49+SQRT(D760*('Assumptions'!$D$49-'Assumptions'!$B$49)*('Assumptions'!$C$49-'Assumptions'!$B$49)),'Assumptions'!$D$49-SQRT((1-D760)*('Assumptions'!$D$49-'Assumptions'!$B$49)*('Assumptions'!$D$49-'Assumptions'!$C$49)))</x:f>
        <x:v>0.0734431237888951</x:v>
      </x:c>
      <x:c r="J760" s="132" t="n">
        <x:f>IF(E760&lt;(('Assumptions'!$C$50-'Assumptions'!$B$50)/('Assumptions'!$D$50-'Assumptions'!$B$50)),'Assumptions'!$B$50+SQRT(E760*('Assumptions'!$D$50-'Assumptions'!$B$50)*('Assumptions'!$C$50-'Assumptions'!$B$50)),'Assumptions'!$D$50-SQRT((1-E760)*('Assumptions'!$D$50-'Assumptions'!$B$50)*('Assumptions'!$D$50-'Assumptions'!$C$50)))</x:f>
        <x:v>0.07161870671715008</x:v>
      </x:c>
      <x:c r="K760" s="132" t="n">
        <x:f>IF(F760&lt;(('Assumptions'!$C$51-'Assumptions'!$B$51)/('Assumptions'!$D$51-'Assumptions'!$B$51)),'Assumptions'!$B$51+SQRT(F760*('Assumptions'!$D$51-'Assumptions'!$B$51)*('Assumptions'!$C$51-'Assumptions'!$B$51)),'Assumptions'!$D$51-SQRT((1-F760)*('Assumptions'!$D$51-'Assumptions'!$B$51)*('Assumptions'!$D$51-'Assumptions'!$C$51)))</x:f>
        <x:v>0.07457240115868066</x:v>
      </x:c>
      <x:c r="L760" s="133" t="n">
        <x:f>(('Assumptions'!$B$17*(1+G760)+'Assumptions'!$B$18)*(1-H760-'Assumptions'!$B$20)-SUM('Assumptions'!$B$21:$B$25)*(1+I760))-(('Assumptions'!$B$17*(1+G760)+'Assumptions'!$B$18)*(1-H760-'Assumptions'!$B$20)*'Assumptions'!$B$26)</x:f>
        <x:v>213475.41161063753</x:v>
      </x:c>
      <x:c r="M760" s="133" t="n">
        <x:f>'Assumptions'!$B$10*'Assumptions'!$B$33</x:f>
        <x:v>1950000</x:v>
      </x:c>
      <x:c r="N760" s="133" t="n">
        <x:f>-PMT(K760/12,'Assumptions'!$B$35*12,M760)*12</x:f>
        <x:v>162931.5917173428</x:v>
      </x:c>
      <x:c r="O760" s="133" t="n">
        <x:f>(L760*(1+'Assumptions'!$B$29)^('Assumptions'!$B$14/12)/J760)*(1-'Assumptions'!$B$42)-'Debt Schedule'!$F$9</x:f>
        <x:v>3248144.657074398</x:v>
      </x:c>
      <x:c r="P760" s="132" t="n">
        <x:f>((O760+(L760-N760-'Assumptions'!$B$27-'Assumptions'!$B$28)*('Assumptions'!$B$14/12))/ABS('Monthly Cash Flow'!$S$5))^(1/('Assumptions'!$B$14/12))-1</x:f>
        <x:v>0.205882822748084</x:v>
      </x:c>
      <x:c r="Q760" s="133" t="n">
        <x:f>-ABS('Monthly Cash Flow'!$S$5)+((L760-N760-'Assumptions'!$B$27-'Assumptions'!$B$28)*(1-(1+'Assumptions'!$B$43)^-('Assumptions'!$B$14/12))/'Assumptions'!$B$43)+(O760/(1+'Assumptions'!$B$43)^('Assumptions'!$B$14/12))</x:f>
        <x:v>762311.6509086876</x:v>
      </x:c>
    </x:row>
    <x:row r="761">
      <x:c r="A761" s="131" t="n">
        <x:f>754</x:f>
        <x:v>754</x:v>
      </x:c>
      <x:c r="B761" s="131" t="n">
        <x:f>MOD(ABS(SIN((A761+1)*12.9898+78.233)*43758.5453),1)</x:f>
        <x:v>0.7362746102080564</x:v>
      </x:c>
      <x:c r="C761" s="131" t="n">
        <x:f>MOD(ABS(SIN((A761+2)*12.9898+78.233)*43758.5453),1)</x:f>
        <x:v>0.7286594770739612</x:v>
      </x:c>
      <x:c r="D761" s="131" t="n">
        <x:f>MOD(ABS(SIN((A761+3)*12.9898+78.233)*43758.5453),1)</x:f>
        <x:v>0.7502361703354836</x:v>
      </x:c>
      <x:c r="E761" s="131" t="n">
        <x:f>MOD(ABS(SIN((A761+4)*12.9898+78.233)*43758.5453),1)</x:f>
        <x:v>0.7740575218795129</x:v>
      </x:c>
      <x:c r="F761" s="131" t="n">
        <x:f>MOD(ABS(SIN((A761+5)*12.9898+78.233)*43758.5453),1)</x:f>
        <x:v>0.5334901406204153</x:v>
      </x:c>
      <x:c r="G761" s="132" t="n">
        <x:f>IF(B761&lt;(('Assumptions'!$C$47-'Assumptions'!$B$47)/('Assumptions'!$D$47-'Assumptions'!$B$47)),'Assumptions'!$B$47+SQRT(B761*('Assumptions'!$D$47-'Assumptions'!$B$47)*('Assumptions'!$C$47-'Assumptions'!$B$47)),'Assumptions'!$D$47-SQRT((1-B761)*('Assumptions'!$D$47-'Assumptions'!$B$47)*('Assumptions'!$D$47-'Assumptions'!$C$47)))</x:f>
        <x:v>0.035041503737608753</x:v>
      </x:c>
      <x:c r="H761" s="132" t="n">
        <x:f>IF(C761&lt;(('Assumptions'!$C$48-'Assumptions'!$B$48)/('Assumptions'!$D$48-'Assumptions'!$B$48)),'Assumptions'!$B$48+SQRT(C761*('Assumptions'!$D$48-'Assumptions'!$B$48)*('Assumptions'!$C$48-'Assumptions'!$B$48)),'Assumptions'!$D$48-SQRT((1-C761)*('Assumptions'!$D$48-'Assumptions'!$B$48)*('Assumptions'!$D$48-'Assumptions'!$C$48)))</x:f>
        <x:v>0.09113491428689456</x:v>
      </x:c>
      <x:c r="I761" s="132" t="n">
        <x:f>IF(D761&lt;(('Assumptions'!$C$49-'Assumptions'!$B$49)/('Assumptions'!$D$49-'Assumptions'!$B$49)),'Assumptions'!$B$49+SQRT(D761*('Assumptions'!$D$49-'Assumptions'!$B$49)*('Assumptions'!$C$49-'Assumptions'!$B$49)),'Assumptions'!$D$49-SQRT((1-D761)*('Assumptions'!$D$49-'Assumptions'!$B$49)*('Assumptions'!$D$49-'Assumptions'!$C$49)))</x:f>
        <x:v>0.07655002572666512</x:v>
      </x:c>
      <x:c r="J761" s="132" t="n">
        <x:f>IF(E761&lt;(('Assumptions'!$C$50-'Assumptions'!$B$50)/('Assumptions'!$D$50-'Assumptions'!$B$50)),'Assumptions'!$B$50+SQRT(E761*('Assumptions'!$D$50-'Assumptions'!$B$50)*('Assumptions'!$C$50-'Assumptions'!$B$50)),'Assumptions'!$D$50-SQRT((1-E761)*('Assumptions'!$D$50-'Assumptions'!$B$50)*('Assumptions'!$D$50-'Assumptions'!$C$50)))</x:f>
        <x:v>0.07202840530562504</x:v>
      </x:c>
      <x:c r="K761" s="132" t="n">
        <x:f>IF(F761&lt;(('Assumptions'!$C$51-'Assumptions'!$B$51)/('Assumptions'!$D$51-'Assumptions'!$B$51)),'Assumptions'!$B$51+SQRT(F761*('Assumptions'!$D$51-'Assumptions'!$B$51)*('Assumptions'!$C$51-'Assumptions'!$B$51)),'Assumptions'!$D$51-SQRT((1-F761)*('Assumptions'!$D$51-'Assumptions'!$B$51)*('Assumptions'!$D$51-'Assumptions'!$C$51)))</x:f>
        <x:v>0.07001641331902055</x:v>
      </x:c>
      <x:c r="L761" s="133" t="n">
        <x:f>(('Assumptions'!$B$17*(1+G761)+'Assumptions'!$B$18)*(1-H761-'Assumptions'!$B$20)-SUM('Assumptions'!$B$21:$B$25)*(1+I761))-(('Assumptions'!$B$17*(1+G761)+'Assumptions'!$B$18)*(1-H761-'Assumptions'!$B$20)*'Assumptions'!$B$26)</x:f>
        <x:v>201420.42418248282</x:v>
      </x:c>
      <x:c r="M761" s="133" t="n">
        <x:f>'Assumptions'!$B$10*'Assumptions'!$B$33</x:f>
        <x:v>1950000</x:v>
      </x:c>
      <x:c r="N761" s="133" t="n">
        <x:f>-PMT(K761/12,'Assumptions'!$B$35*12,M761)*12</x:f>
        <x:v>155706.57884948843</x:v>
      </x:c>
      <x:c r="O761" s="133" t="n">
        <x:f>(L761*(1+'Assumptions'!$B$29)^('Assumptions'!$B$14/12)/J761)*(1-'Assumptions'!$B$42)-'Debt Schedule'!$F$9</x:f>
        <x:v>3047289.2785919323</x:v>
      </x:c>
      <x:c r="P761" s="132" t="n">
        <x:f>((O761+(L761-N761-'Assumptions'!$B$27-'Assumptions'!$B$28)*('Assumptions'!$B$14/12))/ABS('Monthly Cash Flow'!$S$5))^(1/('Assumptions'!$B$14/12))-1</x:f>
        <x:v>0.1889753742200062</x:v>
      </x:c>
      <x:c r="Q761" s="133" t="n">
        <x:f>-ABS('Monthly Cash Flow'!$S$5)+((L761-N761-'Assumptions'!$B$27-'Assumptions'!$B$28)*(1-(1+'Assumptions'!$B$43)^-('Assumptions'!$B$14/12))/'Assumptions'!$B$43)+(O761/(1+'Assumptions'!$B$43)^('Assumptions'!$B$14/12))</x:f>
        <x:v>619286.8598980417</x:v>
      </x:c>
    </x:row>
    <x:row r="762">
      <x:c r="A762" s="131" t="n">
        <x:f>755</x:f>
        <x:v>755</x:v>
      </x:c>
      <x:c r="B762" s="131" t="n">
        <x:f>MOD(ABS(SIN((A762+1)*12.9898+78.233)*43758.5453),1)</x:f>
        <x:v>0.7286594770739612</x:v>
      </x:c>
      <x:c r="C762" s="131" t="n">
        <x:f>MOD(ABS(SIN((A762+2)*12.9898+78.233)*43758.5453),1)</x:f>
        <x:v>0.7502361703354836</x:v>
      </x:c>
      <x:c r="D762" s="131" t="n">
        <x:f>MOD(ABS(SIN((A762+3)*12.9898+78.233)*43758.5453),1)</x:f>
        <x:v>0.7740575218795129</x:v>
      </x:c>
      <x:c r="E762" s="131" t="n">
        <x:f>MOD(ABS(SIN((A762+4)*12.9898+78.233)*43758.5453),1)</x:f>
        <x:v>0.5334901406204153</x:v>
      </x:c>
      <x:c r="F762" s="131" t="n">
        <x:f>MOD(ABS(SIN((A762+5)*12.9898+78.233)*43758.5453),1)</x:f>
        <x:v>0.07932364509179024</x:v>
      </x:c>
      <x:c r="G762" s="132" t="n">
        <x:f>IF(B762&lt;(('Assumptions'!$C$47-'Assumptions'!$B$47)/('Assumptions'!$D$47-'Assumptions'!$B$47)),'Assumptions'!$B$47+SQRT(B762*('Assumptions'!$D$47-'Assumptions'!$B$47)*('Assumptions'!$C$47-'Assumptions'!$B$47)),'Assumptions'!$D$47-SQRT((1-B762)*('Assumptions'!$D$47-'Assumptions'!$B$47)*('Assumptions'!$D$47-'Assumptions'!$C$47)))</x:f>
        <x:v>0.03411033186593955</x:v>
      </x:c>
      <x:c r="H762" s="132" t="n">
        <x:f>IF(C762&lt;(('Assumptions'!$C$48-'Assumptions'!$B$48)/('Assumptions'!$D$48-'Assumptions'!$B$48)),'Assumptions'!$B$48+SQRT(C762*('Assumptions'!$D$48-'Assumptions'!$B$48)*('Assumptions'!$C$48-'Assumptions'!$B$48)),'Assumptions'!$D$48-SQRT((1-C762)*('Assumptions'!$D$48-'Assumptions'!$B$48)*('Assumptions'!$D$48-'Assumptions'!$C$48)))</x:f>
        <x:v>0.09311800237780238</x:v>
      </x:c>
      <x:c r="I762" s="132" t="n">
        <x:f>IF(D762&lt;(('Assumptions'!$C$49-'Assumptions'!$B$49)/('Assumptions'!$D$49-'Assumptions'!$B$49)),'Assumptions'!$B$49+SQRT(D762*('Assumptions'!$D$49-'Assumptions'!$B$49)*('Assumptions'!$C$49-'Assumptions'!$B$49)),'Assumptions'!$D$49-SQRT((1-D762)*('Assumptions'!$D$49-'Assumptions'!$B$49)*('Assumptions'!$D$49-'Assumptions'!$C$49)))</x:f>
        <x:v>0.08014044426563735</x:v>
      </x:c>
      <x:c r="J762" s="132" t="n">
        <x:f>IF(E762&lt;(('Assumptions'!$C$50-'Assumptions'!$B$50)/('Assumptions'!$D$50-'Assumptions'!$B$50)),'Assumptions'!$B$50+SQRT(E762*('Assumptions'!$D$50-'Assumptions'!$B$50)*('Assumptions'!$C$50-'Assumptions'!$B$50)),'Assumptions'!$D$50-SQRT((1-E762)*('Assumptions'!$D$50-'Assumptions'!$B$50)*('Assumptions'!$D$50-'Assumptions'!$C$50)))</x:f>
        <x:v>0.06854548569556491</x:v>
      </x:c>
      <x:c r="K762" s="132" t="n">
        <x:f>IF(F762&lt;(('Assumptions'!$C$51-'Assumptions'!$B$51)/('Assumptions'!$D$51-'Assumptions'!$B$51)),'Assumptions'!$B$51+SQRT(F762*('Assumptions'!$D$51-'Assumptions'!$B$51)*('Assumptions'!$C$51-'Assumptions'!$B$51)),'Assumptions'!$D$51-SQRT((1-F762)*('Assumptions'!$D$51-'Assumptions'!$B$51)*('Assumptions'!$D$51-'Assumptions'!$C$51)))</x:f>
        <x:v>0.06217054626358014</x:v>
      </x:c>
      <x:c r="L762" s="133" t="n">
        <x:f>(('Assumptions'!$B$17*(1+G762)+'Assumptions'!$B$18)*(1-H762-'Assumptions'!$B$20)-SUM('Assumptions'!$B$21:$B$25)*(1+I762))-(('Assumptions'!$B$17*(1+G762)+'Assumptions'!$B$18)*(1-H762-'Assumptions'!$B$20)*'Assumptions'!$B$26)</x:f>
        <x:v>199935.7642765234</x:v>
      </x:c>
      <x:c r="M762" s="133" t="n">
        <x:f>'Assumptions'!$B$10*'Assumptions'!$B$33</x:f>
        <x:v>1950000</x:v>
      </x:c>
      <x:c r="N762" s="133" t="n">
        <x:f>-PMT(K762/12,'Assumptions'!$B$35*12,M762)*12</x:f>
        <x:v>143576.80549049194</x:v>
      </x:c>
      <x:c r="O762" s="133" t="n">
        <x:f>(L762*(1+'Assumptions'!$B$29)^('Assumptions'!$B$14/12)/J762)*(1-'Assumptions'!$B$42)-'Debt Schedule'!$F$9</x:f>
        <x:v>3178524.813956624</x:v>
      </x:c>
      <x:c r="P762" s="132" t="n">
        <x:f>((O762+(L762-N762-'Assumptions'!$B$27-'Assumptions'!$B$28)*('Assumptions'!$B$14/12))/ABS('Monthly Cash Flow'!$S$5))^(1/('Assumptions'!$B$14/12))-1</x:f>
        <x:v>0.20290581471314684</x:v>
      </x:c>
      <x:c r="Q762" s="133" t="n">
        <x:f>-ABS('Monthly Cash Flow'!$S$5)+((L762-N762-'Assumptions'!$B$27-'Assumptions'!$B$28)*(1-(1+'Assumptions'!$B$43)^-('Assumptions'!$B$14/12))/'Assumptions'!$B$43)+(O762/(1+'Assumptions'!$B$43)^('Assumptions'!$B$14/12))</x:f>
        <x:v>741127.1573856873</x:v>
      </x:c>
    </x:row>
    <x:row r="763">
      <x:c r="A763" s="131" t="n">
        <x:f>756</x:f>
        <x:v>756</x:v>
      </x:c>
      <x:c r="B763" s="131" t="n">
        <x:f>MOD(ABS(SIN((A763+1)*12.9898+78.233)*43758.5453),1)</x:f>
        <x:v>0.7502361703354836</x:v>
      </x:c>
      <x:c r="C763" s="131" t="n">
        <x:f>MOD(ABS(SIN((A763+2)*12.9898+78.233)*43758.5453),1)</x:f>
        <x:v>0.7740575218795129</x:v>
      </x:c>
      <x:c r="D763" s="131" t="n">
        <x:f>MOD(ABS(SIN((A763+3)*12.9898+78.233)*43758.5453),1)</x:f>
        <x:v>0.5334901406204153</x:v>
      </x:c>
      <x:c r="E763" s="131" t="n">
        <x:f>MOD(ABS(SIN((A763+4)*12.9898+78.233)*43758.5453),1)</x:f>
        <x:v>0.07932364509179024</x:v>
      </x:c>
      <x:c r="F763" s="131" t="n">
        <x:f>MOD(ABS(SIN((A763+5)*12.9898+78.233)*43758.5453),1)</x:f>
        <x:v>0.2575429344215081</x:v>
      </x:c>
      <x:c r="G763" s="132" t="n">
        <x:f>IF(B763&lt;(('Assumptions'!$C$47-'Assumptions'!$B$47)/('Assumptions'!$D$47-'Assumptions'!$B$47)),'Assumptions'!$B$47+SQRT(B763*('Assumptions'!$D$47-'Assumptions'!$B$47)*('Assumptions'!$C$47-'Assumptions'!$B$47)),'Assumptions'!$D$47-SQRT((1-B763)*('Assumptions'!$D$47-'Assumptions'!$B$47)*('Assumptions'!$D$47-'Assumptions'!$C$47)))</x:f>
        <x:v>0.03678432730222464</x:v>
      </x:c>
      <x:c r="H763" s="132" t="n">
        <x:f>IF(C763&lt;(('Assumptions'!$C$48-'Assumptions'!$B$48)/('Assumptions'!$D$48-'Assumptions'!$B$48)),'Assumptions'!$B$48+SQRT(C763*('Assumptions'!$D$48-'Assumptions'!$B$48)*('Assumptions'!$C$48-'Assumptions'!$B$48)),'Assumptions'!$D$48-SQRT((1-C763)*('Assumptions'!$D$48-'Assumptions'!$B$48)*('Assumptions'!$D$48-'Assumptions'!$C$48)))</x:f>
        <x:v>0.09540971173607099</x:v>
      </x:c>
      <x:c r="I763" s="132" t="n">
        <x:f>IF(D763&lt;(('Assumptions'!$C$49-'Assumptions'!$B$49)/('Assumptions'!$D$49-'Assumptions'!$B$49)),'Assumptions'!$B$49+SQRT(D763*('Assumptions'!$D$49-'Assumptions'!$B$49)*('Assumptions'!$C$49-'Assumptions'!$B$49)),'Assumptions'!$D$49-SQRT((1-D763)*('Assumptions'!$D$49-'Assumptions'!$B$49)*('Assumptions'!$D$49-'Assumptions'!$C$49)))</x:f>
        <x:v>0.04961766608312482</x:v>
      </x:c>
      <x:c r="J763" s="132" t="n">
        <x:f>IF(E763&lt;(('Assumptions'!$C$50-'Assumptions'!$B$50)/('Assumptions'!$D$50-'Assumptions'!$B$50)),'Assumptions'!$B$50+SQRT(E763*('Assumptions'!$D$50-'Assumptions'!$B$50)*('Assumptions'!$C$50-'Assumptions'!$B$50)),'Assumptions'!$D$50-SQRT((1-E763)*('Assumptions'!$D$50-'Assumptions'!$B$50)*('Assumptions'!$D$50-'Assumptions'!$C$50)))</x:f>
        <x:v>0.061724668051534086</x:v>
      </x:c>
      <x:c r="K763" s="132" t="n">
        <x:f>IF(F763&lt;(('Assumptions'!$C$51-'Assumptions'!$B$51)/('Assumptions'!$D$51-'Assumptions'!$B$51)),'Assumptions'!$B$51+SQRT(F763*('Assumptions'!$D$51-'Assumptions'!$B$51)*('Assumptions'!$C$51-'Assumptions'!$B$51)),'Assumptions'!$D$51-SQRT((1-F763)*('Assumptions'!$D$51-'Assumptions'!$B$51)*('Assumptions'!$D$51-'Assumptions'!$C$51)))</x:f>
        <x:v>0.06591571785208575</x:v>
      </x:c>
      <x:c r="L763" s="133" t="n">
        <x:f>(('Assumptions'!$B$17*(1+G763)+'Assumptions'!$B$18)*(1-H763-'Assumptions'!$B$20)-SUM('Assumptions'!$B$21:$B$25)*(1+I763))-(('Assumptions'!$B$17*(1+G763)+'Assumptions'!$B$18)*(1-H763-'Assumptions'!$B$20)*'Assumptions'!$B$26)</x:f>
        <x:v>203749.7231978074</x:v>
      </x:c>
      <x:c r="M763" s="133" t="n">
        <x:f>'Assumptions'!$B$10*'Assumptions'!$B$33</x:f>
        <x:v>1950000</x:v>
      </x:c>
      <x:c r="N763" s="133" t="n">
        <x:f>-PMT(K763/12,'Assumptions'!$B$35*12,M763)*12</x:f>
        <x:v>149315.92245298342</x:v>
      </x:c>
      <x:c r="O763" s="133" t="n">
        <x:f>(L763*(1+'Assumptions'!$B$29)^('Assumptions'!$B$14/12)/J763)*(1-'Assumptions'!$B$42)-'Debt Schedule'!$F$9</x:f>
        <x:v>3597097.7641986688</x:v>
      </x:c>
      <x:c r="P763" s="132" t="n">
        <x:f>((O763+(L763-N763-'Assumptions'!$B$27-'Assumptions'!$B$28)*('Assumptions'!$B$14/12))/ABS('Monthly Cash Flow'!$S$5))^(1/('Assumptions'!$B$14/12))-1</x:f>
        <x:v>0.23167307196069364</x:v>
      </x:c>
      <x:c r="Q763" s="133" t="n">
        <x:f>-ABS('Monthly Cash Flow'!$S$5)+((L763-N763-'Assumptions'!$B$27-'Assumptions'!$B$28)*(1-(1+'Assumptions'!$B$43)^-('Assumptions'!$B$14/12))/'Assumptions'!$B$43)+(O763/(1+'Assumptions'!$B$43)^('Assumptions'!$B$14/12))</x:f>
        <x:v>993730.1638151226</x:v>
      </x:c>
    </x:row>
    <x:row r="764">
      <x:c r="A764" s="131" t="n">
        <x:f>757</x:f>
        <x:v>757</x:v>
      </x:c>
      <x:c r="B764" s="131" t="n">
        <x:f>MOD(ABS(SIN((A764+1)*12.9898+78.233)*43758.5453),1)</x:f>
        <x:v>0.7740575218795129</x:v>
      </x:c>
      <x:c r="C764" s="131" t="n">
        <x:f>MOD(ABS(SIN((A764+2)*12.9898+78.233)*43758.5453),1)</x:f>
        <x:v>0.5334901406204153</x:v>
      </x:c>
      <x:c r="D764" s="131" t="n">
        <x:f>MOD(ABS(SIN((A764+3)*12.9898+78.233)*43758.5453),1)</x:f>
        <x:v>0.07932364509179024</x:v>
      </x:c>
      <x:c r="E764" s="131" t="n">
        <x:f>MOD(ABS(SIN((A764+4)*12.9898+78.233)*43758.5453),1)</x:f>
        <x:v>0.2575429344215081</x:v>
      </x:c>
      <x:c r="F764" s="131" t="n">
        <x:f>MOD(ABS(SIN((A764+5)*12.9898+78.233)*43758.5453),1)</x:f>
        <x:v>0.8728222574063693</x:v>
      </x:c>
      <x:c r="G764" s="132" t="n">
        <x:f>IF(B764&lt;(('Assumptions'!$C$47-'Assumptions'!$B$47)/('Assumptions'!$D$47-'Assumptions'!$B$47)),'Assumptions'!$B$47+SQRT(B764*('Assumptions'!$D$47-'Assumptions'!$B$47)*('Assumptions'!$C$47-'Assumptions'!$B$47)),'Assumptions'!$D$47-SQRT((1-B764)*('Assumptions'!$D$47-'Assumptions'!$B$47)*('Assumptions'!$D$47-'Assumptions'!$C$47)))</x:f>
        <x:v>0.03987446757052548</x:v>
      </x:c>
      <x:c r="H764" s="132" t="n">
        <x:f>IF(C764&lt;(('Assumptions'!$C$48-'Assumptions'!$B$48)/('Assumptions'!$D$48-'Assumptions'!$B$48)),'Assumptions'!$B$48+SQRT(C764*('Assumptions'!$D$48-'Assumptions'!$B$48)*('Assumptions'!$C$48-'Assumptions'!$B$48)),'Assumptions'!$D$48-SQRT((1-C764)*('Assumptions'!$D$48-'Assumptions'!$B$48)*('Assumptions'!$D$48-'Assumptions'!$C$48)))</x:f>
        <x:v>0.07592748824542349</x:v>
      </x:c>
      <x:c r="I764" s="132" t="n">
        <x:f>IF(D764&lt;(('Assumptions'!$C$49-'Assumptions'!$B$49)/('Assumptions'!$D$49-'Assumptions'!$B$49)),'Assumptions'!$B$49+SQRT(D764*('Assumptions'!$D$49-'Assumptions'!$B$49)*('Assumptions'!$C$49-'Assumptions'!$B$49)),'Assumptions'!$D$49-SQRT((1-D764)*('Assumptions'!$D$49-'Assumptions'!$B$49)*('Assumptions'!$D$49-'Assumptions'!$C$49)))</x:f>
        <x:v>-0.000730641158519809</x:v>
      </x:c>
      <x:c r="J764" s="132" t="n">
        <x:f>IF(E764&lt;(('Assumptions'!$C$50-'Assumptions'!$B$50)/('Assumptions'!$D$50-'Assumptions'!$B$50)),'Assumptions'!$B$50+SQRT(E764*('Assumptions'!$D$50-'Assumptions'!$B$50)*('Assumptions'!$C$50-'Assumptions'!$B$50)),'Assumptions'!$D$50-SQRT((1-E764)*('Assumptions'!$D$50-'Assumptions'!$B$50)*('Assumptions'!$D$50-'Assumptions'!$C$50)))</x:f>
        <x:v>0.06511230321550839</x:v>
      </x:c>
      <x:c r="K764" s="132" t="n">
        <x:f>IF(F764&lt;(('Assumptions'!$C$51-'Assumptions'!$B$51)/('Assumptions'!$D$51-'Assumptions'!$B$51)),'Assumptions'!$B$51+SQRT(F764*('Assumptions'!$D$51-'Assumptions'!$B$51)*('Assumptions'!$C$51-'Assumptions'!$B$51)),'Assumptions'!$D$51-SQRT((1-F764)*('Assumptions'!$D$51-'Assumptions'!$B$51)*('Assumptions'!$D$51-'Assumptions'!$C$51)))</x:f>
        <x:v>0.07717668301657253</x:v>
      </x:c>
      <x:c r="L764" s="133" t="n">
        <x:f>(('Assumptions'!$B$17*(1+G764)+'Assumptions'!$B$18)*(1-H764-'Assumptions'!$B$20)-SUM('Assumptions'!$B$21:$B$25)*(1+I764))-(('Assumptions'!$B$17*(1+G764)+'Assumptions'!$B$18)*(1-H764-'Assumptions'!$B$20)*'Assumptions'!$B$26)</x:f>
        <x:v>218387.1761251484</x:v>
      </x:c>
      <x:c r="M764" s="133" t="n">
        <x:f>'Assumptions'!$B$10*'Assumptions'!$B$33</x:f>
        <x:v>1950000</x:v>
      </x:c>
      <x:c r="N764" s="133" t="n">
        <x:f>-PMT(K764/12,'Assumptions'!$B$35*12,M764)*12</x:f>
        <x:v>167117.9584935178</x:v>
      </x:c>
      <x:c r="O764" s="133" t="n">
        <x:f>(L764*(1+'Assumptions'!$B$29)^('Assumptions'!$B$14/12)/J764)*(1-'Assumptions'!$B$42)-'Debt Schedule'!$F$9</x:f>
        <x:v>3654921.484919953</x:v>
      </x:c>
      <x:c r="P764" s="132" t="n">
        <x:f>((O764+(L764-N764-'Assumptions'!$B$27-'Assumptions'!$B$28)*('Assumptions'!$B$14/12))/ABS('Monthly Cash Flow'!$S$5))^(1/('Assumptions'!$B$14/12))-1</x:f>
        <x:v>0.23447995507837516</x:v>
      </x:c>
      <x:c r="Q764" s="133" t="n">
        <x:f>-ABS('Monthly Cash Flow'!$S$5)+((L764-N764-'Assumptions'!$B$27-'Assumptions'!$B$28)*(1-(1+'Assumptions'!$B$43)^-('Assumptions'!$B$14/12))/'Assumptions'!$B$43)+(O764/(1+'Assumptions'!$B$43)^('Assumptions'!$B$14/12))</x:f>
        <x:v>1017637.8851933985</x:v>
      </x:c>
    </x:row>
    <x:row r="765">
      <x:c r="A765" s="131" t="n">
        <x:f>758</x:f>
        <x:v>758</x:v>
      </x:c>
      <x:c r="B765" s="131" t="n">
        <x:f>MOD(ABS(SIN((A765+1)*12.9898+78.233)*43758.5453),1)</x:f>
        <x:v>0.5334901406204153</x:v>
      </x:c>
      <x:c r="C765" s="131" t="n">
        <x:f>MOD(ABS(SIN((A765+2)*12.9898+78.233)*43758.5453),1)</x:f>
        <x:v>0.07932364509179024</x:v>
      </x:c>
      <x:c r="D765" s="131" t="n">
        <x:f>MOD(ABS(SIN((A765+3)*12.9898+78.233)*43758.5453),1)</x:f>
        <x:v>0.2575429344215081</x:v>
      </x:c>
      <x:c r="E765" s="131" t="n">
        <x:f>MOD(ABS(SIN((A765+4)*12.9898+78.233)*43758.5453),1)</x:f>
        <x:v>0.8728222574063693</x:v>
      </x:c>
      <x:c r="F765" s="131" t="n">
        <x:f>MOD(ABS(SIN((A765+5)*12.9898+78.233)*43758.5453),1)</x:f>
        <x:v>0.3472073570737848</x:v>
      </x:c>
      <x:c r="G765" s="132" t="n">
        <x:f>IF(B765&lt;(('Assumptions'!$C$47-'Assumptions'!$B$47)/('Assumptions'!$D$47-'Assumptions'!$B$47)),'Assumptions'!$B$47+SQRT(B765*('Assumptions'!$D$47-'Assumptions'!$B$47)*('Assumptions'!$C$47-'Assumptions'!$B$47)),'Assumptions'!$D$47-SQRT((1-B765)*('Assumptions'!$D$47-'Assumptions'!$B$47)*('Assumptions'!$D$47-'Assumptions'!$C$47)))</x:f>
        <x:v>0.013153715691929316</x:v>
      </x:c>
      <x:c r="H765" s="132" t="n">
        <x:f>IF(C765&lt;(('Assumptions'!$C$48-'Assumptions'!$B$48)/('Assumptions'!$D$48-'Assumptions'!$B$48)),'Assumptions'!$B$48+SQRT(C765*('Assumptions'!$D$48-'Assumptions'!$B$48)*('Assumptions'!$C$48-'Assumptions'!$B$48)),'Assumptions'!$D$48-SQRT((1-C765)*('Assumptions'!$D$48-'Assumptions'!$B$48)*('Assumptions'!$D$48-'Assumptions'!$C$48)))</x:f>
        <x:v>0.046179246855243536</x:v>
      </x:c>
      <x:c r="I765" s="132" t="n">
        <x:f>IF(D765&lt;(('Assumptions'!$C$49-'Assumptions'!$B$49)/('Assumptions'!$D$49-'Assumptions'!$B$49)),'Assumptions'!$B$49+SQRT(D765*('Assumptions'!$D$49-'Assumptions'!$B$49)*('Assumptions'!$C$49-'Assumptions'!$B$49)),'Assumptions'!$D$49-SQRT((1-D765)*('Assumptions'!$D$49-'Assumptions'!$B$49)*('Assumptions'!$D$49-'Assumptions'!$C$49)))</x:f>
        <x:v>0.02273958372752185</x:v>
      </x:c>
      <x:c r="J765" s="132" t="n">
        <x:f>IF(E765&lt;(('Assumptions'!$C$50-'Assumptions'!$B$50)/('Assumptions'!$D$50-'Assumptions'!$B$50)),'Assumptions'!$B$50+SQRT(E765*('Assumptions'!$D$50-'Assumptions'!$B$50)*('Assumptions'!$C$50-'Assumptions'!$B$50)),'Assumptions'!$D$50-SQRT((1-E765)*('Assumptions'!$D$50-'Assumptions'!$B$50)*('Assumptions'!$D$50-'Assumptions'!$C$50)))</x:f>
        <x:v>0.07401930270750487</x:v>
      </x:c>
      <x:c r="K765" s="132" t="n">
        <x:f>IF(F765&lt;(('Assumptions'!$C$51-'Assumptions'!$B$51)/('Assumptions'!$D$51-'Assumptions'!$B$51)),'Assumptions'!$B$51+SQRT(F765*('Assumptions'!$D$51-'Assumptions'!$B$51)*('Assumptions'!$C$51-'Assumptions'!$B$51)),'Assumptions'!$D$51-SQRT((1-F765)*('Assumptions'!$D$51-'Assumptions'!$B$51)*('Assumptions'!$D$51-'Assumptions'!$C$51)))</x:f>
        <x:v>0.06727149032621385</x:v>
      </x:c>
      <x:c r="L765" s="133" t="n">
        <x:f>(('Assumptions'!$B$17*(1+G765)+'Assumptions'!$B$18)*(1-H765-'Assumptions'!$B$20)-SUM('Assumptions'!$B$21:$B$25)*(1+I765))-(('Assumptions'!$B$17*(1+G765)+'Assumptions'!$B$18)*(1-H765-'Assumptions'!$B$20)*'Assumptions'!$B$26)</x:f>
        <x:v>217919.02490001</x:v>
      </x:c>
      <x:c r="M765" s="133" t="n">
        <x:f>'Assumptions'!$B$10*'Assumptions'!$B$33</x:f>
        <x:v>1950000</x:v>
      </x:c>
      <x:c r="N765" s="133" t="n">
        <x:f>-PMT(K765/12,'Assumptions'!$B$35*12,M765)*12</x:f>
        <x:v>151416.68971877464</x:v>
      </x:c>
      <x:c r="O765" s="133" t="n">
        <x:f>(L765*(1+'Assumptions'!$B$29)^('Assumptions'!$B$14/12)/J765)*(1-'Assumptions'!$B$42)-'Debt Schedule'!$F$9</x:f>
        <x:v>3208219.945679675</x:v>
      </x:c>
      <x:c r="P765" s="132" t="n">
        <x:f>((O765+(L765-N765-'Assumptions'!$B$27-'Assumptions'!$B$28)*('Assumptions'!$B$14/12))/ABS('Monthly Cash Flow'!$S$5))^(1/('Assumptions'!$B$14/12))-1</x:f>
        <x:v>0.20878178383278745</x:v>
      </x:c>
      <x:c r="Q765" s="133" t="n">
        <x:f>-ABS('Monthly Cash Flow'!$S$5)+((L765-N765-'Assumptions'!$B$27-'Assumptions'!$B$28)*(1-(1+'Assumptions'!$B$43)^-('Assumptions'!$B$14/12))/'Assumptions'!$B$43)+(O765/(1+'Assumptions'!$B$43)^('Assumptions'!$B$14/12))</x:f>
        <x:v>798016.8748996491</x:v>
      </x:c>
    </x:row>
    <x:row r="766">
      <x:c r="A766" s="131" t="n">
        <x:f>759</x:f>
        <x:v>759</x:v>
      </x:c>
      <x:c r="B766" s="131" t="n">
        <x:f>MOD(ABS(SIN((A766+1)*12.9898+78.233)*43758.5453),1)</x:f>
        <x:v>0.07932364509179024</x:v>
      </x:c>
      <x:c r="C766" s="131" t="n">
        <x:f>MOD(ABS(SIN((A766+2)*12.9898+78.233)*43758.5453),1)</x:f>
        <x:v>0.2575429344215081</x:v>
      </x:c>
      <x:c r="D766" s="131" t="n">
        <x:f>MOD(ABS(SIN((A766+3)*12.9898+78.233)*43758.5453),1)</x:f>
        <x:v>0.8728222574063693</x:v>
      </x:c>
      <x:c r="E766" s="131" t="n">
        <x:f>MOD(ABS(SIN((A766+4)*12.9898+78.233)*43758.5453),1)</x:f>
        <x:v>0.3472073570737848</x:v>
      </x:c>
      <x:c r="F766" s="131" t="n">
        <x:f>MOD(ABS(SIN((A766+5)*12.9898+78.233)*43758.5453),1)</x:f>
        <x:v>0.23014182792394422</x:v>
      </x:c>
      <x:c r="G766" s="132" t="n">
        <x:f>IF(B766&lt;(('Assumptions'!$C$47-'Assumptions'!$B$47)/('Assumptions'!$D$47-'Assumptions'!$B$47)),'Assumptions'!$B$47+SQRT(B766*('Assumptions'!$D$47-'Assumptions'!$B$47)*('Assumptions'!$C$47-'Assumptions'!$B$47)),'Assumptions'!$D$47-SQRT((1-B766)*('Assumptions'!$D$47-'Assumptions'!$B$47)*('Assumptions'!$D$47-'Assumptions'!$C$47)))</x:f>
        <x:v>-0.056367815981743875</x:v>
      </x:c>
      <x:c r="H766" s="132" t="n">
        <x:f>IF(C766&lt;(('Assumptions'!$C$48-'Assumptions'!$B$48)/('Assumptions'!$D$48-'Assumptions'!$B$48)),'Assumptions'!$B$48+SQRT(C766*('Assumptions'!$D$48-'Assumptions'!$B$48)*('Assumptions'!$C$48-'Assumptions'!$B$48)),'Assumptions'!$D$48-SQRT((1-C766)*('Assumptions'!$D$48-'Assumptions'!$B$48)*('Assumptions'!$D$48-'Assumptions'!$C$48)))</x:f>
        <x:v>0.05915290180395387</x:v>
      </x:c>
      <x:c r="I766" s="132" t="n">
        <x:f>IF(D766&lt;(('Assumptions'!$C$49-'Assumptions'!$B$49)/('Assumptions'!$D$49-'Assumptions'!$B$49)),'Assumptions'!$B$49+SQRT(D766*('Assumptions'!$D$49-'Assumptions'!$B$49)*('Assumptions'!$C$49-'Assumptions'!$B$49)),'Assumptions'!$D$49-SQRT((1-D766)*('Assumptions'!$D$49-'Assumptions'!$B$49)*('Assumptions'!$D$49-'Assumptions'!$C$49)))</x:f>
        <x:v>0.09758779493264547</x:v>
      </x:c>
      <x:c r="J766" s="132" t="n">
        <x:f>IF(E766&lt;(('Assumptions'!$C$50-'Assumptions'!$B$50)/('Assumptions'!$D$50-'Assumptions'!$B$50)),'Assumptions'!$B$50+SQRT(E766*('Assumptions'!$D$50-'Assumptions'!$B$50)*('Assumptions'!$C$50-'Assumptions'!$B$50)),'Assumptions'!$D$50-SQRT((1-E766)*('Assumptions'!$D$50-'Assumptions'!$B$50)*('Assumptions'!$D$50-'Assumptions'!$C$50)))</x:f>
        <x:v>0.06633864556035604</x:v>
      </x:c>
      <x:c r="K766" s="132" t="n">
        <x:f>IF(F766&lt;(('Assumptions'!$C$51-'Assumptions'!$B$51)/('Assumptions'!$D$51-'Assumptions'!$B$51)),'Assumptions'!$B$51+SQRT(F766*('Assumptions'!$D$51-'Assumptions'!$B$51)*('Assumptions'!$C$51-'Assumptions'!$B$51)),'Assumptions'!$D$51-SQRT((1-F766)*('Assumptions'!$D$51-'Assumptions'!$B$51)*('Assumptions'!$D$51-'Assumptions'!$C$51)))</x:f>
        <x:v>0.06545543855982086</x:v>
      </x:c>
      <x:c r="L766" s="133" t="n">
        <x:f>(('Assumptions'!$B$17*(1+G766)+'Assumptions'!$B$18)*(1-H766-'Assumptions'!$B$20)-SUM('Assumptions'!$B$21:$B$25)*(1+I766))-(('Assumptions'!$B$17*(1+G766)+'Assumptions'!$B$18)*(1-H766-'Assumptions'!$B$20)*'Assumptions'!$B$26)</x:f>
        <x:v>181356.16375240698</x:v>
      </x:c>
      <x:c r="M766" s="133" t="n">
        <x:f>'Assumptions'!$B$10*'Assumptions'!$B$33</x:f>
        <x:v>1950000</x:v>
      </x:c>
      <x:c r="N766" s="133" t="n">
        <x:f>-PMT(K766/12,'Assumptions'!$B$35*12,M766)*12</x:f>
        <x:v>148605.4879512951</x:v>
      </x:c>
      <x:c r="O766" s="133" t="n">
        <x:f>(L766*(1+'Assumptions'!$B$29)^('Assumptions'!$B$14/12)/J766)*(1-'Assumptions'!$B$42)-'Debt Schedule'!$F$9</x:f>
        <x:v>2979063.0672690794</x:v>
      </x:c>
      <x:c r="P766" s="132" t="n">
        <x:f>((O766+(L766-N766-'Assumptions'!$B$27-'Assumptions'!$B$28)*('Assumptions'!$B$14/12))/ABS('Monthly Cash Flow'!$S$5))^(1/('Assumptions'!$B$14/12))-1</x:f>
        <x:v>0.1785071559984348</x:v>
      </x:c>
      <x:c r="Q766" s="133" t="n">
        <x:f>-ABS('Monthly Cash Flow'!$S$5)+((L766-N766-'Assumptions'!$B$27-'Assumptions'!$B$28)*(1-(1+'Assumptions'!$B$43)^-('Assumptions'!$B$14/12))/'Assumptions'!$B$43)+(O766/(1+'Assumptions'!$B$43)^('Assumptions'!$B$14/12))</x:f>
        <x:v>527783.1389450834</x:v>
      </x:c>
    </x:row>
    <x:row r="767">
      <x:c r="A767" s="131" t="n">
        <x:f>760</x:f>
        <x:v>760</x:v>
      </x:c>
      <x:c r="B767" s="131" t="n">
        <x:f>MOD(ABS(SIN((A767+1)*12.9898+78.233)*43758.5453),1)</x:f>
        <x:v>0.2575429344215081</x:v>
      </x:c>
      <x:c r="C767" s="131" t="n">
        <x:f>MOD(ABS(SIN((A767+2)*12.9898+78.233)*43758.5453),1)</x:f>
        <x:v>0.8728222574063693</x:v>
      </x:c>
      <x:c r="D767" s="131" t="n">
        <x:f>MOD(ABS(SIN((A767+3)*12.9898+78.233)*43758.5453),1)</x:f>
        <x:v>0.3472073570737848</x:v>
      </x:c>
      <x:c r="E767" s="131" t="n">
        <x:f>MOD(ABS(SIN((A767+4)*12.9898+78.233)*43758.5453),1)</x:f>
        <x:v>0.23014182792394422</x:v>
      </x:c>
      <x:c r="F767" s="131" t="n">
        <x:f>MOD(ABS(SIN((A767+5)*12.9898+78.233)*43758.5453),1)</x:f>
        <x:v>0.16617792760484917</x:v>
      </x:c>
      <x:c r="G767" s="132" t="n">
        <x:f>IF(B767&lt;(('Assumptions'!$C$47-'Assumptions'!$B$47)/('Assumptions'!$D$47-'Assumptions'!$B$47)),'Assumptions'!$B$47+SQRT(B767*('Assumptions'!$D$47-'Assumptions'!$B$47)*('Assumptions'!$C$47-'Assumptions'!$B$47)),'Assumptions'!$D$47-SQRT((1-B767)*('Assumptions'!$D$47-'Assumptions'!$B$47)*('Assumptions'!$D$47-'Assumptions'!$C$47)))</x:f>
        <x:v>-0.0213804704534796</x:v>
      </x:c>
      <x:c r="H767" s="132" t="n">
        <x:f>IF(C767&lt;(('Assumptions'!$C$48-'Assumptions'!$B$48)/('Assumptions'!$D$48-'Assumptions'!$B$48)),'Assumptions'!$B$48+SQRT(C767*('Assumptions'!$D$48-'Assumptions'!$B$48)*('Assumptions'!$C$48-'Assumptions'!$B$48)),'Assumptions'!$D$48-SQRT((1-C767)*('Assumptions'!$D$48-'Assumptions'!$B$48)*('Assumptions'!$D$48-'Assumptions'!$C$48)))</x:f>
        <x:v>0.10654608939415379</x:v>
      </x:c>
      <x:c r="I767" s="132" t="n">
        <x:f>IF(D767&lt;(('Assumptions'!$C$49-'Assumptions'!$B$49)/('Assumptions'!$D$49-'Assumptions'!$B$49)),'Assumptions'!$B$49+SQRT(D767*('Assumptions'!$D$49-'Assumptions'!$B$49)*('Assumptions'!$C$49-'Assumptions'!$B$49)),'Assumptions'!$D$49-SQRT((1-D767)*('Assumptions'!$D$49-'Assumptions'!$B$49)*('Assumptions'!$D$49-'Assumptions'!$C$49)))</x:f>
        <x:v>0.03125522711627998</x:v>
      </x:c>
      <x:c r="J767" s="132" t="n">
        <x:f>IF(E767&lt;(('Assumptions'!$C$50-'Assumptions'!$B$50)/('Assumptions'!$D$50-'Assumptions'!$B$50)),'Assumptions'!$B$50+SQRT(E767*('Assumptions'!$D$50-'Assumptions'!$B$50)*('Assumptions'!$C$50-'Assumptions'!$B$50)),'Assumptions'!$D$50-SQRT((1-E767)*('Assumptions'!$D$50-'Assumptions'!$B$50)*('Assumptions'!$D$50-'Assumptions'!$C$50)))</x:f>
        <x:v>0.06469596493063214</x:v>
      </x:c>
      <x:c r="K767" s="132" t="n">
        <x:f>IF(F767&lt;(('Assumptions'!$C$51-'Assumptions'!$B$51)/('Assumptions'!$D$51-'Assumptions'!$B$51)),'Assumptions'!$B$51+SQRT(F767*('Assumptions'!$D$51-'Assumptions'!$B$51)*('Assumptions'!$C$51-'Assumptions'!$B$51)),'Assumptions'!$D$51-SQRT((1-F767)*('Assumptions'!$D$51-'Assumptions'!$B$51)*('Assumptions'!$D$51-'Assumptions'!$C$51)))</x:f>
        <x:v>0.06426009837882066</x:v>
      </x:c>
      <x:c r="L767" s="133" t="n">
        <x:f>(('Assumptions'!$B$17*(1+G767)+'Assumptions'!$B$18)*(1-H767-'Assumptions'!$B$20)-SUM('Assumptions'!$B$21:$B$25)*(1+I767))-(('Assumptions'!$B$17*(1+G767)+'Assumptions'!$B$18)*(1-H767-'Assumptions'!$B$20)*'Assumptions'!$B$26)</x:f>
        <x:v>184121.6754875704</x:v>
      </x:c>
      <x:c r="M767" s="133" t="n">
        <x:f>'Assumptions'!$B$10*'Assumptions'!$B$33</x:f>
        <x:v>1950000</x:v>
      </x:c>
      <x:c r="N767" s="133" t="n">
        <x:f>-PMT(K767/12,'Assumptions'!$B$35*12,M767)*12</x:f>
        <x:v>146767.12298084112</x:v>
      </x:c>
      <x:c r="O767" s="133" t="n">
        <x:f>(L767*(1+'Assumptions'!$B$29)^('Assumptions'!$B$14/12)/J767)*(1-'Assumptions'!$B$42)-'Debt Schedule'!$F$9</x:f>
        <x:v>3101285.157891726</x:v>
      </x:c>
      <x:c r="P767" s="132" t="n">
        <x:f>((O767+(L767-N767-'Assumptions'!$B$27-'Assumptions'!$B$28)*('Assumptions'!$B$14/12))/ABS('Monthly Cash Flow'!$S$5))^(1/('Assumptions'!$B$14/12))-1</x:f>
        <x:v>0.1899170200935818</x:v>
      </x:c>
      <x:c r="Q767" s="133" t="n">
        <x:f>-ABS('Monthly Cash Flow'!$S$5)+((L767-N767-'Assumptions'!$B$27-'Assumptions'!$B$28)*(1-(1+'Assumptions'!$B$43)^-('Assumptions'!$B$14/12))/'Assumptions'!$B$43)+(O767/(1+'Assumptions'!$B$43)^('Assumptions'!$B$14/12))</x:f>
        <x:v>621125.7560651954</x:v>
      </x:c>
    </x:row>
    <x:row r="768">
      <x:c r="A768" s="131" t="n">
        <x:f>761</x:f>
        <x:v>761</x:v>
      </x:c>
      <x:c r="B768" s="131" t="n">
        <x:f>MOD(ABS(SIN((A768+1)*12.9898+78.233)*43758.5453),1)</x:f>
        <x:v>0.8728222574063693</x:v>
      </x:c>
      <x:c r="C768" s="131" t="n">
        <x:f>MOD(ABS(SIN((A768+2)*12.9898+78.233)*43758.5453),1)</x:f>
        <x:v>0.3472073570737848</x:v>
      </x:c>
      <x:c r="D768" s="131" t="n">
        <x:f>MOD(ABS(SIN((A768+3)*12.9898+78.233)*43758.5453),1)</x:f>
        <x:v>0.23014182792394422</x:v>
      </x:c>
      <x:c r="E768" s="131" t="n">
        <x:f>MOD(ABS(SIN((A768+4)*12.9898+78.233)*43758.5453),1)</x:f>
        <x:v>0.16617792760484917</x:v>
      </x:c>
      <x:c r="F768" s="131" t="n">
        <x:f>MOD(ABS(SIN((A768+5)*12.9898+78.233)*43758.5453),1)</x:f>
        <x:v>0.4827235686352651</x:v>
      </x:c>
      <x:c r="G768" s="132" t="n">
        <x:f>IF(B768&lt;(('Assumptions'!$C$47-'Assumptions'!$B$47)/('Assumptions'!$D$47-'Assumptions'!$B$47)),'Assumptions'!$B$47+SQRT(B768*('Assumptions'!$D$47-'Assumptions'!$B$47)*('Assumptions'!$C$47-'Assumptions'!$B$47)),'Assumptions'!$D$47-SQRT((1-B768)*('Assumptions'!$D$47-'Assumptions'!$B$47)*('Assumptions'!$D$47-'Assumptions'!$C$47)))</x:f>
        <x:v>0.054890756141361775</x:v>
      </x:c>
      <x:c r="H768" s="132" t="n">
        <x:f>IF(C768&lt;(('Assumptions'!$C$48-'Assumptions'!$B$48)/('Assumptions'!$D$48-'Assumptions'!$B$48)),'Assumptions'!$B$48+SQRT(C768*('Assumptions'!$D$48-'Assumptions'!$B$48)*('Assumptions'!$C$48-'Assumptions'!$B$48)),'Assumptions'!$D$48-SQRT((1-C768)*('Assumptions'!$D$48-'Assumptions'!$B$48)*('Assumptions'!$D$48-'Assumptions'!$C$48)))</x:f>
        <x:v>0.06420702369117114</x:v>
      </x:c>
      <x:c r="I768" s="132" t="n">
        <x:f>IF(D768&lt;(('Assumptions'!$C$49-'Assumptions'!$B$49)/('Assumptions'!$D$49-'Assumptions'!$B$49)),'Assumptions'!$B$49+SQRT(D768*('Assumptions'!$D$49-'Assumptions'!$B$49)*('Assumptions'!$C$49-'Assumptions'!$B$49)),'Assumptions'!$D$49-SQRT((1-D768)*('Assumptions'!$D$49-'Assumptions'!$B$49)*('Assumptions'!$D$49-'Assumptions'!$C$49)))</x:f>
        <x:v>0.019855107477354784</x:v>
      </x:c>
      <x:c r="J768" s="132" t="n">
        <x:f>IF(E768&lt;(('Assumptions'!$C$50-'Assumptions'!$B$50)/('Assumptions'!$D$50-'Assumptions'!$B$50)),'Assumptions'!$B$50+SQRT(E768*('Assumptions'!$D$50-'Assumptions'!$B$50)*('Assumptions'!$C$50-'Assumptions'!$B$50)),'Assumptions'!$D$50-SQRT((1-E768)*('Assumptions'!$D$50-'Assumptions'!$B$50)*('Assumptions'!$D$50-'Assumptions'!$C$50)))</x:f>
        <x:v>0.06361473905502853</x:v>
      </x:c>
      <x:c r="K768" s="132" t="n">
        <x:f>IF(F768&lt;(('Assumptions'!$C$51-'Assumptions'!$B$51)/('Assumptions'!$D$51-'Assumptions'!$B$51)),'Assumptions'!$B$51+SQRT(F768*('Assumptions'!$D$51-'Assumptions'!$B$51)*('Assumptions'!$C$51-'Assumptions'!$B$51)),'Assumptions'!$D$51-SQRT((1-F768)*('Assumptions'!$D$51-'Assumptions'!$B$51)*('Assumptions'!$D$51-'Assumptions'!$C$51)))</x:f>
        <x:v>0.06922219018386017</x:v>
      </x:c>
      <x:c r="L768" s="133" t="n">
        <x:f>(('Assumptions'!$B$17*(1+G768)+'Assumptions'!$B$18)*(1-H768-'Assumptions'!$B$20)-SUM('Assumptions'!$B$21:$B$25)*(1+I768))-(('Assumptions'!$B$17*(1+G768)+'Assumptions'!$B$18)*(1-H768-'Assumptions'!$B$20)*'Assumptions'!$B$26)</x:f>
        <x:v>225012.53157918507</x:v>
      </x:c>
      <x:c r="M768" s="133" t="n">
        <x:f>'Assumptions'!$B$10*'Assumptions'!$B$33</x:f>
        <x:v>1950000</x:v>
      </x:c>
      <x:c r="N768" s="133" t="n">
        <x:f>-PMT(K768/12,'Assumptions'!$B$35*12,M768)*12</x:f>
        <x:v>154460.35183886415</x:v>
      </x:c>
      <x:c r="O768" s="133" t="n">
        <x:f>(L768*(1+'Assumptions'!$B$29)^('Assumptions'!$B$14/12)/J768)*(1-'Assumptions'!$B$42)-'Debt Schedule'!$F$9</x:f>
        <x:v>3854454.5845753257</x:v>
      </x:c>
      <x:c r="P768" s="132" t="n">
        <x:f>((O768+(L768-N768-'Assumptions'!$B$27-'Assumptions'!$B$28)*('Assumptions'!$B$14/12))/ABS('Monthly Cash Flow'!$S$5))^(1/('Assumptions'!$B$14/12))-1</x:f>
        <x:v>0.2535686670131607</x:v>
      </x:c>
      <x:c r="Q768" s="133" t="n">
        <x:f>-ABS('Monthly Cash Flow'!$S$5)+((L768-N768-'Assumptions'!$B$27-'Assumptions'!$B$28)*(1-(1+'Assumptions'!$B$43)^-('Assumptions'!$B$14/12))/'Assumptions'!$B$43)+(O768/(1+'Assumptions'!$B$43)^('Assumptions'!$B$14/12))</x:f>
        <x:v>1214629.8390621343</x:v>
      </x:c>
    </x:row>
    <x:row r="769">
      <x:c r="A769" s="131" t="n">
        <x:f>762</x:f>
        <x:v>762</x:v>
      </x:c>
      <x:c r="B769" s="131" t="n">
        <x:f>MOD(ABS(SIN((A769+1)*12.9898+78.233)*43758.5453),1)</x:f>
        <x:v>0.3472073570737848</x:v>
      </x:c>
      <x:c r="C769" s="131" t="n">
        <x:f>MOD(ABS(SIN((A769+2)*12.9898+78.233)*43758.5453),1)</x:f>
        <x:v>0.23014182792394422</x:v>
      </x:c>
      <x:c r="D769" s="131" t="n">
        <x:f>MOD(ABS(SIN((A769+3)*12.9898+78.233)*43758.5453),1)</x:f>
        <x:v>0.16617792760484917</x:v>
      </x:c>
      <x:c r="E769" s="131" t="n">
        <x:f>MOD(ABS(SIN((A769+4)*12.9898+78.233)*43758.5453),1)</x:f>
        <x:v>0.4827235686352651</x:v>
      </x:c>
      <x:c r="F769" s="131" t="n">
        <x:f>MOD(ABS(SIN((A769+5)*12.9898+78.233)*43758.5453),1)</x:f>
        <x:v>0.8852132070023799</x:v>
      </x:c>
      <x:c r="G769" s="132" t="n">
        <x:f>IF(B769&lt;(('Assumptions'!$C$47-'Assumptions'!$B$47)/('Assumptions'!$D$47-'Assumptions'!$B$47)),'Assumptions'!$B$47+SQRT(B769*('Assumptions'!$D$47-'Assumptions'!$B$47)*('Assumptions'!$C$47-'Assumptions'!$B$47)),'Assumptions'!$D$47-SQRT((1-B769)*('Assumptions'!$D$47-'Assumptions'!$B$47)*('Assumptions'!$D$47-'Assumptions'!$C$47)))</x:f>
        <x:v>-0.0087148611778958</x:v>
      </x:c>
      <x:c r="H769" s="132" t="n">
        <x:f>IF(C769&lt;(('Assumptions'!$C$48-'Assumptions'!$B$48)/('Assumptions'!$D$48-'Assumptions'!$B$48)),'Assumptions'!$B$48+SQRT(C769*('Assumptions'!$D$48-'Assumptions'!$B$48)*('Assumptions'!$C$48-'Assumptions'!$B$48)),'Assumptions'!$D$48-SQRT((1-C769)*('Assumptions'!$D$48-'Assumptions'!$B$48)*('Assumptions'!$D$48-'Assumptions'!$C$48)))</x:f>
        <x:v>0.057558447564204626</x:v>
      </x:c>
      <x:c r="I769" s="132" t="n">
        <x:f>IF(D769&lt;(('Assumptions'!$C$49-'Assumptions'!$B$49)/('Assumptions'!$D$49-'Assumptions'!$B$49)),'Assumptions'!$B$49+SQRT(D769*('Assumptions'!$D$49-'Assumptions'!$B$49)*('Assumptions'!$C$49-'Assumptions'!$B$49)),'Assumptions'!$D$49-SQRT((1-D769)*('Assumptions'!$D$49-'Assumptions'!$B$49)*('Assumptions'!$D$49-'Assumptions'!$C$49)))</x:f>
        <x:v>0.012364154873340402</x:v>
      </x:c>
      <x:c r="J769" s="132" t="n">
        <x:f>IF(E769&lt;(('Assumptions'!$C$50-'Assumptions'!$B$50)/('Assumptions'!$D$50-'Assumptions'!$B$50)),'Assumptions'!$B$50+SQRT(E769*('Assumptions'!$D$50-'Assumptions'!$B$50)*('Assumptions'!$C$50-'Assumptions'!$B$50)),'Assumptions'!$D$50-SQRT((1-E769)*('Assumptions'!$D$50-'Assumptions'!$B$50)*('Assumptions'!$D$50-'Assumptions'!$C$50)))</x:f>
        <x:v>0.067938325310251</x:v>
      </x:c>
      <x:c r="K769" s="132" t="n">
        <x:f>IF(F769&lt;(('Assumptions'!$C$51-'Assumptions'!$B$51)/('Assumptions'!$D$51-'Assumptions'!$B$51)),'Assumptions'!$B$51+SQRT(F769*('Assumptions'!$D$51-'Assumptions'!$B$51)*('Assumptions'!$C$51-'Assumptions'!$B$51)),'Assumptions'!$D$51-SQRT((1-F769)*('Assumptions'!$D$51-'Assumptions'!$B$51)*('Assumptions'!$D$51-'Assumptions'!$C$51)))</x:f>
        <x:v>0.07756756136048842</x:v>
      </x:c>
      <x:c r="L769" s="133" t="n">
        <x:f>(('Assumptions'!$B$17*(1+G769)+'Assumptions'!$B$18)*(1-H769-'Assumptions'!$B$20)-SUM('Assumptions'!$B$21:$B$25)*(1+I769))-(('Assumptions'!$B$17*(1+G769)+'Assumptions'!$B$18)*(1-H769-'Assumptions'!$B$20)*'Assumptions'!$B$26)</x:f>
        <x:v>207998.127327986</x:v>
      </x:c>
      <x:c r="M769" s="133" t="n">
        <x:f>'Assumptions'!$B$10*'Assumptions'!$B$33</x:f>
        <x:v>1950000</x:v>
      </x:c>
      <x:c r="N769" s="133" t="n">
        <x:f>-PMT(K769/12,'Assumptions'!$B$35*12,M769)*12</x:f>
        <x:v>167749.7267090737</x:v>
      </x:c>
      <x:c r="O769" s="133" t="n">
        <x:f>(L769*(1+'Assumptions'!$B$29)^('Assumptions'!$B$14/12)/J769)*(1-'Assumptions'!$B$42)-'Debt Schedule'!$F$9</x:f>
        <x:v>3336249.8308333713</x:v>
      </x:c>
      <x:c r="P769" s="132" t="n">
        <x:f>((O769+(L769-N769-'Assumptions'!$B$27-'Assumptions'!$B$28)*('Assumptions'!$B$14/12))/ABS('Monthly Cash Flow'!$S$5))^(1/('Assumptions'!$B$14/12))-1</x:f>
        <x:v>0.2085472414164362</x:v>
      </x:c>
      <x:c r="Q769" s="133" t="n">
        <x:f>-ABS('Monthly Cash Flow'!$S$5)+((L769-N769-'Assumptions'!$B$27-'Assumptions'!$B$28)*(1-(1+'Assumptions'!$B$43)^-('Assumptions'!$B$14/12))/'Assumptions'!$B$43)+(O769/(1+'Assumptions'!$B$43)^('Assumptions'!$B$14/12))</x:f>
        <x:v>777990.2927966246</x:v>
      </x:c>
    </x:row>
    <x:row r="770">
      <x:c r="A770" s="131" t="n">
        <x:f>763</x:f>
        <x:v>763</x:v>
      </x:c>
      <x:c r="B770" s="131" t="n">
        <x:f>MOD(ABS(SIN((A770+1)*12.9898+78.233)*43758.5453),1)</x:f>
        <x:v>0.23014182792394422</x:v>
      </x:c>
      <x:c r="C770" s="131" t="n">
        <x:f>MOD(ABS(SIN((A770+2)*12.9898+78.233)*43758.5453),1)</x:f>
        <x:v>0.16617792760484917</x:v>
      </x:c>
      <x:c r="D770" s="131" t="n">
        <x:f>MOD(ABS(SIN((A770+3)*12.9898+78.233)*43758.5453),1)</x:f>
        <x:v>0.4827235686352651</x:v>
      </x:c>
      <x:c r="E770" s="131" t="n">
        <x:f>MOD(ABS(SIN((A770+4)*12.9898+78.233)*43758.5453),1)</x:f>
        <x:v>0.8852132070023799</x:v>
      </x:c>
      <x:c r="F770" s="131" t="n">
        <x:f>MOD(ABS(SIN((A770+5)*12.9898+78.233)*43758.5453),1)</x:f>
        <x:v>0.7713028922880767</x:v>
      </x:c>
      <x:c r="G770" s="132" t="n">
        <x:f>IF(B770&lt;(('Assumptions'!$C$47-'Assumptions'!$B$47)/('Assumptions'!$D$47-'Assumptions'!$B$47)),'Assumptions'!$B$47+SQRT(B770*('Assumptions'!$D$47-'Assumptions'!$B$47)*('Assumptions'!$C$47-'Assumptions'!$B$47)),'Assumptions'!$D$47-SQRT((1-B770)*('Assumptions'!$D$47-'Assumptions'!$B$47)*('Assumptions'!$D$47-'Assumptions'!$C$47)))</x:f>
        <x:v>-0.025680393770051088</x:v>
      </x:c>
      <x:c r="H770" s="132" t="n">
        <x:f>IF(C770&lt;(('Assumptions'!$C$48-'Assumptions'!$B$48)/('Assumptions'!$D$48-'Assumptions'!$B$48)),'Assumptions'!$B$48+SQRT(C770*('Assumptions'!$D$48-'Assumptions'!$B$48)*('Assumptions'!$C$48-'Assumptions'!$B$48)),'Assumptions'!$D$48-SQRT((1-C770)*('Assumptions'!$D$48-'Assumptions'!$B$48)*('Assumptions'!$D$48-'Assumptions'!$C$48)))</x:f>
        <x:v>0.05341766771256272</x:v>
      </x:c>
      <x:c r="I770" s="132" t="n">
        <x:f>IF(D770&lt;(('Assumptions'!$C$49-'Assumptions'!$B$49)/('Assumptions'!$D$49-'Assumptions'!$B$49)),'Assumptions'!$B$49+SQRT(D770*('Assumptions'!$D$49-'Assumptions'!$B$49)*('Assumptions'!$C$49-'Assumptions'!$B$49)),'Assumptions'!$D$49-SQRT((1-D770)*('Assumptions'!$D$49-'Assumptions'!$B$49)*('Assumptions'!$D$49-'Assumptions'!$C$49)))</x:f>
        <x:v>0.04429677905816552</x:v>
      </x:c>
      <x:c r="J770" s="132" t="n">
        <x:f>IF(E770&lt;(('Assumptions'!$C$50-'Assumptions'!$B$50)/('Assumptions'!$D$50-'Assumptions'!$B$50)),'Assumptions'!$B$50+SQRT(E770*('Assumptions'!$D$50-'Assumptions'!$B$50)*('Assumptions'!$C$50-'Assumptions'!$B$50)),'Assumptions'!$D$50-SQRT((1-E770)*('Assumptions'!$D$50-'Assumptions'!$B$50)*('Assumptions'!$D$50-'Assumptions'!$C$50)))</x:f>
        <x:v>0.07431811778276066</x:v>
      </x:c>
      <x:c r="K770" s="132" t="n">
        <x:f>IF(F770&lt;(('Assumptions'!$C$51-'Assumptions'!$B$51)/('Assumptions'!$D$51-'Assumptions'!$B$51)),'Assumptions'!$B$51+SQRT(F770*('Assumptions'!$D$51-'Assumptions'!$B$51)*('Assumptions'!$C$51-'Assumptions'!$B$51)),'Assumptions'!$D$51-SQRT((1-F770)*('Assumptions'!$D$51-'Assumptions'!$B$51)*('Assumptions'!$D$51-'Assumptions'!$C$51)))</x:f>
        <x:v>0.07450902849654223</x:v>
      </x:c>
      <x:c r="L770" s="133" t="n">
        <x:f>(('Assumptions'!$B$17*(1+G770)+'Assumptions'!$B$18)*(1-H770-'Assumptions'!$B$20)-SUM('Assumptions'!$B$21:$B$25)*(1+I770))-(('Assumptions'!$B$17*(1+G770)+'Assumptions'!$B$18)*(1-H770-'Assumptions'!$B$20)*'Assumptions'!$B$26)</x:f>
        <x:v>199973.29943081277</x:v>
      </x:c>
      <x:c r="M770" s="133" t="n">
        <x:f>'Assumptions'!$B$10*'Assumptions'!$B$33</x:f>
        <x:v>1950000</x:v>
      </x:c>
      <x:c r="N770" s="133" t="n">
        <x:f>-PMT(K770/12,'Assumptions'!$B$35*12,M770)*12</x:f>
        <x:v>162830.222743572</x:v>
      </x:c>
      <x:c r="O770" s="133" t="n">
        <x:f>(L770*(1+'Assumptions'!$B$29)^('Assumptions'!$B$14/12)/J770)*(1-'Assumptions'!$B$42)-'Debt Schedule'!$F$9</x:f>
        <x:v>2932184.457690595</x:v>
      </x:c>
      <x:c r="P770" s="132" t="n">
        <x:f>((O770+(L770-N770-'Assumptions'!$B$27-'Assumptions'!$B$28)*('Assumptions'!$B$14/12))/ABS('Monthly Cash Flow'!$S$5))^(1/('Assumptions'!$B$14/12))-1</x:f>
        <x:v>0.17650469633424648</x:v>
      </x:c>
      <x:c r="Q770" s="133" t="n">
        <x:f>-ABS('Monthly Cash Flow'!$S$5)+((L770-N770-'Assumptions'!$B$27-'Assumptions'!$B$28)*(1-(1+'Assumptions'!$B$43)^-('Assumptions'!$B$14/12))/'Assumptions'!$B$43)+(O770/(1+'Assumptions'!$B$43)^('Assumptions'!$B$14/12))</x:f>
        <x:v>515325.8658275127</x:v>
      </x:c>
    </x:row>
    <x:row r="771">
      <x:c r="A771" s="131" t="n">
        <x:f>764</x:f>
        <x:v>764</x:v>
      </x:c>
      <x:c r="B771" s="131" t="n">
        <x:f>MOD(ABS(SIN((A771+1)*12.9898+78.233)*43758.5453),1)</x:f>
        <x:v>0.16617792760484917</x:v>
      </x:c>
      <x:c r="C771" s="131" t="n">
        <x:f>MOD(ABS(SIN((A771+2)*12.9898+78.233)*43758.5453),1)</x:f>
        <x:v>0.4827235686352651</x:v>
      </x:c>
      <x:c r="D771" s="131" t="n">
        <x:f>MOD(ABS(SIN((A771+3)*12.9898+78.233)*43758.5453),1)</x:f>
        <x:v>0.8852132070023799</x:v>
      </x:c>
      <x:c r="E771" s="131" t="n">
        <x:f>MOD(ABS(SIN((A771+4)*12.9898+78.233)*43758.5453),1)</x:f>
        <x:v>0.7713028922880767</x:v>
      </x:c>
      <x:c r="F771" s="131" t="n">
        <x:f>MOD(ABS(SIN((A771+5)*12.9898+78.233)*43758.5453),1)</x:f>
        <x:v>0.2824277589243138</x:v>
      </x:c>
      <x:c r="G771" s="132" t="n">
        <x:f>IF(B771&lt;(('Assumptions'!$C$47-'Assumptions'!$B$47)/('Assumptions'!$D$47-'Assumptions'!$B$47)),'Assumptions'!$B$47+SQRT(B771*('Assumptions'!$D$47-'Assumptions'!$B$47)*('Assumptions'!$C$47-'Assumptions'!$B$47)),'Assumptions'!$D$47-SQRT((1-B771)*('Assumptions'!$D$47-'Assumptions'!$B$47)*('Assumptions'!$D$47-'Assumptions'!$C$47)))</x:f>
        <x:v>-0.03684724659592126</x:v>
      </x:c>
      <x:c r="H771" s="132" t="n">
        <x:f>IF(C771&lt;(('Assumptions'!$C$48-'Assumptions'!$B$48)/('Assumptions'!$D$48-'Assumptions'!$B$48)),'Assumptions'!$B$48+SQRT(C771*('Assumptions'!$D$48-'Assumptions'!$B$48)*('Assumptions'!$C$48-'Assumptions'!$B$48)),'Assumptions'!$D$48-SQRT((1-C771)*('Assumptions'!$D$48-'Assumptions'!$B$48)*('Assumptions'!$D$48-'Assumptions'!$C$48)))</x:f>
        <x:v>0.07253124726208683</x:v>
      </x:c>
      <x:c r="I771" s="132" t="n">
        <x:f>IF(D771&lt;(('Assumptions'!$C$49-'Assumptions'!$B$49)/('Assumptions'!$D$49-'Assumptions'!$B$49)),'Assumptions'!$B$49+SQRT(D771*('Assumptions'!$D$49-'Assumptions'!$B$49)*('Assumptions'!$C$49-'Assumptions'!$B$49)),'Assumptions'!$D$49-SQRT((1-D771)*('Assumptions'!$D$49-'Assumptions'!$B$49)*('Assumptions'!$D$49-'Assumptions'!$C$49)))</x:f>
        <x:v>0.10020647904848871</x:v>
      </x:c>
      <x:c r="J771" s="132" t="n">
        <x:f>IF(E771&lt;(('Assumptions'!$C$50-'Assumptions'!$B$50)/('Assumptions'!$D$50-'Assumptions'!$B$50)),'Assumptions'!$B$50+SQRT(E771*('Assumptions'!$D$50-'Assumptions'!$B$50)*('Assumptions'!$C$50-'Assumptions'!$B$50)),'Assumptions'!$D$50-SQRT((1-E771)*('Assumptions'!$D$50-'Assumptions'!$B$50)*('Assumptions'!$D$50-'Assumptions'!$C$50)))</x:f>
        <x:v>0.07197995875671587</x:v>
      </x:c>
      <x:c r="K771" s="132" t="n">
        <x:f>IF(F771&lt;(('Assumptions'!$C$51-'Assumptions'!$B$51)/('Assumptions'!$D$51-'Assumptions'!$B$51)),'Assumptions'!$B$51+SQRT(F771*('Assumptions'!$D$51-'Assumptions'!$B$51)*('Assumptions'!$C$51-'Assumptions'!$B$51)),'Assumptions'!$D$51-SQRT((1-F771)*('Assumptions'!$D$51-'Assumptions'!$B$51)*('Assumptions'!$D$51-'Assumptions'!$C$51)))</x:f>
        <x:v>0.06631292424250806</x:v>
      </x:c>
      <x:c r="L771" s="133" t="n">
        <x:f>(('Assumptions'!$B$17*(1+G771)+'Assumptions'!$B$18)*(1-H771-'Assumptions'!$B$20)-SUM('Assumptions'!$B$21:$B$25)*(1+I771))-(('Assumptions'!$B$17*(1+G771)+'Assumptions'!$B$18)*(1-H771-'Assumptions'!$B$20)*'Assumptions'!$B$26)</x:f>
        <x:v>182621.62282021443</x:v>
      </x:c>
      <x:c r="M771" s="133" t="n">
        <x:f>'Assumptions'!$B$10*'Assumptions'!$B$33</x:f>
        <x:v>1950000</x:v>
      </x:c>
      <x:c r="N771" s="133" t="n">
        <x:f>-PMT(K771/12,'Assumptions'!$B$35*12,M771)*12</x:f>
        <x:v>149930.13652314813</x:v>
      </x:c>
      <x:c r="O771" s="133" t="n">
        <x:f>(L771*(1+'Assumptions'!$B$29)^('Assumptions'!$B$14/12)/J771)*(1-'Assumptions'!$B$42)-'Debt Schedule'!$F$9</x:f>
        <x:v>2764741.8172350107</x:v>
      </x:c>
      <x:c r="P771" s="132" t="n">
        <x:f>((O771+(L771-N771-'Assumptions'!$B$27-'Assumptions'!$B$28)*('Assumptions'!$B$14/12))/ABS('Monthly Cash Flow'!$S$5))^(1/('Assumptions'!$B$14/12))-1</x:f>
        <x:v>0.16079306831570883</x:v>
      </x:c>
      <x:c r="Q771" s="133" t="n">
        <x:f>-ABS('Monthly Cash Flow'!$S$5)+((L771-N771-'Assumptions'!$B$27-'Assumptions'!$B$28)*(1-(1+'Assumptions'!$B$43)^-('Assumptions'!$B$14/12))/'Assumptions'!$B$43)+(O771/(1+'Assumptions'!$B$43)^('Assumptions'!$B$14/12))</x:f>
        <x:v>394482.1300254138</x:v>
      </x:c>
    </x:row>
    <x:row r="772">
      <x:c r="A772" s="131" t="n">
        <x:f>765</x:f>
        <x:v>765</x:v>
      </x:c>
      <x:c r="B772" s="131" t="n">
        <x:f>MOD(ABS(SIN((A772+1)*12.9898+78.233)*43758.5453),1)</x:f>
        <x:v>0.4827235686352651</x:v>
      </x:c>
      <x:c r="C772" s="131" t="n">
        <x:f>MOD(ABS(SIN((A772+2)*12.9898+78.233)*43758.5453),1)</x:f>
        <x:v>0.8852132070023799</x:v>
      </x:c>
      <x:c r="D772" s="131" t="n">
        <x:f>MOD(ABS(SIN((A772+3)*12.9898+78.233)*43758.5453),1)</x:f>
        <x:v>0.7713028922880767</x:v>
      </x:c>
      <x:c r="E772" s="131" t="n">
        <x:f>MOD(ABS(SIN((A772+4)*12.9898+78.233)*43758.5453),1)</x:f>
        <x:v>0.2824277589243138</x:v>
      </x:c>
      <x:c r="F772" s="131" t="n">
        <x:f>MOD(ABS(SIN((A772+5)*12.9898+78.233)*43758.5453),1)</x:f>
        <x:v>0.04657308378955349</x:v>
      </x:c>
      <x:c r="G772" s="132" t="n">
        <x:f>IF(B772&lt;(('Assumptions'!$C$47-'Assumptions'!$B$47)/('Assumptions'!$D$47-'Assumptions'!$B$47)),'Assumptions'!$B$47+SQRT(B772*('Assumptions'!$D$47-'Assumptions'!$B$47)*('Assumptions'!$C$47-'Assumptions'!$B$47)),'Assumptions'!$D$47-SQRT((1-B772)*('Assumptions'!$D$47-'Assumptions'!$B$47)*('Assumptions'!$D$47-'Assumptions'!$C$47)))</x:f>
        <x:v>0.007635336424644312</x:v>
      </x:c>
      <x:c r="H772" s="132" t="n">
        <x:f>IF(C772&lt;(('Assumptions'!$C$48-'Assumptions'!$B$48)/('Assumptions'!$D$48-'Assumptions'!$B$48)),'Assumptions'!$B$48+SQRT(C772*('Assumptions'!$D$48-'Assumptions'!$B$48)*('Assumptions'!$C$48-'Assumptions'!$B$48)),'Assumptions'!$D$48-SQRT((1-C772)*('Assumptions'!$D$48-'Assumptions'!$B$48)*('Assumptions'!$D$48-'Assumptions'!$C$48)))</x:f>
        <x:v>0.10821755550025997</x:v>
      </x:c>
      <x:c r="I772" s="132" t="n">
        <x:f>IF(D772&lt;(('Assumptions'!$C$49-'Assumptions'!$B$49)/('Assumptions'!$D$49-'Assumptions'!$B$49)),'Assumptions'!$B$49+SQRT(D772*('Assumptions'!$D$49-'Assumptions'!$B$49)*('Assumptions'!$C$49-'Assumptions'!$B$49)),'Assumptions'!$D$49-SQRT((1-D772)*('Assumptions'!$D$49-'Assumptions'!$B$49)*('Assumptions'!$D$49-'Assumptions'!$C$49)))</x:f>
        <x:v>0.07971587998290407</x:v>
      </x:c>
      <x:c r="J772" s="132" t="n">
        <x:f>IF(E772&lt;(('Assumptions'!$C$50-'Assumptions'!$B$50)/('Assumptions'!$D$50-'Assumptions'!$B$50)),'Assumptions'!$B$50+SQRT(E772*('Assumptions'!$D$50-'Assumptions'!$B$50)*('Assumptions'!$C$50-'Assumptions'!$B$50)),'Assumptions'!$D$50-SQRT((1-E772)*('Assumptions'!$D$50-'Assumptions'!$B$50)*('Assumptions'!$D$50-'Assumptions'!$C$50)))</x:f>
        <x:v>0.06547158991406173</x:v>
      </x:c>
      <x:c r="K772" s="132" t="n">
        <x:f>IF(F772&lt;(('Assumptions'!$C$51-'Assumptions'!$B$51)/('Assumptions'!$D$51-'Assumptions'!$B$51)),'Assumptions'!$B$51+SQRT(F772*('Assumptions'!$D$51-'Assumptions'!$B$51)*('Assumptions'!$C$51-'Assumptions'!$B$51)),'Assumptions'!$D$51-SQRT((1-F772)*('Assumptions'!$D$51-'Assumptions'!$B$51)*('Assumptions'!$D$51-'Assumptions'!$C$51)))</x:f>
        <x:v>0.06107877046513565</x:v>
      </x:c>
      <x:c r="L772" s="133" t="n">
        <x:f>(('Assumptions'!$B$17*(1+G772)+'Assumptions'!$B$18)*(1-H772-'Assumptions'!$B$20)-SUM('Assumptions'!$B$21:$B$25)*(1+I772))-(('Assumptions'!$B$17*(1+G772)+'Assumptions'!$B$18)*(1-H772-'Assumptions'!$B$20)*'Assumptions'!$B$26)</x:f>
        <x:v>186263.8356434897</x:v>
      </x:c>
      <x:c r="M772" s="133" t="n">
        <x:f>'Assumptions'!$B$10*'Assumptions'!$B$33</x:f>
        <x:v>1950000</x:v>
      </x:c>
      <x:c r="N772" s="133" t="n">
        <x:f>-PMT(K772/12,'Assumptions'!$B$35*12,M772)*12</x:f>
        <x:v>141921.86081736578</x:v>
      </x:c>
      <x:c r="O772" s="133" t="n">
        <x:f>(L772*(1+'Assumptions'!$B$29)^('Assumptions'!$B$14/12)/J772)*(1-'Assumptions'!$B$42)-'Debt Schedule'!$F$9</x:f>
        <x:v>3100199.4264860414</x:v>
      </x:c>
      <x:c r="P772" s="132" t="n">
        <x:f>((O772+(L772-N772-'Assumptions'!$B$27-'Assumptions'!$B$28)*('Assumptions'!$B$14/12))/ABS('Monthly Cash Flow'!$S$5))^(1/('Assumptions'!$B$14/12))-1</x:f>
        <x:v>0.19251443669932988</x:v>
      </x:c>
      <x:c r="Q772" s="133" t="n">
        <x:f>-ABS('Monthly Cash Flow'!$S$5)+((L772-N772-'Assumptions'!$B$27-'Assumptions'!$B$28)*(1-(1+'Assumptions'!$B$43)^-('Assumptions'!$B$14/12))/'Assumptions'!$B$43)+(O772/(1+'Assumptions'!$B$43)^('Assumptions'!$B$14/12))</x:f>
        <x:v>646939.4303649212</x:v>
      </x:c>
    </x:row>
    <x:row r="773">
      <x:c r="A773" s="131" t="n">
        <x:f>766</x:f>
        <x:v>766</x:v>
      </x:c>
      <x:c r="B773" s="131" t="n">
        <x:f>MOD(ABS(SIN((A773+1)*12.9898+78.233)*43758.5453),1)</x:f>
        <x:v>0.8852132070023799</x:v>
      </x:c>
      <x:c r="C773" s="131" t="n">
        <x:f>MOD(ABS(SIN((A773+2)*12.9898+78.233)*43758.5453),1)</x:f>
        <x:v>0.7713028922880767</x:v>
      </x:c>
      <x:c r="D773" s="131" t="n">
        <x:f>MOD(ABS(SIN((A773+3)*12.9898+78.233)*43758.5453),1)</x:f>
        <x:v>0.2824277589243138</x:v>
      </x:c>
      <x:c r="E773" s="131" t="n">
        <x:f>MOD(ABS(SIN((A773+4)*12.9898+78.233)*43758.5453),1)</x:f>
        <x:v>0.04657308378955349</x:v>
      </x:c>
      <x:c r="F773" s="131" t="n">
        <x:f>MOD(ABS(SIN((A773+5)*12.9898+78.233)*43758.5453),1)</x:f>
        <x:v>0.3905681575924973</x:v>
      </x:c>
      <x:c r="G773" s="132" t="n">
        <x:f>IF(B773&lt;(('Assumptions'!$C$47-'Assumptions'!$B$47)/('Assumptions'!$D$47-'Assumptions'!$B$47)),'Assumptions'!$B$47+SQRT(B773*('Assumptions'!$D$47-'Assumptions'!$B$47)*('Assumptions'!$C$47-'Assumptions'!$B$47)),'Assumptions'!$D$47-SQRT((1-B773)*('Assumptions'!$D$47-'Assumptions'!$B$47)*('Assumptions'!$D$47-'Assumptions'!$C$47)))</x:f>
        <x:v>0.05714456057905927</x:v>
      </x:c>
      <x:c r="H773" s="132" t="n">
        <x:f>IF(C773&lt;(('Assumptions'!$C$48-'Assumptions'!$B$48)/('Assumptions'!$D$48-'Assumptions'!$B$48)),'Assumptions'!$B$48+SQRT(C773*('Assumptions'!$D$48-'Assumptions'!$B$48)*('Assumptions'!$C$48-'Assumptions'!$B$48)),'Assumptions'!$D$48-SQRT((1-C773)*('Assumptions'!$D$48-'Assumptions'!$B$48)*('Assumptions'!$D$48-'Assumptions'!$C$48)))</x:f>
        <x:v>0.09513871883388834</x:v>
      </x:c>
      <x:c r="I773" s="132" t="n">
        <x:f>IF(D773&lt;(('Assumptions'!$C$49-'Assumptions'!$B$49)/('Assumptions'!$D$49-'Assumptions'!$B$49)),'Assumptions'!$B$49+SQRT(D773*('Assumptions'!$D$49-'Assumptions'!$B$49)*('Assumptions'!$C$49-'Assumptions'!$B$49)),'Assumptions'!$D$49-SQRT((1-D773)*('Assumptions'!$D$49-'Assumptions'!$B$49)*('Assumptions'!$D$49-'Assumptions'!$C$49)))</x:f>
        <x:v>0.025228794993034105</x:v>
      </x:c>
      <x:c r="J773" s="132" t="n">
        <x:f>IF(E773&lt;(('Assumptions'!$C$50-'Assumptions'!$B$50)/('Assumptions'!$D$50-'Assumptions'!$B$50)),'Assumptions'!$B$50+SQRT(E773*('Assumptions'!$D$50-'Assumptions'!$B$50)*('Assumptions'!$C$50-'Assumptions'!$B$50)),'Assumptions'!$D$50-SQRT((1-E773)*('Assumptions'!$D$50-'Assumptions'!$B$50)*('Assumptions'!$D$50-'Assumptions'!$C$50)))</x:f>
        <x:v>0.060737119684634716</x:v>
      </x:c>
      <x:c r="K773" s="132" t="n">
        <x:f>IF(F773&lt;(('Assumptions'!$C$51-'Assumptions'!$B$51)/('Assumptions'!$D$51-'Assumptions'!$B$51)),'Assumptions'!$B$51+SQRT(F773*('Assumptions'!$D$51-'Assumptions'!$B$51)*('Assumptions'!$C$51-'Assumptions'!$B$51)),'Assumptions'!$D$51-SQRT((1-F773)*('Assumptions'!$D$51-'Assumptions'!$B$51)*('Assumptions'!$D$51-'Assumptions'!$C$51)))</x:f>
        <x:v>0.0678743153667186</x:v>
      </x:c>
      <x:c r="L773" s="133" t="n">
        <x:f>(('Assumptions'!$B$17*(1+G773)+'Assumptions'!$B$18)*(1-H773-'Assumptions'!$B$20)-SUM('Assumptions'!$B$21:$B$25)*(1+I773))-(('Assumptions'!$B$17*(1+G773)+'Assumptions'!$B$18)*(1-H773-'Assumptions'!$B$20)*'Assumptions'!$B$26)</x:f>
        <x:v>213221.19228180192</x:v>
      </x:c>
      <x:c r="M773" s="133" t="n">
        <x:f>'Assumptions'!$B$10*'Assumptions'!$B$33</x:f>
        <x:v>1950000</x:v>
      </x:c>
      <x:c r="N773" s="133" t="n">
        <x:f>-PMT(K773/12,'Assumptions'!$B$35*12,M773)*12</x:f>
        <x:v>152354.6401221431</x:v>
      </x:c>
      <x:c r="O773" s="133" t="n">
        <x:f>(L773*(1+'Assumptions'!$B$29)^('Assumptions'!$B$14/12)/J773)*(1-'Assumptions'!$B$42)-'Debt Schedule'!$F$9</x:f>
        <x:v>3825517.1383141945</x:v>
      </x:c>
      <x:c r="P773" s="132" t="n">
        <x:f>((O773+(L773-N773-'Assumptions'!$B$27-'Assumptions'!$B$28)*('Assumptions'!$B$14/12))/ABS('Monthly Cash Flow'!$S$5))^(1/('Assumptions'!$B$14/12))-1</x:f>
        <x:v>0.24869042516430717</x:v>
      </x:c>
      <x:c r="Q773" s="133" t="n">
        <x:f>-ABS('Monthly Cash Flow'!$S$5)+((L773-N773-'Assumptions'!$B$27-'Assumptions'!$B$28)*(1-(1+'Assumptions'!$B$43)^-('Assumptions'!$B$14/12))/'Assumptions'!$B$43)+(O773/(1+'Assumptions'!$B$43)^('Assumptions'!$B$14/12))</x:f>
        <x:v>1159945.8127575282</x:v>
      </x:c>
    </x:row>
    <x:row r="774">
      <x:c r="A774" s="131" t="n">
        <x:f>767</x:f>
        <x:v>767</x:v>
      </x:c>
      <x:c r="B774" s="131" t="n">
        <x:f>MOD(ABS(SIN((A774+1)*12.9898+78.233)*43758.5453),1)</x:f>
        <x:v>0.7713028922880767</x:v>
      </x:c>
      <x:c r="C774" s="131" t="n">
        <x:f>MOD(ABS(SIN((A774+2)*12.9898+78.233)*43758.5453),1)</x:f>
        <x:v>0.2824277589243138</x:v>
      </x:c>
      <x:c r="D774" s="131" t="n">
        <x:f>MOD(ABS(SIN((A774+3)*12.9898+78.233)*43758.5453),1)</x:f>
        <x:v>0.04657308378955349</x:v>
      </x:c>
      <x:c r="E774" s="131" t="n">
        <x:f>MOD(ABS(SIN((A774+4)*12.9898+78.233)*43758.5453),1)</x:f>
        <x:v>0.3905681575924973</x:v>
      </x:c>
      <x:c r="F774" s="131" t="n">
        <x:f>MOD(ABS(SIN((A774+5)*12.9898+78.233)*43758.5453),1)</x:f>
        <x:v>0.3322586844096804</x:v>
      </x:c>
      <x:c r="G774" s="132" t="n">
        <x:f>IF(B774&lt;(('Assumptions'!$C$47-'Assumptions'!$B$47)/('Assumptions'!$D$47-'Assumptions'!$B$47)),'Assumptions'!$B$47+SQRT(B774*('Assumptions'!$D$47-'Assumptions'!$B$47)*('Assumptions'!$C$47-'Assumptions'!$B$47)),'Assumptions'!$D$47-SQRT((1-B774)*('Assumptions'!$D$47-'Assumptions'!$B$47)*('Assumptions'!$D$47-'Assumptions'!$C$47)))</x:f>
        <x:v>0.03950906081576537</x:v>
      </x:c>
      <x:c r="H774" s="132" t="n">
        <x:f>IF(C774&lt;(('Assumptions'!$C$48-'Assumptions'!$B$48)/('Assumptions'!$D$48-'Assumptions'!$B$48)),'Assumptions'!$B$48+SQRT(C774*('Assumptions'!$D$48-'Assumptions'!$B$48)*('Assumptions'!$C$48-'Assumptions'!$B$48)),'Assumptions'!$D$48-SQRT((1-C774)*('Assumptions'!$D$48-'Assumptions'!$B$48)*('Assumptions'!$D$48-'Assumptions'!$C$48)))</x:f>
        <x:v>0.06053531777282414</x:v>
      </x:c>
      <x:c r="I774" s="132" t="n">
        <x:f>IF(D774&lt;(('Assumptions'!$C$49-'Assumptions'!$B$49)/('Assumptions'!$D$49-'Assumptions'!$B$49)),'Assumptions'!$B$49+SQRT(D774*('Assumptions'!$D$49-'Assumptions'!$B$49)*('Assumptions'!$C$49-'Assumptions'!$B$49)),'Assumptions'!$D$49-SQRT((1-D774)*('Assumptions'!$D$49-'Assumptions'!$B$49)*('Assumptions'!$D$49-'Assumptions'!$C$49)))</x:f>
        <x:v>-0.007572576944125352</x:v>
      </x:c>
      <x:c r="J774" s="132" t="n">
        <x:f>IF(E774&lt;(('Assumptions'!$C$50-'Assumptions'!$B$50)/('Assumptions'!$D$50-'Assumptions'!$B$50)),'Assumptions'!$B$50+SQRT(E774*('Assumptions'!$D$50-'Assumptions'!$B$50)*('Assumptions'!$C$50-'Assumptions'!$B$50)),'Assumptions'!$D$50-SQRT((1-E774)*('Assumptions'!$D$50-'Assumptions'!$B$50)*('Assumptions'!$D$50-'Assumptions'!$C$50)))</x:f>
        <x:v>0.06687431786629364</x:v>
      </x:c>
      <x:c r="K774" s="132" t="n">
        <x:f>IF(F774&lt;(('Assumptions'!$C$51-'Assumptions'!$B$51)/('Assumptions'!$D$51-'Assumptions'!$B$51)),'Assumptions'!$B$51+SQRT(F774*('Assumptions'!$D$51-'Assumptions'!$B$51)*('Assumptions'!$C$51-'Assumptions'!$B$51)),'Assumptions'!$D$51-SQRT((1-F774)*('Assumptions'!$D$51-'Assumptions'!$B$51)*('Assumptions'!$D$51-'Assumptions'!$C$51)))</x:f>
        <x:v>0.06705882514813731</x:v>
      </x:c>
      <x:c r="L774" s="133" t="n">
        <x:f>(('Assumptions'!$B$17*(1+G774)+'Assumptions'!$B$18)*(1-H774-'Assumptions'!$B$20)-SUM('Assumptions'!$B$21:$B$25)*(1+I774))-(('Assumptions'!$B$17*(1+G774)+'Assumptions'!$B$18)*(1-H774-'Assumptions'!$B$20)*'Assumptions'!$B$26)</x:f>
        <x:v>224929.50739394684</x:v>
      </x:c>
      <x:c r="M774" s="133" t="n">
        <x:f>'Assumptions'!$B$10*'Assumptions'!$B$33</x:f>
        <x:v>1950000</x:v>
      </x:c>
      <x:c r="N774" s="133" t="n">
        <x:f>-PMT(K774/12,'Assumptions'!$B$35*12,M774)*12</x:f>
        <x:v>151086.36529360915</x:v>
      </x:c>
      <x:c r="O774" s="133" t="n">
        <x:f>(L774*(1+'Assumptions'!$B$29)^('Assumptions'!$B$14/12)/J774)*(1-'Assumptions'!$B$42)-'Debt Schedule'!$F$9</x:f>
        <x:v>3665228.4090422387</x:v>
      </x:c>
      <x:c r="P774" s="132" t="n">
        <x:f>((O774+(L774-N774-'Assumptions'!$B$27-'Assumptions'!$B$28)*('Assumptions'!$B$14/12))/ABS('Monthly Cash Flow'!$S$5))^(1/('Assumptions'!$B$14/12))-1</x:f>
        <x:v>0.24256773297850498</x:v>
      </x:c>
      <x:c r="Q774" s="133" t="n">
        <x:f>-ABS('Monthly Cash Flow'!$S$5)+((L774-N774-'Assumptions'!$B$27-'Assumptions'!$B$28)*(1-(1+'Assumptions'!$B$43)^-('Assumptions'!$B$14/12))/'Assumptions'!$B$43)+(O774/(1+'Assumptions'!$B$43)^('Assumptions'!$B$14/12))</x:f>
        <x:v>1109610.608365679</x:v>
      </x:c>
    </x:row>
    <x:row r="775">
      <x:c r="A775" s="131" t="n">
        <x:f>768</x:f>
        <x:v>768</x:v>
      </x:c>
      <x:c r="B775" s="131" t="n">
        <x:f>MOD(ABS(SIN((A775+1)*12.9898+78.233)*43758.5453),1)</x:f>
        <x:v>0.2824277589243138</x:v>
      </x:c>
      <x:c r="C775" s="131" t="n">
        <x:f>MOD(ABS(SIN((A775+2)*12.9898+78.233)*43758.5453),1)</x:f>
        <x:v>0.04657308378955349</x:v>
      </x:c>
      <x:c r="D775" s="131" t="n">
        <x:f>MOD(ABS(SIN((A775+3)*12.9898+78.233)*43758.5453),1)</x:f>
        <x:v>0.3905681575924973</x:v>
      </x:c>
      <x:c r="E775" s="131" t="n">
        <x:f>MOD(ABS(SIN((A775+4)*12.9898+78.233)*43758.5453),1)</x:f>
        <x:v>0.3322586844096804</x:v>
      </x:c>
      <x:c r="F775" s="131" t="n">
        <x:f>MOD(ABS(SIN((A775+5)*12.9898+78.233)*43758.5453),1)</x:f>
        <x:v>0.2603639419648971</x:v>
      </x:c>
      <x:c r="G775" s="132" t="n">
        <x:f>IF(B775&lt;(('Assumptions'!$C$47-'Assumptions'!$B$47)/('Assumptions'!$D$47-'Assumptions'!$B$47)),'Assumptions'!$B$47+SQRT(B775*('Assumptions'!$D$47-'Assumptions'!$B$47)*('Assumptions'!$C$47-'Assumptions'!$B$47)),'Assumptions'!$D$47-SQRT((1-B775)*('Assumptions'!$D$47-'Assumptions'!$B$47)*('Assumptions'!$D$47-'Assumptions'!$C$47)))</x:f>
        <x:v>-0.017669773386783813</x:v>
      </x:c>
      <x:c r="H775" s="132" t="n">
        <x:f>IF(C775&lt;(('Assumptions'!$C$48-'Assumptions'!$B$48)/('Assumptions'!$D$48-'Assumptions'!$B$48)),'Assumptions'!$B$48+SQRT(C775*('Assumptions'!$D$48-'Assumptions'!$B$48)*('Assumptions'!$C$48-'Assumptions'!$B$48)),'Assumptions'!$D$48-SQRT((1-C775)*('Assumptions'!$D$48-'Assumptions'!$B$48)*('Assumptions'!$D$48-'Assumptions'!$C$48)))</x:f>
        <x:v>0.042397224548483686</x:v>
      </x:c>
      <x:c r="I775" s="132" t="n">
        <x:f>IF(D775&lt;(('Assumptions'!$C$49-'Assumptions'!$B$49)/('Assumptions'!$D$49-'Assumptions'!$B$49)),'Assumptions'!$B$49+SQRT(D775*('Assumptions'!$D$49-'Assumptions'!$B$49)*('Assumptions'!$C$49-'Assumptions'!$B$49)),'Assumptions'!$D$49-SQRT((1-D775)*('Assumptions'!$D$49-'Assumptions'!$B$49)*('Assumptions'!$D$49-'Assumptions'!$C$49)))</x:f>
        <x:v>0.0352667101665691</x:v>
      </x:c>
      <x:c r="J775" s="132" t="n">
        <x:f>IF(E775&lt;(('Assumptions'!$C$50-'Assumptions'!$B$50)/('Assumptions'!$D$50-'Assumptions'!$B$50)),'Assumptions'!$B$50+SQRT(E775*('Assumptions'!$D$50-'Assumptions'!$B$50)*('Assumptions'!$C$50-'Assumptions'!$B$50)),'Assumptions'!$D$50-SQRT((1-E775)*('Assumptions'!$D$50-'Assumptions'!$B$50)*('Assumptions'!$D$50-'Assumptions'!$C$50)))</x:f>
        <x:v>0.06614628266899586</x:v>
      </x:c>
      <x:c r="K775" s="132" t="n">
        <x:f>IF(F775&lt;(('Assumptions'!$C$51-'Assumptions'!$B$51)/('Assumptions'!$D$51-'Assumptions'!$B$51)),'Assumptions'!$B$51+SQRT(F775*('Assumptions'!$D$51-'Assumptions'!$B$51)*('Assumptions'!$C$51-'Assumptions'!$B$51)),'Assumptions'!$D$51-SQRT((1-F775)*('Assumptions'!$D$51-'Assumptions'!$B$51)*('Assumptions'!$D$51-'Assumptions'!$C$51)))</x:f>
        <x:v>0.06596168328645942</x:v>
      </x:c>
      <x:c r="L775" s="133" t="n">
        <x:f>(('Assumptions'!$B$17*(1+G775)+'Assumptions'!$B$18)*(1-H775-'Assumptions'!$B$20)-SUM('Assumptions'!$B$21:$B$25)*(1+I775))-(('Assumptions'!$B$17*(1+G775)+'Assumptions'!$B$18)*(1-H775-'Assumptions'!$B$20)*'Assumptions'!$B$26)</x:f>
        <x:v>207635.78874457086</x:v>
      </x:c>
      <x:c r="M775" s="133" t="n">
        <x:f>'Assumptions'!$B$10*'Assumptions'!$B$33</x:f>
        <x:v>1950000</x:v>
      </x:c>
      <x:c r="N775" s="133" t="n">
        <x:f>-PMT(K775/12,'Assumptions'!$B$35*12,M775)*12</x:f>
        <x:v>149386.9468608975</x:v>
      </x:c>
      <x:c r="O775" s="133" t="n">
        <x:f>(L775*(1+'Assumptions'!$B$29)^('Assumptions'!$B$14/12)/J775)*(1-'Assumptions'!$B$42)-'Debt Schedule'!$F$9</x:f>
        <x:v>3420666.5960861742</x:v>
      </x:c>
      <x:c r="P775" s="132" t="n">
        <x:f>((O775+(L775-N775-'Assumptions'!$B$27-'Assumptions'!$B$28)*('Assumptions'!$B$14/12))/ABS('Monthly Cash Flow'!$S$5))^(1/('Assumptions'!$B$14/12))-1</x:f>
        <x:v>0.22092302632072403</x:v>
      </x:c>
      <x:c r="Q775" s="133" t="n">
        <x:f>-ABS('Monthly Cash Flow'!$S$5)+((L775-N775-'Assumptions'!$B$27-'Assumptions'!$B$28)*(1-(1+'Assumptions'!$B$43)^-('Assumptions'!$B$14/12))/'Assumptions'!$B$43)+(O775/(1+'Assumptions'!$B$43)^('Assumptions'!$B$14/12))</x:f>
        <x:v>898642.2969557391</x:v>
      </x:c>
    </x:row>
    <x:row r="776">
      <x:c r="A776" s="131" t="n">
        <x:f>769</x:f>
        <x:v>769</x:v>
      </x:c>
      <x:c r="B776" s="131" t="n">
        <x:f>MOD(ABS(SIN((A776+1)*12.9898+78.233)*43758.5453),1)</x:f>
        <x:v>0.04657308378955349</x:v>
      </x:c>
      <x:c r="C776" s="131" t="n">
        <x:f>MOD(ABS(SIN((A776+2)*12.9898+78.233)*43758.5453),1)</x:f>
        <x:v>0.3905681575924973</x:v>
      </x:c>
      <x:c r="D776" s="131" t="n">
        <x:f>MOD(ABS(SIN((A776+3)*12.9898+78.233)*43758.5453),1)</x:f>
        <x:v>0.3322586844096804</x:v>
      </x:c>
      <x:c r="E776" s="131" t="n">
        <x:f>MOD(ABS(SIN((A776+4)*12.9898+78.233)*43758.5453),1)</x:f>
        <x:v>0.2603639419648971</x:v>
      </x:c>
      <x:c r="F776" s="131" t="n">
        <x:f>MOD(ABS(SIN((A776+5)*12.9898+78.233)*43758.5453),1)</x:f>
        <x:v>0.3063126867164101</x:v>
      </x:c>
      <x:c r="G776" s="132" t="n">
        <x:f>IF(B776&lt;(('Assumptions'!$C$47-'Assumptions'!$B$47)/('Assumptions'!$D$47-'Assumptions'!$B$47)),'Assumptions'!$B$47+SQRT(B776*('Assumptions'!$D$47-'Assumptions'!$B$47)*('Assumptions'!$C$47-'Assumptions'!$B$47)),'Assumptions'!$D$47-SQRT((1-B776)*('Assumptions'!$D$47-'Assumptions'!$B$47)*('Assumptions'!$D$47-'Assumptions'!$C$47)))</x:f>
        <x:v>-0.06656717165794548</x:v>
      </x:c>
      <x:c r="H776" s="132" t="n">
        <x:f>IF(C776&lt;(('Assumptions'!$C$48-'Assumptions'!$B$48)/('Assumptions'!$D$48-'Assumptions'!$B$48)),'Assumptions'!$B$48+SQRT(C776*('Assumptions'!$D$48-'Assumptions'!$B$48)*('Assumptions'!$C$48-'Assumptions'!$B$48)),'Assumptions'!$D$48-SQRT((1-C776)*('Assumptions'!$D$48-'Assumptions'!$B$48)*('Assumptions'!$D$48-'Assumptions'!$C$48)))</x:f>
        <x:v>0.06676749210093906</x:v>
      </x:c>
      <x:c r="I776" s="132" t="n">
        <x:f>IF(D776&lt;(('Assumptions'!$C$49-'Assumptions'!$B$49)/('Assumptions'!$D$49-'Assumptions'!$B$49)),'Assumptions'!$B$49+SQRT(D776*('Assumptions'!$D$49-'Assumptions'!$B$49)*('Assumptions'!$C$49-'Assumptions'!$B$49)),'Assumptions'!$D$49-SQRT((1-D776)*('Assumptions'!$D$49-'Assumptions'!$B$49)*('Assumptions'!$D$49-'Assumptions'!$C$49)))</x:f>
        <x:v>0.029903203517212235</x:v>
      </x:c>
      <x:c r="J776" s="132" t="n">
        <x:f>IF(E776&lt;(('Assumptions'!$C$50-'Assumptions'!$B$50)/('Assumptions'!$D$50-'Assumptions'!$B$50)),'Assumptions'!$B$50+SQRT(E776*('Assumptions'!$D$50-'Assumptions'!$B$50)*('Assumptions'!$C$50-'Assumptions'!$B$50)),'Assumptions'!$D$50-SQRT((1-E776)*('Assumptions'!$D$50-'Assumptions'!$B$50)*('Assumptions'!$D$50-'Assumptions'!$C$50)))</x:f>
        <x:v>0.06515388051527471</x:v>
      </x:c>
      <x:c r="K776" s="132" t="n">
        <x:f>IF(F776&lt;(('Assumptions'!$C$51-'Assumptions'!$B$51)/('Assumptions'!$D$51-'Assumptions'!$B$51)),'Assumptions'!$B$51+SQRT(F776*('Assumptions'!$D$51-'Assumptions'!$B$51)*('Assumptions'!$C$51-'Assumptions'!$B$51)),'Assumptions'!$D$51-SQRT((1-F776)*('Assumptions'!$D$51-'Assumptions'!$B$51)*('Assumptions'!$D$51-'Assumptions'!$C$51)))</x:f>
        <x:v>0.06667801660747097</x:v>
      </x:c>
      <x:c r="L776" s="133" t="n">
        <x:f>(('Assumptions'!$B$17*(1+G776)+'Assumptions'!$B$18)*(1-H776-'Assumptions'!$B$20)-SUM('Assumptions'!$B$21:$B$25)*(1+I776))-(('Assumptions'!$B$17*(1+G776)+'Assumptions'!$B$18)*(1-H776-'Assumptions'!$B$20)*'Assumptions'!$B$26)</x:f>
        <x:v>184015.27762958067</x:v>
      </x:c>
      <x:c r="M776" s="133" t="n">
        <x:f>'Assumptions'!$B$10*'Assumptions'!$B$33</x:f>
        <x:v>1950000</x:v>
      </x:c>
      <x:c r="N776" s="133" t="n">
        <x:f>-PMT(K776/12,'Assumptions'!$B$35*12,M776)*12</x:f>
        <x:v>150495.61209980055</x:v>
      </x:c>
      <x:c r="O776" s="133" t="n">
        <x:f>(L776*(1+'Assumptions'!$B$29)^('Assumptions'!$B$14/12)/J776)*(1-'Assumptions'!$B$42)-'Debt Schedule'!$F$9</x:f>
        <x:v>3077709.1188945086</x:v>
      </x:c>
      <x:c r="P776" s="132" t="n">
        <x:f>((O776+(L776-N776-'Assumptions'!$B$27-'Assumptions'!$B$28)*('Assumptions'!$B$14/12))/ABS('Monthly Cash Flow'!$S$5))^(1/('Assumptions'!$B$14/12))-1</x:f>
        <x:v>0.18660402716339486</x:v>
      </x:c>
      <x:c r="Q776" s="133" t="n">
        <x:f>-ABS('Monthly Cash Flow'!$S$5)+((L776-N776-'Assumptions'!$B$27-'Assumptions'!$B$28)*(1-(1+'Assumptions'!$B$43)^-('Assumptions'!$B$14/12))/'Assumptions'!$B$43)+(O776/(1+'Assumptions'!$B$43)^('Assumptions'!$B$14/12))</x:f>
        <x:v>591949.6519241533</x:v>
      </x:c>
    </x:row>
    <x:row r="777">
      <x:c r="A777" s="131" t="n">
        <x:f>770</x:f>
        <x:v>770</x:v>
      </x:c>
      <x:c r="B777" s="131" t="n">
        <x:f>MOD(ABS(SIN((A777+1)*12.9898+78.233)*43758.5453),1)</x:f>
        <x:v>0.3905681575924973</x:v>
      </x:c>
      <x:c r="C777" s="131" t="n">
        <x:f>MOD(ABS(SIN((A777+2)*12.9898+78.233)*43758.5453),1)</x:f>
        <x:v>0.3322586844096804</x:v>
      </x:c>
      <x:c r="D777" s="131" t="n">
        <x:f>MOD(ABS(SIN((A777+3)*12.9898+78.233)*43758.5453),1)</x:f>
        <x:v>0.2603639419648971</x:v>
      </x:c>
      <x:c r="E777" s="131" t="n">
        <x:f>MOD(ABS(SIN((A777+4)*12.9898+78.233)*43758.5453),1)</x:f>
        <x:v>0.3063126867164101</x:v>
      </x:c>
      <x:c r="F777" s="131" t="n">
        <x:f>MOD(ABS(SIN((A777+5)*12.9898+78.233)*43758.5453),1)</x:f>
        <x:v>0.9824044313936611</x:v>
      </x:c>
      <x:c r="G777" s="132" t="n">
        <x:f>IF(B777&lt;(('Assumptions'!$C$47-'Assumptions'!$B$47)/('Assumptions'!$D$47-'Assumptions'!$B$47)),'Assumptions'!$B$47+SQRT(B777*('Assumptions'!$D$47-'Assumptions'!$B$47)*('Assumptions'!$C$47-'Assumptions'!$B$47)),'Assumptions'!$D$47-SQRT((1-B777)*('Assumptions'!$D$47-'Assumptions'!$B$47)*('Assumptions'!$D$47-'Assumptions'!$C$47)))</x:f>
        <x:v>-0.0031824613914403638</x:v>
      </x:c>
      <x:c r="H777" s="132" t="n">
        <x:f>IF(C777&lt;(('Assumptions'!$C$48-'Assumptions'!$B$48)/('Assumptions'!$D$48-'Assumptions'!$B$48)),'Assumptions'!$B$48+SQRT(C777*('Assumptions'!$D$48-'Assumptions'!$B$48)*('Assumptions'!$C$48-'Assumptions'!$B$48)),'Assumptions'!$D$48-SQRT((1-C777)*('Assumptions'!$D$48-'Assumptions'!$B$48)*('Assumptions'!$D$48-'Assumptions'!$C$48)))</x:f>
        <x:v>0.06334412235715507</x:v>
      </x:c>
      <x:c r="I777" s="132" t="n">
        <x:f>IF(D777&lt;(('Assumptions'!$C$49-'Assumptions'!$B$49)/('Assumptions'!$D$49-'Assumptions'!$B$49)),'Assumptions'!$B$49+SQRT(D777*('Assumptions'!$D$49-'Assumptions'!$B$49)*('Assumptions'!$C$49-'Assumptions'!$B$49)),'Assumptions'!$D$49-SQRT((1-D777)*('Assumptions'!$D$49-'Assumptions'!$B$49)*('Assumptions'!$D$49-'Assumptions'!$C$49)))</x:f>
        <x:v>0.02302763971006902</x:v>
      </x:c>
      <x:c r="J777" s="132" t="n">
        <x:f>IF(E777&lt;(('Assumptions'!$C$50-'Assumptions'!$B$50)/('Assumptions'!$D$50-'Assumptions'!$B$50)),'Assumptions'!$B$50+SQRT(E777*('Assumptions'!$D$50-'Assumptions'!$B$50)*('Assumptions'!$C$50-'Assumptions'!$B$50)),'Assumptions'!$D$50-SQRT((1-E777)*('Assumptions'!$D$50-'Assumptions'!$B$50)*('Assumptions'!$D$50-'Assumptions'!$C$50)))</x:f>
        <x:v>0.06580182838362685</x:v>
      </x:c>
      <x:c r="K777" s="132" t="n">
        <x:f>IF(F777&lt;(('Assumptions'!$C$51-'Assumptions'!$B$51)/('Assumptions'!$D$51-'Assumptions'!$B$51)),'Assumptions'!$B$51+SQRT(F777*('Assumptions'!$D$51-'Assumptions'!$B$51)*('Assumptions'!$C$51-'Assumptions'!$B$51)),'Assumptions'!$D$51-SQRT((1-F777)*('Assumptions'!$D$51-'Assumptions'!$B$51)*('Assumptions'!$D$51-'Assumptions'!$C$51)))</x:f>
        <x:v>0.08209003996731903</x:v>
      </x:c>
      <x:c r="L777" s="133" t="n">
        <x:f>(('Assumptions'!$B$17*(1+G777)+'Assumptions'!$B$18)*(1-H777-'Assumptions'!$B$20)-SUM('Assumptions'!$B$21:$B$25)*(1+I777))-(('Assumptions'!$B$17*(1+G777)+'Assumptions'!$B$18)*(1-H777-'Assumptions'!$B$20)*'Assumptions'!$B$26)</x:f>
        <x:v>206344.21178659098</x:v>
      </x:c>
      <x:c r="M777" s="133" t="n">
        <x:f>'Assumptions'!$B$10*'Assumptions'!$B$33</x:f>
        <x:v>1950000</x:v>
      </x:c>
      <x:c r="N777" s="133" t="n">
        <x:f>-PMT(K777/12,'Assumptions'!$B$35*12,M777)*12</x:f>
        <x:v>175122.43946223985</x:v>
      </x:c>
      <x:c r="O777" s="133" t="n">
        <x:f>(L777*(1+'Assumptions'!$B$29)^('Assumptions'!$B$14/12)/J777)*(1-'Assumptions'!$B$42)-'Debt Schedule'!$F$9</x:f>
        <x:v>3417183.5482864743</x:v>
      </x:c>
      <x:c r="P777" s="132" t="n">
        <x:f>((O777+(L777-N777-'Assumptions'!$B$27-'Assumptions'!$B$28)*('Assumptions'!$B$14/12))/ABS('Monthly Cash Flow'!$S$5))^(1/('Assumptions'!$B$14/12))-1</x:f>
        <x:v>0.21112895429152267</x:v>
      </x:c>
      <x:c r="Q777" s="133" t="n">
        <x:f>-ABS('Monthly Cash Flow'!$S$5)+((L777-N777-'Assumptions'!$B$27-'Assumptions'!$B$28)*(1-(1+'Assumptions'!$B$43)^-('Assumptions'!$B$14/12))/'Assumptions'!$B$43)+(O777/(1+'Assumptions'!$B$43)^('Assumptions'!$B$14/12))</x:f>
        <x:v>794025.7406063103</x:v>
      </x:c>
    </x:row>
    <x:row r="778">
      <x:c r="A778" s="131" t="n">
        <x:f>771</x:f>
        <x:v>771</x:v>
      </x:c>
      <x:c r="B778" s="131" t="n">
        <x:f>MOD(ABS(SIN((A778+1)*12.9898+78.233)*43758.5453),1)</x:f>
        <x:v>0.3322586844096804</x:v>
      </x:c>
      <x:c r="C778" s="131" t="n">
        <x:f>MOD(ABS(SIN((A778+2)*12.9898+78.233)*43758.5453),1)</x:f>
        <x:v>0.2603639419648971</x:v>
      </x:c>
      <x:c r="D778" s="131" t="n">
        <x:f>MOD(ABS(SIN((A778+3)*12.9898+78.233)*43758.5453),1)</x:f>
        <x:v>0.3063126867164101</x:v>
      </x:c>
      <x:c r="E778" s="131" t="n">
        <x:f>MOD(ABS(SIN((A778+4)*12.9898+78.233)*43758.5453),1)</x:f>
        <x:v>0.9824044313936611</x:v>
      </x:c>
      <x:c r="F778" s="131" t="n">
        <x:f>MOD(ABS(SIN((A778+5)*12.9898+78.233)*43758.5453),1)</x:f>
        <x:v>0.9124283359196852</x:v>
      </x:c>
      <x:c r="G778" s="132" t="n">
        <x:f>IF(B778&lt;(('Assumptions'!$C$47-'Assumptions'!$B$47)/('Assumptions'!$D$47-'Assumptions'!$B$47)),'Assumptions'!$B$47+SQRT(B778*('Assumptions'!$D$47-'Assumptions'!$B$47)*('Assumptions'!$C$47-'Assumptions'!$B$47)),'Assumptions'!$D$47-SQRT((1-B778)*('Assumptions'!$D$47-'Assumptions'!$B$47)*('Assumptions'!$D$47-'Assumptions'!$C$47)))</x:f>
        <x:v>-0.010701576577005961</x:v>
      </x:c>
      <x:c r="H778" s="132" t="n">
        <x:f>IF(C778&lt;(('Assumptions'!$C$48-'Assumptions'!$B$48)/('Assumptions'!$D$48-'Assumptions'!$B$48)),'Assumptions'!$B$48+SQRT(C778*('Assumptions'!$D$48-'Assumptions'!$B$48)*('Assumptions'!$C$48-'Assumptions'!$B$48)),'Assumptions'!$D$48-SQRT((1-C778)*('Assumptions'!$D$48-'Assumptions'!$B$48)*('Assumptions'!$D$48-'Assumptions'!$C$48)))</x:f>
        <x:v>0.05931213073940822</x:v>
      </x:c>
      <x:c r="I778" s="132" t="n">
        <x:f>IF(D778&lt;(('Assumptions'!$C$49-'Assumptions'!$B$49)/('Assumptions'!$D$49-'Assumptions'!$B$49)),'Assumptions'!$B$49+SQRT(D778*('Assumptions'!$D$49-'Assumptions'!$B$49)*('Assumptions'!$C$49-'Assumptions'!$B$49)),'Assumptions'!$D$49-SQRT((1-D778)*('Assumptions'!$D$49-'Assumptions'!$B$49)*('Assumptions'!$D$49-'Assumptions'!$C$49)))</x:f>
        <x:v>0.027516754224636397</x:v>
      </x:c>
      <x:c r="J778" s="132" t="n">
        <x:f>IF(E778&lt;(('Assumptions'!$C$50-'Assumptions'!$B$50)/('Assumptions'!$D$50-'Assumptions'!$B$50)),'Assumptions'!$B$50+SQRT(E778*('Assumptions'!$D$50-'Assumptions'!$B$50)*('Assumptions'!$C$50-'Assumptions'!$B$50)),'Assumptions'!$D$50-SQRT((1-E778)*('Assumptions'!$D$50-'Assumptions'!$B$50)*('Assumptions'!$D$50-'Assumptions'!$C$50)))</x:f>
        <x:v>0.0777754205632226</x:v>
      </x:c>
      <x:c r="K778" s="132" t="n">
        <x:f>IF(F778&lt;(('Assumptions'!$C$51-'Assumptions'!$B$51)/('Assumptions'!$D$51-'Assumptions'!$B$51)),'Assumptions'!$B$51+SQRT(F778*('Assumptions'!$D$51-'Assumptions'!$B$51)*('Assumptions'!$C$51-'Assumptions'!$B$51)),'Assumptions'!$D$51-SQRT((1-F778)*('Assumptions'!$D$51-'Assumptions'!$B$51)*('Assumptions'!$D$51-'Assumptions'!$C$51)))</x:f>
        <x:v>0.07850816949245812</x:v>
      </x:c>
      <x:c r="L778" s="133" t="n">
        <x:f>(('Assumptions'!$B$17*(1+G778)+'Assumptions'!$B$18)*(1-H778-'Assumptions'!$B$20)-SUM('Assumptions'!$B$21:$B$25)*(1+I778))-(('Assumptions'!$B$17*(1+G778)+'Assumptions'!$B$18)*(1-H778-'Assumptions'!$B$20)*'Assumptions'!$B$26)</x:f>
        <x:v>204818.786580225</x:v>
      </x:c>
      <x:c r="M778" s="133" t="n">
        <x:f>'Assumptions'!$B$10*'Assumptions'!$B$33</x:f>
        <x:v>1950000</x:v>
      </x:c>
      <x:c r="N778" s="133" t="n">
        <x:f>-PMT(K778/12,'Assumptions'!$B$35*12,M778)*12</x:f>
        <x:v>169273.62411183715</x:v>
      </x:c>
      <x:c r="O778" s="133" t="n">
        <x:f>(L778*(1+'Assumptions'!$B$29)^('Assumptions'!$B$14/12)/J778)*(1-'Assumptions'!$B$42)-'Debt Schedule'!$F$9</x:f>
        <x:v>2869732.3787260684</x:v>
      </x:c>
      <x:c r="P778" s="132" t="n">
        <x:f>((O778+(L778-N778-'Assumptions'!$B$27-'Assumptions'!$B$28)*('Assumptions'!$B$14/12))/ABS('Monthly Cash Flow'!$S$5))^(1/('Assumptions'!$B$14/12))-1</x:f>
        <x:v>0.17076858414927698</x:v>
      </x:c>
      <x:c r="Q778" s="133" t="n">
        <x:f>-ABS('Monthly Cash Flow'!$S$5)+((L778-N778-'Assumptions'!$B$27-'Assumptions'!$B$28)*(1-(1+'Assumptions'!$B$43)^-('Assumptions'!$B$14/12))/'Assumptions'!$B$43)+(O778/(1+'Assumptions'!$B$43)^('Assumptions'!$B$14/12))</x:f>
        <x:v>470490.68624958675</x:v>
      </x:c>
    </x:row>
    <x:row r="779">
      <x:c r="A779" s="131" t="n">
        <x:f>772</x:f>
        <x:v>772</x:v>
      </x:c>
      <x:c r="B779" s="131" t="n">
        <x:f>MOD(ABS(SIN((A779+1)*12.9898+78.233)*43758.5453),1)</x:f>
        <x:v>0.2603639419648971</x:v>
      </x:c>
      <x:c r="C779" s="131" t="n">
        <x:f>MOD(ABS(SIN((A779+2)*12.9898+78.233)*43758.5453),1)</x:f>
        <x:v>0.3063126867164101</x:v>
      </x:c>
      <x:c r="D779" s="131" t="n">
        <x:f>MOD(ABS(SIN((A779+3)*12.9898+78.233)*43758.5453),1)</x:f>
        <x:v>0.9824044313936611</x:v>
      </x:c>
      <x:c r="E779" s="131" t="n">
        <x:f>MOD(ABS(SIN((A779+4)*12.9898+78.233)*43758.5453),1)</x:f>
        <x:v>0.9124283359196852</x:v>
      </x:c>
      <x:c r="F779" s="131" t="n">
        <x:f>MOD(ABS(SIN((A779+5)*12.9898+78.233)*43758.5453),1)</x:f>
        <x:v>0.6666989193399786</x:v>
      </x:c>
      <x:c r="G779" s="132" t="n">
        <x:f>IF(B779&lt;(('Assumptions'!$C$47-'Assumptions'!$B$47)/('Assumptions'!$D$47-'Assumptions'!$B$47)),'Assumptions'!$B$47+SQRT(B779*('Assumptions'!$D$47-'Assumptions'!$B$47)*('Assumptions'!$C$47-'Assumptions'!$B$47)),'Assumptions'!$D$47-SQRT((1-B779)*('Assumptions'!$D$47-'Assumptions'!$B$47)*('Assumptions'!$D$47-'Assumptions'!$C$47)))</x:f>
        <x:v>-0.020951061947945618</x:v>
      </x:c>
      <x:c r="H779" s="132" t="n">
        <x:f>IF(C779&lt;(('Assumptions'!$C$48-'Assumptions'!$B$48)/('Assumptions'!$D$48-'Assumptions'!$B$48)),'Assumptions'!$B$48+SQRT(C779*('Assumptions'!$D$48-'Assumptions'!$B$48)*('Assumptions'!$C$48-'Assumptions'!$B$48)),'Assumptions'!$D$48-SQRT((1-C779)*('Assumptions'!$D$48-'Assumptions'!$B$48)*('Assumptions'!$D$48-'Assumptions'!$C$48)))</x:f>
        <x:v>0.06186903074391313</x:v>
      </x:c>
      <x:c r="I779" s="132" t="n">
        <x:f>IF(D779&lt;(('Assumptions'!$C$49-'Assumptions'!$B$49)/('Assumptions'!$D$49-'Assumptions'!$B$49)),'Assumptions'!$B$49+SQRT(D779*('Assumptions'!$D$49-'Assumptions'!$B$49)*('Assumptions'!$C$49-'Assumptions'!$B$49)),'Assumptions'!$D$49-SQRT((1-D779)*('Assumptions'!$D$49-'Assumptions'!$B$49)*('Assumptions'!$D$49-'Assumptions'!$C$49)))</x:f>
        <x:v>0.13050476258423815</x:v>
      </x:c>
      <x:c r="J779" s="132" t="n">
        <x:f>IF(E779&lt;(('Assumptions'!$C$50-'Assumptions'!$B$50)/('Assumptions'!$D$50-'Assumptions'!$B$50)),'Assumptions'!$B$50+SQRT(E779*('Assumptions'!$D$50-'Assumptions'!$B$50)*('Assumptions'!$C$50-'Assumptions'!$B$50)),'Assumptions'!$D$50-SQRT((1-E779)*('Assumptions'!$D$50-'Assumptions'!$B$50)*('Assumptions'!$D$50-'Assumptions'!$C$50)))</x:f>
        <x:v>0.07503718522181328</x:v>
      </x:c>
      <x:c r="K779" s="132" t="n">
        <x:f>IF(F779&lt;(('Assumptions'!$C$51-'Assumptions'!$B$51)/('Assumptions'!$D$51-'Assumptions'!$B$51)),'Assumptions'!$B$51+SQRT(F779*('Assumptions'!$D$51-'Assumptions'!$B$51)*('Assumptions'!$C$51-'Assumptions'!$B$51)),'Assumptions'!$D$51-SQRT((1-F779)*('Assumptions'!$D$51-'Assumptions'!$B$51)*('Assumptions'!$D$51-'Assumptions'!$C$51)))</x:f>
        <x:v>0.0723350426345907</x:v>
      </x:c>
      <x:c r="L779" s="133" t="n">
        <x:f>(('Assumptions'!$B$17*(1+G779)+'Assumptions'!$B$18)*(1-H779-'Assumptions'!$B$20)-SUM('Assumptions'!$B$21:$B$25)*(1+I779))-(('Assumptions'!$B$17*(1+G779)+'Assumptions'!$B$18)*(1-H779-'Assumptions'!$B$20)*'Assumptions'!$B$26)</x:f>
        <x:v>187636.2601860967</x:v>
      </x:c>
      <x:c r="M779" s="133" t="n">
        <x:f>'Assumptions'!$B$10*'Assumptions'!$B$33</x:f>
        <x:v>1950000</x:v>
      </x:c>
      <x:c r="N779" s="133" t="n">
        <x:f>-PMT(K779/12,'Assumptions'!$B$35*12,M779)*12</x:f>
        <x:v>159367.5197363656</x:v>
      </x:c>
      <x:c r="O779" s="133" t="n">
        <x:f>(L779*(1+'Assumptions'!$B$29)^('Assumptions'!$B$14/12)/J779)*(1-'Assumptions'!$B$42)-'Debt Schedule'!$F$9</x:f>
        <x:v>2724922.851490045</x:v>
      </x:c>
      <x:c r="P779" s="132" t="n">
        <x:f>((O779+(L779-N779-'Assumptions'!$B$27-'Assumptions'!$B$28)*('Assumptions'!$B$14/12))/ABS('Monthly Cash Flow'!$S$5))^(1/('Assumptions'!$B$14/12))-1</x:f>
        <x:v>0.15547433097632912</x:v>
      </x:c>
      <x:c r="Q779" s="133" t="n">
        <x:f>-ABS('Monthly Cash Flow'!$S$5)+((L779-N779-'Assumptions'!$B$27-'Assumptions'!$B$28)*(1-(1+'Assumptions'!$B$43)^-('Assumptions'!$B$14/12))/'Assumptions'!$B$43)+(O779/(1+'Assumptions'!$B$43)^('Assumptions'!$B$14/12))</x:f>
        <x:v>352991.998689668</x:v>
      </x:c>
    </x:row>
    <x:row r="780">
      <x:c r="A780" s="131" t="n">
        <x:f>773</x:f>
        <x:v>773</x:v>
      </x:c>
      <x:c r="B780" s="131" t="n">
        <x:f>MOD(ABS(SIN((A780+1)*12.9898+78.233)*43758.5453),1)</x:f>
        <x:v>0.3063126867164101</x:v>
      </x:c>
      <x:c r="C780" s="131" t="n">
        <x:f>MOD(ABS(SIN((A780+2)*12.9898+78.233)*43758.5453),1)</x:f>
        <x:v>0.9824044313936611</x:v>
      </x:c>
      <x:c r="D780" s="131" t="n">
        <x:f>MOD(ABS(SIN((A780+3)*12.9898+78.233)*43758.5453),1)</x:f>
        <x:v>0.9124283359196852</x:v>
      </x:c>
      <x:c r="E780" s="131" t="n">
        <x:f>MOD(ABS(SIN((A780+4)*12.9898+78.233)*43758.5453),1)</x:f>
        <x:v>0.6666989193399786</x:v>
      </x:c>
      <x:c r="F780" s="131" t="n">
        <x:f>MOD(ABS(SIN((A780+5)*12.9898+78.233)*43758.5453),1)</x:f>
        <x:v>0.6634012204303872</x:v>
      </x:c>
      <x:c r="G780" s="132" t="n">
        <x:f>IF(B780&lt;(('Assumptions'!$C$47-'Assumptions'!$B$47)/('Assumptions'!$D$47-'Assumptions'!$B$47)),'Assumptions'!$B$47+SQRT(B780*('Assumptions'!$D$47-'Assumptions'!$B$47)*('Assumptions'!$C$47-'Assumptions'!$B$47)),'Assumptions'!$D$47-SQRT((1-B780)*('Assumptions'!$D$47-'Assumptions'!$B$47)*('Assumptions'!$D$47-'Assumptions'!$C$47)))</x:f>
        <x:v>-0.014259085139043212</x:v>
      </x:c>
      <x:c r="H780" s="132" t="n">
        <x:f>IF(C780&lt;(('Assumptions'!$C$48-'Assumptions'!$B$48)/('Assumptions'!$D$48-'Assumptions'!$B$48)),'Assumptions'!$B$48+SQRT(C780*('Assumptions'!$D$48-'Assumptions'!$B$48)*('Assumptions'!$C$48-'Assumptions'!$B$48)),'Assumptions'!$D$48-SQRT((1-C780)*('Assumptions'!$D$48-'Assumptions'!$B$48)*('Assumptions'!$D$48-'Assumptions'!$C$48)))</x:f>
        <x:v>0.12755648748400267</x:v>
      </x:c>
      <x:c r="I780" s="132" t="n">
        <x:f>IF(D780&lt;(('Assumptions'!$C$49-'Assumptions'!$B$49)/('Assumptions'!$D$49-'Assumptions'!$B$49)),'Assumptions'!$B$49+SQRT(D780*('Assumptions'!$D$49-'Assumptions'!$B$49)*('Assumptions'!$C$49-'Assumptions'!$B$49)),'Assumptions'!$D$49-SQRT((1-D780)*('Assumptions'!$D$49-'Assumptions'!$B$49)*('Assumptions'!$D$49-'Assumptions'!$C$49)))</x:f>
        <x:v>0.10650807035627413</x:v>
      </x:c>
      <x:c r="J780" s="132" t="n">
        <x:f>IF(E780&lt;(('Assumptions'!$C$50-'Assumptions'!$B$50)/('Assumptions'!$D$50-'Assumptions'!$B$50)),'Assumptions'!$B$50+SQRT(E780*('Assumptions'!$D$50-'Assumptions'!$B$50)*('Assumptions'!$C$50-'Assumptions'!$B$50)),'Assumptions'!$D$50-SQRT((1-E780)*('Assumptions'!$D$50-'Assumptions'!$B$50)*('Assumptions'!$D$50-'Assumptions'!$C$50)))</x:f>
        <x:v>0.07031801007356282</x:v>
      </x:c>
      <x:c r="K780" s="132" t="n">
        <x:f>IF(F780&lt;(('Assumptions'!$C$51-'Assumptions'!$B$51)/('Assumptions'!$D$51-'Assumptions'!$B$51)),'Assumptions'!$B$51+SQRT(F780*('Assumptions'!$D$51-'Assumptions'!$B$51)*('Assumptions'!$C$51-'Assumptions'!$B$51)),'Assumptions'!$D$51-SQRT((1-F780)*('Assumptions'!$D$51-'Assumptions'!$B$51)*('Assumptions'!$D$51-'Assumptions'!$C$51)))</x:f>
        <x:v>0.07227254296146021</x:v>
      </x:c>
      <x:c r="L780" s="133" t="n">
        <x:f>(('Assumptions'!$B$17*(1+G780)+'Assumptions'!$B$18)*(1-H780-'Assumptions'!$B$20)-SUM('Assumptions'!$B$21:$B$25)*(1+I780))-(('Assumptions'!$B$17*(1+G780)+'Assumptions'!$B$18)*(1-H780-'Assumptions'!$B$20)*'Assumptions'!$B$26)</x:f>
        <x:v>169293.4152255905</x:v>
      </x:c>
      <x:c r="M780" s="133" t="n">
        <x:f>'Assumptions'!$B$10*'Assumptions'!$B$33</x:f>
        <x:v>1950000</x:v>
      </x:c>
      <x:c r="N780" s="133" t="n">
        <x:f>-PMT(K780/12,'Assumptions'!$B$35*12,M780)*12</x:f>
        <x:v>159268.39838781153</x:v>
      </x:c>
      <x:c r="O780" s="133" t="n">
        <x:f>(L780*(1+'Assumptions'!$B$29)^('Assumptions'!$B$14/12)/J780)*(1-'Assumptions'!$B$42)-'Debt Schedule'!$F$9</x:f>
        <x:v>2623538.6779929227</x:v>
      </x:c>
      <x:c r="P780" s="132" t="n">
        <x:f>((O780+(L780-N780-'Assumptions'!$B$27-'Assumptions'!$B$28)*('Assumptions'!$B$14/12))/ABS('Monthly Cash Flow'!$S$5))^(1/('Assumptions'!$B$14/12))-1</x:f>
        <x:v>0.1382763757854597</x:v>
      </x:c>
      <x:c r="Q780" s="133" t="n">
        <x:f>-ABS('Monthly Cash Flow'!$S$5)+((L780-N780-'Assumptions'!$B$27-'Assumptions'!$B$28)*(1-(1+'Assumptions'!$B$43)^-('Assumptions'!$B$14/12))/'Assumptions'!$B$43)+(O780/(1+'Assumptions'!$B$43)^('Assumptions'!$B$14/12))</x:f>
        <x:v>220882.3374516433</x:v>
      </x:c>
    </x:row>
    <x:row r="781">
      <x:c r="A781" s="131" t="n">
        <x:f>774</x:f>
        <x:v>774</x:v>
      </x:c>
      <x:c r="B781" s="131" t="n">
        <x:f>MOD(ABS(SIN((A781+1)*12.9898+78.233)*43758.5453),1)</x:f>
        <x:v>0.9824044313936611</x:v>
      </x:c>
      <x:c r="C781" s="131" t="n">
        <x:f>MOD(ABS(SIN((A781+2)*12.9898+78.233)*43758.5453),1)</x:f>
        <x:v>0.9124283359196852</x:v>
      </x:c>
      <x:c r="D781" s="131" t="n">
        <x:f>MOD(ABS(SIN((A781+3)*12.9898+78.233)*43758.5453),1)</x:f>
        <x:v>0.6666989193399786</x:v>
      </x:c>
      <x:c r="E781" s="131" t="n">
        <x:f>MOD(ABS(SIN((A781+4)*12.9898+78.233)*43758.5453),1)</x:f>
        <x:v>0.6634012204303872</x:v>
      </x:c>
      <x:c r="F781" s="131" t="n">
        <x:f>MOD(ABS(SIN((A781+5)*12.9898+78.233)*43758.5453),1)</x:f>
        <x:v>0.9974192844074423</x:v>
      </x:c>
      <x:c r="G781" s="132" t="n">
        <x:f>IF(B781&lt;(('Assumptions'!$C$47-'Assumptions'!$B$47)/('Assumptions'!$D$47-'Assumptions'!$B$47)),'Assumptions'!$B$47+SQRT(B781*('Assumptions'!$D$47-'Assumptions'!$B$47)*('Assumptions'!$C$47-'Assumptions'!$B$47)),'Assumptions'!$D$47-SQRT((1-B781)*('Assumptions'!$D$47-'Assumptions'!$B$47)*('Assumptions'!$D$47-'Assumptions'!$C$47)))</x:f>
        <x:v>0.08322117114630992</x:v>
      </x:c>
      <x:c r="H781" s="132" t="n">
        <x:f>IF(C781&lt;(('Assumptions'!$C$48-'Assumptions'!$B$48)/('Assumptions'!$D$48-'Assumptions'!$B$48)),'Assumptions'!$B$48+SQRT(C781*('Assumptions'!$D$48-'Assumptions'!$B$48)*('Assumptions'!$C$48-'Assumptions'!$B$48)),'Assumptions'!$D$48-SQRT((1-C781)*('Assumptions'!$D$48-'Assumptions'!$B$48)*('Assumptions'!$D$48-'Assumptions'!$C$48)))</x:f>
        <x:v>0.11223976506031028</x:v>
      </x:c>
      <x:c r="I781" s="132" t="n">
        <x:f>IF(D781&lt;(('Assumptions'!$C$49-'Assumptions'!$B$49)/('Assumptions'!$D$49-'Assumptions'!$B$49)),'Assumptions'!$B$49+SQRT(D781*('Assumptions'!$D$49-'Assumptions'!$B$49)*('Assumptions'!$C$49-'Assumptions'!$B$49)),'Assumptions'!$D$49-SQRT((1-D781)*('Assumptions'!$D$49-'Assumptions'!$B$49)*('Assumptions'!$D$49-'Assumptions'!$C$49)))</x:f>
        <x:v>0.06515129145204117</x:v>
      </x:c>
      <x:c r="J781" s="132" t="n">
        <x:f>IF(E781&lt;(('Assumptions'!$C$50-'Assumptions'!$B$50)/('Assumptions'!$D$50-'Assumptions'!$B$50)),'Assumptions'!$B$50+SQRT(E781*('Assumptions'!$D$50-'Assumptions'!$B$50)*('Assumptions'!$C$50-'Assumptions'!$B$50)),'Assumptions'!$D$50-SQRT((1-E781)*('Assumptions'!$D$50-'Assumptions'!$B$50)*('Assumptions'!$D$50-'Assumptions'!$C$50)))</x:f>
        <x:v>0.07027023089924773</x:v>
      </x:c>
      <x:c r="K781" s="132" t="n">
        <x:f>IF(F781&lt;(('Assumptions'!$C$51-'Assumptions'!$B$51)/('Assumptions'!$D$51-'Assumptions'!$B$51)),'Assumptions'!$B$51+SQRT(F781*('Assumptions'!$D$51-'Assumptions'!$B$51)*('Assumptions'!$C$51-'Assumptions'!$B$51)),'Assumptions'!$D$51-SQRT((1-F781)*('Assumptions'!$D$51-'Assumptions'!$B$51)*('Assumptions'!$D$51-'Assumptions'!$C$51)))</x:f>
        <x:v>0.08388556320102108</x:v>
      </x:c>
      <x:c r="L781" s="133" t="n">
        <x:f>(('Assumptions'!$B$17*(1+G781)+'Assumptions'!$B$18)*(1-H781-'Assumptions'!$B$20)-SUM('Assumptions'!$B$21:$B$25)*(1+I781))-(('Assumptions'!$B$17*(1+G781)+'Assumptions'!$B$18)*(1-H781-'Assumptions'!$B$20)*'Assumptions'!$B$26)</x:f>
        <x:v>209558.04125718254</x:v>
      </x:c>
      <x:c r="M781" s="133" t="n">
        <x:f>'Assumptions'!$B$10*'Assumptions'!$B$33</x:f>
        <x:v>1950000</x:v>
      </x:c>
      <x:c r="N781" s="133" t="n">
        <x:f>-PMT(K781/12,'Assumptions'!$B$35*12,M781)*12</x:f>
        <x:v>178080.8717320812</x:v>
      </x:c>
      <x:c r="O781" s="133" t="n">
        <x:f>(L781*(1+'Assumptions'!$B$29)^('Assumptions'!$B$14/12)/J781)*(1-'Assumptions'!$B$42)-'Debt Schedule'!$F$9</x:f>
        <x:v>3249727.3612282053</x:v>
      </x:c>
      <x:c r="P781" s="132" t="n">
        <x:f>((O781+(L781-N781-'Assumptions'!$B$27-'Assumptions'!$B$28)*('Assumptions'!$B$14/12))/ABS('Monthly Cash Flow'!$S$5))^(1/('Assumptions'!$B$14/12))-1</x:f>
        <x:v>0.19895379627385035</x:v>
      </x:c>
      <x:c r="Q781" s="133" t="n">
        <x:f>-ABS('Monthly Cash Flow'!$S$5)+((L781-N781-'Assumptions'!$B$27-'Assumptions'!$B$28)*(1-(1+'Assumptions'!$B$43)^-('Assumptions'!$B$14/12))/'Assumptions'!$B$43)+(O781/(1+'Assumptions'!$B$43)^('Assumptions'!$B$14/12))</x:f>
        <x:v>691016.7797131967</x:v>
      </x:c>
    </x:row>
    <x:row r="782">
      <x:c r="A782" s="131" t="n">
        <x:f>775</x:f>
        <x:v>775</x:v>
      </x:c>
      <x:c r="B782" s="131" t="n">
        <x:f>MOD(ABS(SIN((A782+1)*12.9898+78.233)*43758.5453),1)</x:f>
        <x:v>0.9124283359196852</x:v>
      </x:c>
      <x:c r="C782" s="131" t="n">
        <x:f>MOD(ABS(SIN((A782+2)*12.9898+78.233)*43758.5453),1)</x:f>
        <x:v>0.6666989193399786</x:v>
      </x:c>
      <x:c r="D782" s="131" t="n">
        <x:f>MOD(ABS(SIN((A782+3)*12.9898+78.233)*43758.5453),1)</x:f>
        <x:v>0.6634012204303872</x:v>
      </x:c>
      <x:c r="E782" s="131" t="n">
        <x:f>MOD(ABS(SIN((A782+4)*12.9898+78.233)*43758.5453),1)</x:f>
        <x:v>0.9974192844074423</x:v>
      </x:c>
      <x:c r="F782" s="131" t="n">
        <x:f>MOD(ABS(SIN((A782+5)*12.9898+78.233)*43758.5453),1)</x:f>
        <x:v>0.6971236315939677</x:v>
      </x:c>
      <x:c r="G782" s="132" t="n">
        <x:f>IF(B782&lt;(('Assumptions'!$C$47-'Assumptions'!$B$47)/('Assumptions'!$D$47-'Assumptions'!$B$47)),'Assumptions'!$B$47+SQRT(B782*('Assumptions'!$D$47-'Assumptions'!$B$47)*('Assumptions'!$C$47-'Assumptions'!$B$47)),'Assumptions'!$D$47-SQRT((1-B782)*('Assumptions'!$D$47-'Assumptions'!$B$47)*('Assumptions'!$D$47-'Assumptions'!$C$47)))</x:f>
        <x:v>0.06256810684342781</x:v>
      </x:c>
      <x:c r="H782" s="132" t="n">
        <x:f>IF(C782&lt;(('Assumptions'!$C$48-'Assumptions'!$B$48)/('Assumptions'!$D$48-'Assumptions'!$B$48)),'Assumptions'!$B$48+SQRT(C782*('Assumptions'!$D$48-'Assumptions'!$B$48)*('Assumptions'!$C$48-'Assumptions'!$B$48)),'Assumptions'!$D$48-SQRT((1-C782)*('Assumptions'!$D$48-'Assumptions'!$B$48)*('Assumptions'!$D$48-'Assumptions'!$C$48)))</x:f>
        <x:v>0.08584236425204486</x:v>
      </x:c>
      <x:c r="I782" s="132" t="n">
        <x:f>IF(D782&lt;(('Assumptions'!$C$49-'Assumptions'!$B$49)/('Assumptions'!$D$49-'Assumptions'!$B$49)),'Assumptions'!$B$49+SQRT(D782*('Assumptions'!$D$49-'Assumptions'!$B$49)*('Assumptions'!$C$49-'Assumptions'!$B$49)),'Assumptions'!$D$49-SQRT((1-D782)*('Assumptions'!$D$49-'Assumptions'!$B$49)*('Assumptions'!$D$49-'Assumptions'!$C$49)))</x:f>
        <x:v>0.06473257574721963</x:v>
      </x:c>
      <x:c r="J782" s="132" t="n">
        <x:f>IF(E782&lt;(('Assumptions'!$C$50-'Assumptions'!$B$50)/('Assumptions'!$D$50-'Assumptions'!$B$50)),'Assumptions'!$B$50+SQRT(E782*('Assumptions'!$D$50-'Assumptions'!$B$50)*('Assumptions'!$C$50-'Assumptions'!$B$50)),'Assumptions'!$D$50-SQRT((1-E782)*('Assumptions'!$D$50-'Assumptions'!$B$50)*('Assumptions'!$D$50-'Assumptions'!$C$50)))</x:f>
        <x:v>0.07914804562304849</x:v>
      </x:c>
      <x:c r="K782" s="132" t="n">
        <x:f>IF(F782&lt;(('Assumptions'!$C$51-'Assumptions'!$B$51)/('Assumptions'!$D$51-'Assumptions'!$B$51)),'Assumptions'!$B$51+SQRT(F782*('Assumptions'!$D$51-'Assumptions'!$B$51)*('Assumptions'!$C$51-'Assumptions'!$B$51)),'Assumptions'!$D$51-SQRT((1-F782)*('Assumptions'!$D$51-'Assumptions'!$B$51)*('Assumptions'!$D$51-'Assumptions'!$C$51)))</x:f>
        <x:v>0.07292692034750856</x:v>
      </x:c>
      <x:c r="L782" s="133" t="n">
        <x:f>(('Assumptions'!$B$17*(1+G782)+'Assumptions'!$B$18)*(1-H782-'Assumptions'!$B$20)-SUM('Assumptions'!$B$21:$B$25)*(1+I782))-(('Assumptions'!$B$17*(1+G782)+'Assumptions'!$B$18)*(1-H782-'Assumptions'!$B$20)*'Assumptions'!$B$26)</x:f>
        <x:v>213495.50506209116</x:v>
      </x:c>
      <x:c r="M782" s="133" t="n">
        <x:f>'Assumptions'!$B$10*'Assumptions'!$B$33</x:f>
        <x:v>1950000</x:v>
      </x:c>
      <x:c r="N782" s="133" t="n">
        <x:f>-PMT(K782/12,'Assumptions'!$B$35*12,M782)*12</x:f>
        <x:v>160307.4002430262</x:v>
      </x:c>
      <x:c r="O782" s="133" t="n">
        <x:f>(L782*(1+'Assumptions'!$B$29)^('Assumptions'!$B$14/12)/J782)*(1-'Assumptions'!$B$42)-'Debt Schedule'!$F$9</x:f>
        <x:v>2939425.9065625416</x:v>
      </x:c>
      <x:c r="P782" s="132" t="n">
        <x:f>((O782+(L782-N782-'Assumptions'!$B$27-'Assumptions'!$B$28)*('Assumptions'!$B$14/12))/ABS('Monthly Cash Flow'!$S$5))^(1/('Assumptions'!$B$14/12))-1</x:f>
        <x:v>0.18347496469583158</x:v>
      </x:c>
      <x:c r="Q782" s="133" t="n">
        <x:f>-ABS('Monthly Cash Flow'!$S$5)+((L782-N782-'Assumptions'!$B$27-'Assumptions'!$B$28)*(1-(1+'Assumptions'!$B$43)^-('Assumptions'!$B$14/12))/'Assumptions'!$B$43)+(O782/(1+'Assumptions'!$B$43)^('Assumptions'!$B$14/12))</x:f>
        <x:v>580645.5161988526</x:v>
      </x:c>
    </x:row>
    <x:row r="783">
      <x:c r="A783" s="131" t="n">
        <x:f>776</x:f>
        <x:v>776</x:v>
      </x:c>
      <x:c r="B783" s="131" t="n">
        <x:f>MOD(ABS(SIN((A783+1)*12.9898+78.233)*43758.5453),1)</x:f>
        <x:v>0.6666989193399786</x:v>
      </x:c>
      <x:c r="C783" s="131" t="n">
        <x:f>MOD(ABS(SIN((A783+2)*12.9898+78.233)*43758.5453),1)</x:f>
        <x:v>0.6634012204303872</x:v>
      </x:c>
      <x:c r="D783" s="131" t="n">
        <x:f>MOD(ABS(SIN((A783+3)*12.9898+78.233)*43758.5453),1)</x:f>
        <x:v>0.9974192844074423</x:v>
      </x:c>
      <x:c r="E783" s="131" t="n">
        <x:f>MOD(ABS(SIN((A783+4)*12.9898+78.233)*43758.5453),1)</x:f>
        <x:v>0.6971236315939677</x:v>
      </x:c>
      <x:c r="F783" s="131" t="n">
        <x:f>MOD(ABS(SIN((A783+5)*12.9898+78.233)*43758.5453),1)</x:f>
        <x:v>0.03856870043819072</x:v>
      </x:c>
      <x:c r="G783" s="132" t="n">
        <x:f>IF(B783&lt;(('Assumptions'!$C$47-'Assumptions'!$B$47)/('Assumptions'!$D$47-'Assumptions'!$B$47)),'Assumptions'!$B$47+SQRT(B783*('Assumptions'!$D$47-'Assumptions'!$B$47)*('Assumptions'!$C$47-'Assumptions'!$B$47)),'Assumptions'!$D$47-SQRT((1-B783)*('Assumptions'!$D$47-'Assumptions'!$B$47)*('Assumptions'!$D$47-'Assumptions'!$C$47)))</x:f>
        <x:v>0.026973858854788577</x:v>
      </x:c>
      <x:c r="H783" s="132" t="n">
        <x:f>IF(C783&lt;(('Assumptions'!$C$48-'Assumptions'!$B$48)/('Assumptions'!$D$48-'Assumptions'!$B$48)),'Assumptions'!$B$48+SQRT(C783*('Assumptions'!$D$48-'Assumptions'!$B$48)*('Assumptions'!$C$48-'Assumptions'!$B$48)),'Assumptions'!$D$48-SQRT((1-C783)*('Assumptions'!$D$48-'Assumptions'!$B$48)*('Assumptions'!$D$48-'Assumptions'!$C$48)))</x:f>
        <x:v>0.08557510440788524</x:v>
      </x:c>
      <x:c r="I783" s="132" t="n">
        <x:f>IF(D783&lt;(('Assumptions'!$C$49-'Assumptions'!$B$49)/('Assumptions'!$D$49-'Assumptions'!$B$49)),'Assumptions'!$B$49+SQRT(D783*('Assumptions'!$D$49-'Assumptions'!$B$49)*('Assumptions'!$C$49-'Assumptions'!$B$49)),'Assumptions'!$D$49-SQRT((1-D783)*('Assumptions'!$D$49-'Assumptions'!$B$49)*('Assumptions'!$D$49-'Assumptions'!$C$49)))</x:f>
        <x:v>0.14253384591645432</x:v>
      </x:c>
      <x:c r="J783" s="132" t="n">
        <x:f>IF(E783&lt;(('Assumptions'!$C$50-'Assumptions'!$B$50)/('Assumptions'!$D$50-'Assumptions'!$B$50)),'Assumptions'!$B$50+SQRT(E783*('Assumptions'!$D$50-'Assumptions'!$B$50)*('Assumptions'!$C$50-'Assumptions'!$B$50)),'Assumptions'!$D$50-SQRT((1-E783)*('Assumptions'!$D$50-'Assumptions'!$B$50)*('Assumptions'!$D$50-'Assumptions'!$C$50)))</x:f>
        <x:v>0.07077048329465749</x:v>
      </x:c>
      <x:c r="K783" s="132" t="n">
        <x:f>IF(F783&lt;(('Assumptions'!$C$51-'Assumptions'!$B$51)/('Assumptions'!$D$51-'Assumptions'!$B$51)),'Assumptions'!$B$51+SQRT(F783*('Assumptions'!$D$51-'Assumptions'!$B$51)*('Assumptions'!$C$51-'Assumptions'!$B$51)),'Assumptions'!$D$51-SQRT((1-F783)*('Assumptions'!$D$51-'Assumptions'!$B$51)*('Assumptions'!$D$51-'Assumptions'!$C$51)))</x:f>
        <x:v>0.06075674571013803</x:v>
      </x:c>
      <x:c r="L783" s="133" t="n">
        <x:f>(('Assumptions'!$B$17*(1+G783)+'Assumptions'!$B$18)*(1-H783-'Assumptions'!$B$20)-SUM('Assumptions'!$B$21:$B$25)*(1+I783))-(('Assumptions'!$B$17*(1+G783)+'Assumptions'!$B$18)*(1-H783-'Assumptions'!$B$20)*'Assumptions'!$B$26)</x:f>
        <x:v>192669.6401947487</x:v>
      </x:c>
      <x:c r="M783" s="133" t="n">
        <x:f>'Assumptions'!$B$10*'Assumptions'!$B$33</x:f>
        <x:v>1950000</x:v>
      </x:c>
      <x:c r="N783" s="133" t="n">
        <x:f>-PMT(K783/12,'Assumptions'!$B$35*12,M783)*12</x:f>
        <x:v>141435.31540096074</x:v>
      </x:c>
      <x:c r="O783" s="133" t="n">
        <x:f>(L783*(1+'Assumptions'!$B$29)^('Assumptions'!$B$14/12)/J783)*(1-'Assumptions'!$B$42)-'Debt Schedule'!$F$9</x:f>
        <x:v>2966710.0446575894</x:v>
      </x:c>
      <x:c r="P783" s="132" t="n">
        <x:f>((O783+(L783-N783-'Assumptions'!$B$27-'Assumptions'!$B$28)*('Assumptions'!$B$14/12))/ABS('Monthly Cash Flow'!$S$5))^(1/('Assumptions'!$B$14/12))-1</x:f>
        <x:v>0.18485121557382933</x:v>
      </x:c>
      <x:c r="Q783" s="133" t="n">
        <x:f>-ABS('Monthly Cash Flow'!$S$5)+((L783-N783-'Assumptions'!$B$27-'Assumptions'!$B$28)*(1-(1+'Assumptions'!$B$43)^-('Assumptions'!$B$14/12))/'Assumptions'!$B$43)+(O783/(1+'Assumptions'!$B$43)^('Assumptions'!$B$14/12))</x:f>
        <x:v>590180.4558532038</x:v>
      </x:c>
    </x:row>
    <x:row r="784">
      <x:c r="A784" s="131" t="n">
        <x:f>777</x:f>
        <x:v>777</x:v>
      </x:c>
      <x:c r="B784" s="131" t="n">
        <x:f>MOD(ABS(SIN((A784+1)*12.9898+78.233)*43758.5453),1)</x:f>
        <x:v>0.6634012204303872</x:v>
      </x:c>
      <x:c r="C784" s="131" t="n">
        <x:f>MOD(ABS(SIN((A784+2)*12.9898+78.233)*43758.5453),1)</x:f>
        <x:v>0.9974192844074423</x:v>
      </x:c>
      <x:c r="D784" s="131" t="n">
        <x:f>MOD(ABS(SIN((A784+3)*12.9898+78.233)*43758.5453),1)</x:f>
        <x:v>0.6971236315939677</x:v>
      </x:c>
      <x:c r="E784" s="131" t="n">
        <x:f>MOD(ABS(SIN((A784+4)*12.9898+78.233)*43758.5453),1)</x:f>
        <x:v>0.03856870043819072</x:v>
      </x:c>
      <x:c r="F784" s="131" t="n">
        <x:f>MOD(ABS(SIN((A784+5)*12.9898+78.233)*43758.5453),1)</x:f>
        <x:v>0.12544396254816093</x:v>
      </x:c>
      <x:c r="G784" s="132" t="n">
        <x:f>IF(B784&lt;(('Assumptions'!$C$47-'Assumptions'!$B$47)/('Assumptions'!$D$47-'Assumptions'!$B$47)),'Assumptions'!$B$47+SQRT(B784*('Assumptions'!$D$47-'Assumptions'!$B$47)*('Assumptions'!$C$47-'Assumptions'!$B$47)),'Assumptions'!$D$47-SQRT((1-B784)*('Assumptions'!$D$47-'Assumptions'!$B$47)*('Assumptions'!$D$47-'Assumptions'!$C$47)))</x:f>
        <x:v>0.026613485754439836</x:v>
      </x:c>
      <x:c r="H784" s="132" t="n">
        <x:f>IF(C784&lt;(('Assumptions'!$C$48-'Assumptions'!$B$48)/('Assumptions'!$D$48-'Assumptions'!$B$48)),'Assumptions'!$B$48+SQRT(C784*('Assumptions'!$D$48-'Assumptions'!$B$48)*('Assumptions'!$C$48-'Assumptions'!$B$48)),'Assumptions'!$D$48-SQRT((1-C784)*('Assumptions'!$D$48-'Assumptions'!$B$48)*('Assumptions'!$D$48-'Assumptions'!$C$48)))</x:f>
        <x:v>0.1352344677931518</x:v>
      </x:c>
      <x:c r="I784" s="132" t="n">
        <x:f>IF(D784&lt;(('Assumptions'!$C$49-'Assumptions'!$B$49)/('Assumptions'!$D$49-'Assumptions'!$B$49)),'Assumptions'!$B$49+SQRT(D784*('Assumptions'!$D$49-'Assumptions'!$B$49)*('Assumptions'!$C$49-'Assumptions'!$B$49)),'Assumptions'!$D$49-SQRT((1-D784)*('Assumptions'!$D$49-'Assumptions'!$B$49)*('Assumptions'!$D$49-'Assumptions'!$C$49)))</x:f>
        <x:v>0.06911656808981027</x:v>
      </x:c>
      <x:c r="J784" s="132" t="n">
        <x:f>IF(E784&lt;(('Assumptions'!$C$50-'Assumptions'!$B$50)/('Assumptions'!$D$50-'Assumptions'!$B$50)),'Assumptions'!$B$50+SQRT(E784*('Assumptions'!$D$50-'Assumptions'!$B$50)*('Assumptions'!$C$50-'Assumptions'!$B$50)),'Assumptions'!$D$50-SQRT((1-E784)*('Assumptions'!$D$50-'Assumptions'!$B$50)*('Assumptions'!$D$50-'Assumptions'!$C$50)))</x:f>
        <x:v>0.06044583733403475</x:v>
      </x:c>
      <x:c r="K784" s="132" t="n">
        <x:f>IF(F784&lt;(('Assumptions'!$C$51-'Assumptions'!$B$51)/('Assumptions'!$D$51-'Assumptions'!$B$51)),'Assumptions'!$B$51+SQRT(F784*('Assumptions'!$D$51-'Assumptions'!$B$51)*('Assumptions'!$C$51-'Assumptions'!$B$51)),'Assumptions'!$D$51-SQRT((1-F784)*('Assumptions'!$D$51-'Assumptions'!$B$51)*('Assumptions'!$D$51-'Assumptions'!$C$51)))</x:f>
        <x:v>0.06337342231588572</x:v>
      </x:c>
      <x:c r="L784" s="133" t="n">
        <x:f>(('Assumptions'!$B$17*(1+G784)+'Assumptions'!$B$18)*(1-H784-'Assumptions'!$B$20)-SUM('Assumptions'!$B$21:$B$25)*(1+I784))-(('Assumptions'!$B$17*(1+G784)+'Assumptions'!$B$18)*(1-H784-'Assumptions'!$B$20)*'Assumptions'!$B$26)</x:f>
        <x:v>183330.4378806905</x:v>
      </x:c>
      <x:c r="M784" s="133" t="n">
        <x:f>'Assumptions'!$B$10*'Assumptions'!$B$33</x:f>
        <x:v>1950000</x:v>
      </x:c>
      <x:c r="N784" s="133" t="n">
        <x:f>-PMT(K784/12,'Assumptions'!$B$35*12,M784)*12</x:f>
        <x:v>145409.70372157395</x:v>
      </x:c>
      <x:c r="O784" s="133" t="n">
        <x:f>(L784*(1+'Assumptions'!$B$29)^('Assumptions'!$B$14/12)/J784)*(1-'Assumptions'!$B$42)-'Debt Schedule'!$F$9</x:f>
        <x:v>3305081.359717627</x:v>
      </x:c>
      <x:c r="P784" s="132" t="n">
        <x:f>((O784+(L784-N784-'Assumptions'!$B$27-'Assumptions'!$B$28)*('Assumptions'!$B$14/12))/ABS('Monthly Cash Flow'!$S$5))^(1/('Assumptions'!$B$14/12))-1</x:f>
        <x:v>0.20543103769196636</x:v>
      </x:c>
      <x:c r="Q784" s="133" t="n">
        <x:f>-ABS('Monthly Cash Flow'!$S$5)+((L784-N784-'Assumptions'!$B$27-'Assumptions'!$B$28)*(1-(1+'Assumptions'!$B$43)^-('Assumptions'!$B$14/12))/'Assumptions'!$B$43)+(O784/(1+'Assumptions'!$B$43)^('Assumptions'!$B$14/12))</x:f>
        <x:v>749813.4372543159</x:v>
      </x:c>
    </x:row>
    <x:row r="785">
      <x:c r="A785" s="131" t="n">
        <x:f>778</x:f>
        <x:v>778</x:v>
      </x:c>
      <x:c r="B785" s="131" t="n">
        <x:f>MOD(ABS(SIN((A785+1)*12.9898+78.233)*43758.5453),1)</x:f>
        <x:v>0.9974192844074423</x:v>
      </x:c>
      <x:c r="C785" s="131" t="n">
        <x:f>MOD(ABS(SIN((A785+2)*12.9898+78.233)*43758.5453),1)</x:f>
        <x:v>0.6971236315939677</x:v>
      </x:c>
      <x:c r="D785" s="131" t="n">
        <x:f>MOD(ABS(SIN((A785+3)*12.9898+78.233)*43758.5453),1)</x:f>
        <x:v>0.03856870043819072</x:v>
      </x:c>
      <x:c r="E785" s="131" t="n">
        <x:f>MOD(ABS(SIN((A785+4)*12.9898+78.233)*43758.5453),1)</x:f>
        <x:v>0.12544396254816093</x:v>
      </x:c>
      <x:c r="F785" s="131" t="n">
        <x:f>MOD(ABS(SIN((A785+5)*12.9898+78.233)*43758.5453),1)</x:f>
        <x:v>0.4811186815422843</x:v>
      </x:c>
      <x:c r="G785" s="132" t="n">
        <x:f>IF(B785&lt;(('Assumptions'!$C$47-'Assumptions'!$B$47)/('Assumptions'!$D$47-'Assumptions'!$B$47)),'Assumptions'!$B$47+SQRT(B785*('Assumptions'!$D$47-'Assumptions'!$B$47)*('Assumptions'!$C$47-'Assumptions'!$B$47)),'Assumptions'!$D$47-SQRT((1-B785)*('Assumptions'!$D$47-'Assumptions'!$B$47)*('Assumptions'!$D$47-'Assumptions'!$C$47)))</x:f>
        <x:v>0.09357415768315758</x:v>
      </x:c>
      <x:c r="H785" s="132" t="n">
        <x:f>IF(C785&lt;(('Assumptions'!$C$48-'Assumptions'!$B$48)/('Assumptions'!$D$48-'Assumptions'!$B$48)),'Assumptions'!$B$48+SQRT(C785*('Assumptions'!$D$48-'Assumptions'!$B$48)*('Assumptions'!$C$48-'Assumptions'!$B$48)),'Assumptions'!$D$48-SQRT((1-C785)*('Assumptions'!$D$48-'Assumptions'!$B$48)*('Assumptions'!$D$48-'Assumptions'!$C$48)))</x:f>
        <x:v>0.08837333981388024</x:v>
      </x:c>
      <x:c r="I785" s="132" t="n">
        <x:f>IF(D785&lt;(('Assumptions'!$C$49-'Assumptions'!$B$49)/('Assumptions'!$D$49-'Assumptions'!$B$49)),'Assumptions'!$B$49+SQRT(D785*('Assumptions'!$D$49-'Assumptions'!$B$49)*('Assumptions'!$C$49-'Assumptions'!$B$49)),'Assumptions'!$D$49-SQRT((1-D785)*('Assumptions'!$D$49-'Assumptions'!$B$49)*('Assumptions'!$D$49-'Assumptions'!$C$49)))</x:f>
        <x:v>-0.009590640266474312</x:v>
      </x:c>
      <x:c r="J785" s="132" t="n">
        <x:f>IF(E785&lt;(('Assumptions'!$C$50-'Assumptions'!$B$50)/('Assumptions'!$D$50-'Assumptions'!$B$50)),'Assumptions'!$B$50+SQRT(E785*('Assumptions'!$D$50-'Assumptions'!$B$50)*('Assumptions'!$C$50-'Assumptions'!$B$50)),'Assumptions'!$D$50-SQRT((1-E785)*('Assumptions'!$D$50-'Assumptions'!$B$50)*('Assumptions'!$D$50-'Assumptions'!$C$50)))</x:f>
        <x:v>0.06281271037920723</x:v>
      </x:c>
      <x:c r="K785" s="132" t="n">
        <x:f>IF(F785&lt;(('Assumptions'!$C$51-'Assumptions'!$B$51)/('Assumptions'!$D$51-'Assumptions'!$B$51)),'Assumptions'!$B$51+SQRT(F785*('Assumptions'!$D$51-'Assumptions'!$B$51)*('Assumptions'!$C$51-'Assumptions'!$B$51)),'Assumptions'!$D$51-SQRT((1-F785)*('Assumptions'!$D$51-'Assumptions'!$B$51)*('Assumptions'!$D$51-'Assumptions'!$C$51)))</x:f>
        <x:v>0.06919773324779716</x:v>
      </x:c>
      <x:c r="L785" s="133" t="n">
        <x:f>(('Assumptions'!$B$17*(1+G785)+'Assumptions'!$B$18)*(1-H785-'Assumptions'!$B$20)-SUM('Assumptions'!$B$21:$B$25)*(1+I785))-(('Assumptions'!$B$17*(1+G785)+'Assumptions'!$B$18)*(1-H785-'Assumptions'!$B$20)*'Assumptions'!$B$26)</x:f>
        <x:v>231548.61406377802</x:v>
      </x:c>
      <x:c r="M785" s="133" t="n">
        <x:f>'Assumptions'!$B$10*'Assumptions'!$B$33</x:f>
        <x:v>1950000</x:v>
      </x:c>
      <x:c r="N785" s="133" t="n">
        <x:f>-PMT(K785/12,'Assumptions'!$B$35*12,M785)*12</x:f>
        <x:v>154422.03998235552</x:v>
      </x:c>
      <x:c r="O785" s="133" t="n">
        <x:f>(L785*(1+'Assumptions'!$B$29)^('Assumptions'!$B$14/12)/J785)*(1-'Assumptions'!$B$42)-'Debt Schedule'!$F$9</x:f>
        <x:v>4017062.874495956</x:v>
      </x:c>
      <x:c r="P785" s="132" t="n">
        <x:f>((O785+(L785-N785-'Assumptions'!$B$27-'Assumptions'!$B$28)*('Assumptions'!$B$14/12))/ABS('Monthly Cash Flow'!$S$5))^(1/('Assumptions'!$B$14/12))-1</x:f>
        <x:v>0.2655671082565412</x:v>
      </x:c>
      <x:c r="Q785" s="133" t="n">
        <x:f>-ABS('Monthly Cash Flow'!$S$5)+((L785-N785-'Assumptions'!$B$27-'Assumptions'!$B$28)*(1-(1+'Assumptions'!$B$43)^-('Assumptions'!$B$14/12))/'Assumptions'!$B$43)+(O785/(1+'Assumptions'!$B$43)^('Assumptions'!$B$14/12))</x:f>
        <x:v>1340518.9206651603</x:v>
      </x:c>
    </x:row>
    <x:row r="786">
      <x:c r="A786" s="131" t="n">
        <x:f>779</x:f>
        <x:v>779</x:v>
      </x:c>
      <x:c r="B786" s="131" t="n">
        <x:f>MOD(ABS(SIN((A786+1)*12.9898+78.233)*43758.5453),1)</x:f>
        <x:v>0.6971236315939677</x:v>
      </x:c>
      <x:c r="C786" s="131" t="n">
        <x:f>MOD(ABS(SIN((A786+2)*12.9898+78.233)*43758.5453),1)</x:f>
        <x:v>0.03856870043819072</x:v>
      </x:c>
      <x:c r="D786" s="131" t="n">
        <x:f>MOD(ABS(SIN((A786+3)*12.9898+78.233)*43758.5453),1)</x:f>
        <x:v>0.12544396254816093</x:v>
      </x:c>
      <x:c r="E786" s="131" t="n">
        <x:f>MOD(ABS(SIN((A786+4)*12.9898+78.233)*43758.5453),1)</x:f>
        <x:v>0.4811186815422843</x:v>
      </x:c>
      <x:c r="F786" s="131" t="n">
        <x:f>MOD(ABS(SIN((A786+5)*12.9898+78.233)*43758.5453),1)</x:f>
        <x:v>0.28540871522272937</x:v>
      </x:c>
      <x:c r="G786" s="132" t="n">
        <x:f>IF(B786&lt;(('Assumptions'!$C$47-'Assumptions'!$B$47)/('Assumptions'!$D$47-'Assumptions'!$B$47)),'Assumptions'!$B$47+SQRT(B786*('Assumptions'!$D$47-'Assumptions'!$B$47)*('Assumptions'!$C$47-'Assumptions'!$B$47)),'Assumptions'!$D$47-SQRT((1-B786)*('Assumptions'!$D$47-'Assumptions'!$B$47)*('Assumptions'!$D$47-'Assumptions'!$C$47)))</x:f>
        <x:v>0.030386625606163037</x:v>
      </x:c>
      <x:c r="H786" s="132" t="n">
        <x:f>IF(C786&lt;(('Assumptions'!$C$48-'Assumptions'!$B$48)/('Assumptions'!$D$48-'Assumptions'!$B$48)),'Assumptions'!$B$48+SQRT(C786*('Assumptions'!$D$48-'Assumptions'!$B$48)*('Assumptions'!$C$48-'Assumptions'!$B$48)),'Assumptions'!$D$48-SQRT((1-C786)*('Assumptions'!$D$48-'Assumptions'!$B$48)*('Assumptions'!$D$48-'Assumptions'!$C$48)))</x:f>
        <x:v>0.041281698074582096</x:v>
      </x:c>
      <x:c r="I786" s="132" t="n">
        <x:f>IF(D786&lt;(('Assumptions'!$C$49-'Assumptions'!$B$49)/('Assumptions'!$D$49-'Assumptions'!$B$49)),'Assumptions'!$B$49+SQRT(D786*('Assumptions'!$D$49-'Assumptions'!$B$49)*('Assumptions'!$C$49-'Assumptions'!$B$49)),'Assumptions'!$D$49-SQRT((1-D786)*('Assumptions'!$D$49-'Assumptions'!$B$49)*('Assumptions'!$D$49-'Assumptions'!$C$49)))</x:f>
        <x:v>0.006807537210741739</x:v>
      </x:c>
      <x:c r="J786" s="132" t="n">
        <x:f>IF(E786&lt;(('Assumptions'!$C$50-'Assumptions'!$B$50)/('Assumptions'!$D$50-'Assumptions'!$B$50)),'Assumptions'!$B$50+SQRT(E786*('Assumptions'!$D$50-'Assumptions'!$B$50)*('Assumptions'!$C$50-'Assumptions'!$B$50)),'Assumptions'!$D$50-SQRT((1-E786)*('Assumptions'!$D$50-'Assumptions'!$B$50)*('Assumptions'!$D$50-'Assumptions'!$C$50)))</x:f>
        <x:v>0.06791962869708748</x:v>
      </x:c>
      <x:c r="K786" s="132" t="n">
        <x:f>IF(F786&lt;(('Assumptions'!$C$51-'Assumptions'!$B$51)/('Assumptions'!$D$51-'Assumptions'!$B$51)),'Assumptions'!$B$51+SQRT(F786*('Assumptions'!$D$51-'Assumptions'!$B$51)*('Assumptions'!$C$51-'Assumptions'!$B$51)),'Assumptions'!$D$51-SQRT((1-F786)*('Assumptions'!$D$51-'Assumptions'!$B$51)*('Assumptions'!$D$51-'Assumptions'!$C$51)))</x:f>
        <x:v>0.06635931129864227</x:v>
      </x:c>
      <x:c r="L786" s="133" t="n">
        <x:f>(('Assumptions'!$B$17*(1+G786)+'Assumptions'!$B$18)*(1-H786-'Assumptions'!$B$20)-SUM('Assumptions'!$B$21:$B$25)*(1+I786))-(('Assumptions'!$B$17*(1+G786)+'Assumptions'!$B$18)*(1-H786-'Assumptions'!$B$20)*'Assumptions'!$B$26)</x:f>
        <x:v>227376.22472983124</x:v>
      </x:c>
      <x:c r="M786" s="133" t="n">
        <x:f>'Assumptions'!$B$10*'Assumptions'!$B$33</x:f>
        <x:v>1950000</x:v>
      </x:c>
      <x:c r="N786" s="133" t="n">
        <x:f>-PMT(K786/12,'Assumptions'!$B$35*12,M786)*12</x:f>
        <x:v>150001.9345845347</x:v>
      </x:c>
      <x:c r="O786" s="133" t="n">
        <x:f>(L786*(1+'Assumptions'!$B$29)^('Assumptions'!$B$14/12)/J786)*(1-'Assumptions'!$B$42)-'Debt Schedule'!$F$9</x:f>
        <x:v>3648074.7237306195</x:v>
      </x:c>
      <x:c r="P786" s="132" t="n">
        <x:f>((O786+(L786-N786-'Assumptions'!$B$27-'Assumptions'!$B$28)*('Assumptions'!$B$14/12))/ABS('Monthly Cash Flow'!$S$5))^(1/('Assumptions'!$B$14/12))-1</x:f>
        <x:v>0.24260026987543637</x:v>
      </x:c>
      <x:c r="Q786" s="133" t="n">
        <x:f>-ABS('Monthly Cash Flow'!$S$5)+((L786-N786-'Assumptions'!$B$27-'Assumptions'!$B$28)*(1-(1+'Assumptions'!$B$43)^-('Assumptions'!$B$14/12))/'Assumptions'!$B$43)+(O786/(1+'Assumptions'!$B$43)^('Assumptions'!$B$14/12))</x:f>
        <x:v>1112345.3486763001</x:v>
      </x:c>
    </x:row>
    <x:row r="787">
      <x:c r="A787" s="131" t="n">
        <x:f>780</x:f>
        <x:v>780</x:v>
      </x:c>
      <x:c r="B787" s="131" t="n">
        <x:f>MOD(ABS(SIN((A787+1)*12.9898+78.233)*43758.5453),1)</x:f>
        <x:v>0.03856870043819072</x:v>
      </x:c>
      <x:c r="C787" s="131" t="n">
        <x:f>MOD(ABS(SIN((A787+2)*12.9898+78.233)*43758.5453),1)</x:f>
        <x:v>0.12544396254816093</x:v>
      </x:c>
      <x:c r="D787" s="131" t="n">
        <x:f>MOD(ABS(SIN((A787+3)*12.9898+78.233)*43758.5453),1)</x:f>
        <x:v>0.4811186815422843</x:v>
      </x:c>
      <x:c r="E787" s="131" t="n">
        <x:f>MOD(ABS(SIN((A787+4)*12.9898+78.233)*43758.5453),1)</x:f>
        <x:v>0.28540871522272937</x:v>
      </x:c>
      <x:c r="F787" s="131" t="n">
        <x:f>MOD(ABS(SIN((A787+5)*12.9898+78.233)*43758.5453),1)</x:f>
        <x:v>0.7846507988142548</x:v>
      </x:c>
      <x:c r="G787" s="132" t="n">
        <x:f>IF(B787&lt;(('Assumptions'!$C$47-'Assumptions'!$B$47)/('Assumptions'!$D$47-'Assumptions'!$B$47)),'Assumptions'!$B$47+SQRT(B787*('Assumptions'!$D$47-'Assumptions'!$B$47)*('Assumptions'!$C$47-'Assumptions'!$B$47)),'Assumptions'!$D$47-SQRT((1-B787)*('Assumptions'!$D$47-'Assumptions'!$B$47)*('Assumptions'!$D$47-'Assumptions'!$C$47)))</x:f>
        <x:v>-0.06957552283905971</x:v>
      </x:c>
      <x:c r="H787" s="132" t="n">
        <x:f>IF(C787&lt;(('Assumptions'!$C$48-'Assumptions'!$B$48)/('Assumptions'!$D$48-'Assumptions'!$B$48)),'Assumptions'!$B$48+SQRT(C787*('Assumptions'!$D$48-'Assumptions'!$B$48)*('Assumptions'!$C$48-'Assumptions'!$B$48)),'Assumptions'!$D$48-SQRT((1-C787)*('Assumptions'!$D$48-'Assumptions'!$B$48)*('Assumptions'!$D$48-'Assumptions'!$C$48)))</x:f>
        <x:v>0.05034613173084582</x:v>
      </x:c>
      <x:c r="I787" s="132" t="n">
        <x:f>IF(D787&lt;(('Assumptions'!$C$49-'Assumptions'!$B$49)/('Assumptions'!$D$49-'Assumptions'!$B$49)),'Assumptions'!$B$49+SQRT(D787*('Assumptions'!$D$49-'Assumptions'!$B$49)*('Assumptions'!$C$49-'Assumptions'!$B$49)),'Assumptions'!$D$49-SQRT((1-D787)*('Assumptions'!$D$49-'Assumptions'!$B$49)*('Assumptions'!$D$49-'Assumptions'!$C$49)))</x:f>
        <x:v>0.04413293014970775</x:v>
      </x:c>
      <x:c r="J787" s="132" t="n">
        <x:f>IF(E787&lt;(('Assumptions'!$C$50-'Assumptions'!$B$50)/('Assumptions'!$D$50-'Assumptions'!$B$50)),'Assumptions'!$B$50+SQRT(E787*('Assumptions'!$D$50-'Assumptions'!$B$50)*('Assumptions'!$C$50-'Assumptions'!$B$50)),'Assumptions'!$D$50-SQRT((1-E787)*('Assumptions'!$D$50-'Assumptions'!$B$50)*('Assumptions'!$D$50-'Assumptions'!$C$50)))</x:f>
        <x:v>0.06551354858505981</x:v>
      </x:c>
      <x:c r="K787" s="132" t="n">
        <x:f>IF(F787&lt;(('Assumptions'!$C$51-'Assumptions'!$B$51)/('Assumptions'!$D$51-'Assumptions'!$B$51)),'Assumptions'!$B$51+SQRT(F787*('Assumptions'!$D$51-'Assumptions'!$B$51)*('Assumptions'!$C$51-'Assumptions'!$B$51)),'Assumptions'!$D$51-SQRT((1-F787)*('Assumptions'!$D$51-'Assumptions'!$B$51)*('Assumptions'!$D$51-'Assumptions'!$C$51)))</x:f>
        <x:v>0.07481978374146012</x:v>
      </x:c>
      <x:c r="L787" s="133" t="n">
        <x:f>(('Assumptions'!$B$17*(1+G787)+'Assumptions'!$B$18)*(1-H787-'Assumptions'!$B$20)-SUM('Assumptions'!$B$21:$B$25)*(1+I787))-(('Assumptions'!$B$17*(1+G787)+'Assumptions'!$B$18)*(1-H787-'Assumptions'!$B$20)*'Assumptions'!$B$26)</x:f>
        <x:v>186826.58670860686</x:v>
      </x:c>
      <x:c r="M787" s="133" t="n">
        <x:f>'Assumptions'!$B$10*'Assumptions'!$B$33</x:f>
        <x:v>1950000</x:v>
      </x:c>
      <x:c r="N787" s="133" t="n">
        <x:f>-PMT(K787/12,'Assumptions'!$B$35*12,M787)*12</x:f>
        <x:v>163327.52792432962</x:v>
      </x:c>
      <x:c r="O787" s="133" t="n">
        <x:f>(L787*(1+'Assumptions'!$B$29)^('Assumptions'!$B$14/12)/J787)*(1-'Assumptions'!$B$42)-'Debt Schedule'!$F$9</x:f>
        <x:v>3107574.382041667</x:v>
      </x:c>
      <x:c r="P787" s="132" t="n">
        <x:f>((O787+(L787-N787-'Assumptions'!$B$27-'Assumptions'!$B$28)*('Assumptions'!$B$14/12))/ABS('Monthly Cash Flow'!$S$5))^(1/('Assumptions'!$B$14/12))-1</x:f>
        <x:v>0.1850226885705728</x:v>
      </x:c>
      <x:c r="Q787" s="133" t="n">
        <x:f>-ABS('Monthly Cash Flow'!$S$5)+((L787-N787-'Assumptions'!$B$27-'Assumptions'!$B$28)*(1-(1+'Assumptions'!$B$43)^-('Assumptions'!$B$14/12))/'Assumptions'!$B$43)+(O787/(1+'Assumptions'!$B$43)^('Assumptions'!$B$14/12))</x:f>
        <x:v>572507.6471586993</x:v>
      </x:c>
    </x:row>
    <x:row r="788">
      <x:c r="A788" s="131" t="n">
        <x:f>781</x:f>
        <x:v>781</x:v>
      </x:c>
      <x:c r="B788" s="131" t="n">
        <x:f>MOD(ABS(SIN((A788+1)*12.9898+78.233)*43758.5453),1)</x:f>
        <x:v>0.12544396254816093</x:v>
      </x:c>
      <x:c r="C788" s="131" t="n">
        <x:f>MOD(ABS(SIN((A788+2)*12.9898+78.233)*43758.5453),1)</x:f>
        <x:v>0.4811186815422843</x:v>
      </x:c>
      <x:c r="D788" s="131" t="n">
        <x:f>MOD(ABS(SIN((A788+3)*12.9898+78.233)*43758.5453),1)</x:f>
        <x:v>0.28540871522272937</x:v>
      </x:c>
      <x:c r="E788" s="131" t="n">
        <x:f>MOD(ABS(SIN((A788+4)*12.9898+78.233)*43758.5453),1)</x:f>
        <x:v>0.7846507988142548</x:v>
      </x:c>
      <x:c r="F788" s="131" t="n">
        <x:f>MOD(ABS(SIN((A788+5)*12.9898+78.233)*43758.5453),1)</x:f>
        <x:v>0.3596382465912029</x:v>
      </x:c>
      <x:c r="G788" s="132" t="n">
        <x:f>IF(B788&lt;(('Assumptions'!$C$47-'Assumptions'!$B$47)/('Assumptions'!$D$47-'Assumptions'!$B$47)),'Assumptions'!$B$47+SQRT(B788*('Assumptions'!$D$47-'Assumptions'!$B$47)*('Assumptions'!$C$47-'Assumptions'!$B$47)),'Assumptions'!$D$47-SQRT((1-B788)*('Assumptions'!$D$47-'Assumptions'!$B$47)*('Assumptions'!$D$47-'Assumptions'!$C$47)))</x:f>
        <x:v>-0.04513056314161898</x:v>
      </x:c>
      <x:c r="H788" s="132" t="n">
        <x:f>IF(C788&lt;(('Assumptions'!$C$48-'Assumptions'!$B$48)/('Assumptions'!$D$48-'Assumptions'!$B$48)),'Assumptions'!$B$48+SQRT(C788*('Assumptions'!$D$48-'Assumptions'!$B$48)*('Assumptions'!$C$48-'Assumptions'!$B$48)),'Assumptions'!$D$48-SQRT((1-C788)*('Assumptions'!$D$48-'Assumptions'!$B$48)*('Assumptions'!$D$48-'Assumptions'!$C$48)))</x:f>
        <x:v>0.07242666500439765</x:v>
      </x:c>
      <x:c r="I788" s="132" t="n">
        <x:f>IF(D788&lt;(('Assumptions'!$C$49-'Assumptions'!$B$49)/('Assumptions'!$D$49-'Assumptions'!$B$49)),'Assumptions'!$B$49+SQRT(D788*('Assumptions'!$D$49-'Assumptions'!$B$49)*('Assumptions'!$C$49-'Assumptions'!$B$49)),'Assumptions'!$D$49-SQRT((1-D788)*('Assumptions'!$D$49-'Assumptions'!$B$49)*('Assumptions'!$D$49-'Assumptions'!$C$49)))</x:f>
        <x:v>0.02551949319298112</x:v>
      </x:c>
      <x:c r="J788" s="132" t="n">
        <x:f>IF(E788&lt;(('Assumptions'!$C$50-'Assumptions'!$B$50)/('Assumptions'!$D$50-'Assumptions'!$B$50)),'Assumptions'!$B$50+SQRT(E788*('Assumptions'!$D$50-'Assumptions'!$B$50)*('Assumptions'!$C$50-'Assumptions'!$B$50)),'Assumptions'!$D$50-SQRT((1-E788)*('Assumptions'!$D$50-'Assumptions'!$B$50)*('Assumptions'!$D$50-'Assumptions'!$C$50)))</x:f>
        <x:v>0.07221752206341124</x:v>
      </x:c>
      <x:c r="K788" s="132" t="n">
        <x:f>IF(F788&lt;(('Assumptions'!$C$51-'Assumptions'!$B$51)/('Assumptions'!$D$51-'Assumptions'!$B$51)),'Assumptions'!$B$51+SQRT(F788*('Assumptions'!$D$51-'Assumptions'!$B$51)*('Assumptions'!$C$51-'Assumptions'!$B$51)),'Assumptions'!$D$51-SQRT((1-F788)*('Assumptions'!$D$51-'Assumptions'!$B$51)*('Assumptions'!$D$51-'Assumptions'!$C$51)))</x:f>
        <x:v>0.06744487394654054</x:v>
      </x:c>
      <x:c r="L788" s="133" t="n">
        <x:f>(('Assumptions'!$B$17*(1+G788)+'Assumptions'!$B$18)*(1-H788-'Assumptions'!$B$20)-SUM('Assumptions'!$B$21:$B$25)*(1+I788))-(('Assumptions'!$B$17*(1+G788)+'Assumptions'!$B$18)*(1-H788-'Assumptions'!$B$20)*'Assumptions'!$B$26)</x:f>
        <x:v>189442.05184051997</x:v>
      </x:c>
      <x:c r="M788" s="133" t="n">
        <x:f>'Assumptions'!$B$10*'Assumptions'!$B$33</x:f>
        <x:v>1950000</x:v>
      </x:c>
      <x:c r="N788" s="133" t="n">
        <x:f>-PMT(K788/12,'Assumptions'!$B$35*12,M788)*12</x:f>
        <x:v>151686.21868255112</x:v>
      </x:c>
      <x:c r="O788" s="133" t="n">
        <x:f>(L788*(1+'Assumptions'!$B$29)^('Assumptions'!$B$14/12)/J788)*(1-'Assumptions'!$B$42)-'Debt Schedule'!$F$9</x:f>
        <x:v>2858563.099725184</x:v>
      </x:c>
      <x:c r="P788" s="132" t="n">
        <x:f>((O788+(L788-N788-'Assumptions'!$B$27-'Assumptions'!$B$28)*('Assumptions'!$B$14/12))/ABS('Monthly Cash Flow'!$S$5))^(1/('Assumptions'!$B$14/12))-1</x:f>
        <x:v>0.17075905114147294</x:v>
      </x:c>
      <x:c r="Q788" s="133" t="n">
        <x:f>-ABS('Monthly Cash Flow'!$S$5)+((L788-N788-'Assumptions'!$B$27-'Assumptions'!$B$28)*(1-(1+'Assumptions'!$B$43)^-('Assumptions'!$B$14/12))/'Assumptions'!$B$43)+(O788/(1+'Assumptions'!$B$43)^('Assumptions'!$B$14/12))</x:f>
        <x:v>471935.6239563236</x:v>
      </x:c>
    </x:row>
    <x:row r="789">
      <x:c r="A789" s="131" t="n">
        <x:f>782</x:f>
        <x:v>782</x:v>
      </x:c>
      <x:c r="B789" s="131" t="n">
        <x:f>MOD(ABS(SIN((A789+1)*12.9898+78.233)*43758.5453),1)</x:f>
        <x:v>0.4811186815422843</x:v>
      </x:c>
      <x:c r="C789" s="131" t="n">
        <x:f>MOD(ABS(SIN((A789+2)*12.9898+78.233)*43758.5453),1)</x:f>
        <x:v>0.28540871522272937</x:v>
      </x:c>
      <x:c r="D789" s="131" t="n">
        <x:f>MOD(ABS(SIN((A789+3)*12.9898+78.233)*43758.5453),1)</x:f>
        <x:v>0.7846507988142548</x:v>
      </x:c>
      <x:c r="E789" s="131" t="n">
        <x:f>MOD(ABS(SIN((A789+4)*12.9898+78.233)*43758.5453),1)</x:f>
        <x:v>0.3596382465912029</x:v>
      </x:c>
      <x:c r="F789" s="131" t="n">
        <x:f>MOD(ABS(SIN((A789+5)*12.9898+78.233)*43758.5453),1)</x:f>
        <x:v>0.4758257522948952</x:v>
      </x:c>
      <x:c r="G789" s="132" t="n">
        <x:f>IF(B789&lt;(('Assumptions'!$C$47-'Assumptions'!$B$47)/('Assumptions'!$D$47-'Assumptions'!$B$47)),'Assumptions'!$B$47+SQRT(B789*('Assumptions'!$D$47-'Assumptions'!$B$47)*('Assumptions'!$C$47-'Assumptions'!$B$47)),'Assumptions'!$D$47-SQRT((1-B789)*('Assumptions'!$D$47-'Assumptions'!$B$47)*('Assumptions'!$D$47-'Assumptions'!$C$47)))</x:f>
        <x:v>0.0074562625304585295</x:v>
      </x:c>
      <x:c r="H789" s="132" t="n">
        <x:f>IF(C789&lt;(('Assumptions'!$C$48-'Assumptions'!$B$48)/('Assumptions'!$D$48-'Assumptions'!$B$48)),'Assumptions'!$B$48+SQRT(C789*('Assumptions'!$D$48-'Assumptions'!$B$48)*('Assumptions'!$C$48-'Assumptions'!$B$48)),'Assumptions'!$D$48-SQRT((1-C789)*('Assumptions'!$D$48-'Assumptions'!$B$48)*('Assumptions'!$D$48-'Assumptions'!$C$48)))</x:f>
        <x:v>0.06070054662206062</x:v>
      </x:c>
      <x:c r="I789" s="132" t="n">
        <x:f>IF(D789&lt;(('Assumptions'!$C$49-'Assumptions'!$B$49)/('Assumptions'!$D$49-'Assumptions'!$B$49)),'Assumptions'!$B$49+SQRT(D789*('Assumptions'!$D$49-'Assumptions'!$B$49)*('Assumptions'!$C$49-'Assumptions'!$B$49)),'Assumptions'!$D$49-SQRT((1-D789)*('Assumptions'!$D$49-'Assumptions'!$B$49)*('Assumptions'!$D$49-'Assumptions'!$C$49)))</x:f>
        <x:v>0.08179778049350522</x:v>
      </x:c>
      <x:c r="J789" s="132" t="n">
        <x:f>IF(E789&lt;(('Assumptions'!$C$50-'Assumptions'!$B$50)/('Assumptions'!$D$50-'Assumptions'!$B$50)),'Assumptions'!$B$50+SQRT(E789*('Assumptions'!$D$50-'Assumptions'!$B$50)*('Assumptions'!$C$50-'Assumptions'!$B$50)),'Assumptions'!$D$50-SQRT((1-E789)*('Assumptions'!$D$50-'Assumptions'!$B$50)*('Assumptions'!$D$50-'Assumptions'!$C$50)))</x:f>
        <x:v>0.06649547694583342</x:v>
      </x:c>
      <x:c r="K789" s="132" t="n">
        <x:f>IF(F789&lt;(('Assumptions'!$C$51-'Assumptions'!$B$51)/('Assumptions'!$D$51-'Assumptions'!$B$51)),'Assumptions'!$B$51+SQRT(F789*('Assumptions'!$D$51-'Assumptions'!$B$51)*('Assumptions'!$C$51-'Assumptions'!$B$51)),'Assumptions'!$D$51-SQRT((1-F789)*('Assumptions'!$D$51-'Assumptions'!$B$51)*('Assumptions'!$D$51-'Assumptions'!$C$51)))</x:f>
        <x:v>0.06911734100636542</x:v>
      </x:c>
      <x:c r="L789" s="133" t="n">
        <x:f>(('Assumptions'!$B$17*(1+G789)+'Assumptions'!$B$18)*(1-H789-'Assumptions'!$B$20)-SUM('Assumptions'!$B$21:$B$25)*(1+I789))-(('Assumptions'!$B$17*(1+G789)+'Assumptions'!$B$18)*(1-H789-'Assumptions'!$B$20)*'Assumptions'!$B$26)</x:f>
        <x:v>203312.36249938142</x:v>
      </x:c>
      <x:c r="M789" s="133" t="n">
        <x:f>'Assumptions'!$B$10*'Assumptions'!$B$33</x:f>
        <x:v>1950000</x:v>
      </x:c>
      <x:c r="N789" s="133" t="n">
        <x:f>-PMT(K789/12,'Assumptions'!$B$35*12,M789)*12</x:f>
        <x:v>154296.13230261576</x:v>
      </x:c>
      <x:c r="O789" s="133" t="n">
        <x:f>(L789*(1+'Assumptions'!$B$29)^('Assumptions'!$B$14/12)/J789)*(1-'Assumptions'!$B$42)-'Debt Schedule'!$F$9</x:f>
        <x:v>3331851.6680597453</x:v>
      </x:c>
      <x:c r="P789" s="132" t="n">
        <x:f>((O789+(L789-N789-'Assumptions'!$B$27-'Assumptions'!$B$28)*('Assumptions'!$B$14/12))/ABS('Monthly Cash Flow'!$S$5))^(1/('Assumptions'!$B$14/12))-1</x:f>
        <x:v>0.21139024814637253</x:v>
      </x:c>
      <x:c r="Q789" s="133" t="n">
        <x:f>-ABS('Monthly Cash Flow'!$S$5)+((L789-N789-'Assumptions'!$B$27-'Assumptions'!$B$28)*(1-(1+'Assumptions'!$B$43)^-('Assumptions'!$B$14/12))/'Assumptions'!$B$43)+(O789/(1+'Assumptions'!$B$43)^('Assumptions'!$B$14/12))</x:f>
        <x:v>808496.3521083496</x:v>
      </x:c>
    </x:row>
    <x:row r="790">
      <x:c r="A790" s="131" t="n">
        <x:f>783</x:f>
        <x:v>783</x:v>
      </x:c>
      <x:c r="B790" s="131" t="n">
        <x:f>MOD(ABS(SIN((A790+1)*12.9898+78.233)*43758.5453),1)</x:f>
        <x:v>0.28540871522272937</x:v>
      </x:c>
      <x:c r="C790" s="131" t="n">
        <x:f>MOD(ABS(SIN((A790+2)*12.9898+78.233)*43758.5453),1)</x:f>
        <x:v>0.7846507988142548</x:v>
      </x:c>
      <x:c r="D790" s="131" t="n">
        <x:f>MOD(ABS(SIN((A790+3)*12.9898+78.233)*43758.5453),1)</x:f>
        <x:v>0.3596382465912029</x:v>
      </x:c>
      <x:c r="E790" s="131" t="n">
        <x:f>MOD(ABS(SIN((A790+4)*12.9898+78.233)*43758.5453),1)</x:f>
        <x:v>0.4758257522948952</x:v>
      </x:c>
      <x:c r="F790" s="131" t="n">
        <x:f>MOD(ABS(SIN((A790+5)*12.9898+78.233)*43758.5453),1)</x:f>
        <x:v>0.7310405447242374</x:v>
      </x:c>
      <x:c r="G790" s="132" t="n">
        <x:f>IF(B790&lt;(('Assumptions'!$C$47-'Assumptions'!$B$47)/('Assumptions'!$D$47-'Assumptions'!$B$47)),'Assumptions'!$B$47+SQRT(B790*('Assumptions'!$D$47-'Assumptions'!$B$47)*('Assumptions'!$C$47-'Assumptions'!$B$47)),'Assumptions'!$D$47-SQRT((1-B790)*('Assumptions'!$D$47-'Assumptions'!$B$47)*('Assumptions'!$D$47-'Assumptions'!$C$47)))</x:f>
        <x:v>-0.0172364260961049</x:v>
      </x:c>
      <x:c r="H790" s="132" t="n">
        <x:f>IF(C790&lt;(('Assumptions'!$C$48-'Assumptions'!$B$48)/('Assumptions'!$D$48-'Assumptions'!$B$48)),'Assumptions'!$B$48+SQRT(C790*('Assumptions'!$D$48-'Assumptions'!$B$48)*('Assumptions'!$C$48-'Assumptions'!$B$48)),'Assumptions'!$D$48-SQRT((1-C790)*('Assumptions'!$D$48-'Assumptions'!$B$48)*('Assumptions'!$D$48-'Assumptions'!$C$48)))</x:f>
        <x:v>0.0964675641568892</x:v>
      </x:c>
      <x:c r="I790" s="132" t="n">
        <x:f>IF(D790&lt;(('Assumptions'!$C$49-'Assumptions'!$B$49)/('Assumptions'!$D$49-'Assumptions'!$B$49)),'Assumptions'!$B$49+SQRT(D790*('Assumptions'!$D$49-'Assumptions'!$B$49)*('Assumptions'!$C$49-'Assumptions'!$B$49)),'Assumptions'!$D$49-SQRT((1-D790)*('Assumptions'!$D$49-'Assumptions'!$B$49)*('Assumptions'!$D$49-'Assumptions'!$C$49)))</x:f>
        <x:v>0.032391267868282766</x:v>
      </x:c>
      <x:c r="J790" s="132" t="n">
        <x:f>IF(E790&lt;(('Assumptions'!$C$50-'Assumptions'!$B$50)/('Assumptions'!$D$50-'Assumptions'!$B$50)),'Assumptions'!$B$50+SQRT(E790*('Assumptions'!$D$50-'Assumptions'!$B$50)*('Assumptions'!$C$50-'Assumptions'!$B$50)),'Assumptions'!$D$50-SQRT((1-E790)*('Assumptions'!$D$50-'Assumptions'!$B$50)*('Assumptions'!$D$50-'Assumptions'!$C$50)))</x:f>
        <x:v>0.06785817117699888</x:v>
      </x:c>
      <x:c r="K790" s="132" t="n">
        <x:f>IF(F790&lt;(('Assumptions'!$C$51-'Assumptions'!$B$51)/('Assumptions'!$D$51-'Assumptions'!$B$51)),'Assumptions'!$B$51+SQRT(F790*('Assumptions'!$D$51-'Assumptions'!$B$51)*('Assumptions'!$C$51-'Assumptions'!$B$51)),'Assumptions'!$D$51-SQRT((1-F790)*('Assumptions'!$D$51-'Assumptions'!$B$51)*('Assumptions'!$D$51-'Assumptions'!$C$51)))</x:f>
        <x:v>0.0736229732420346</x:v>
      </x:c>
      <x:c r="L790" s="133" t="n">
        <x:f>(('Assumptions'!$B$17*(1+G790)+'Assumptions'!$B$18)*(1-H790-'Assumptions'!$B$20)-SUM('Assumptions'!$B$21:$B$25)*(1+I790))-(('Assumptions'!$B$17*(1+G790)+'Assumptions'!$B$18)*(1-H790-'Assumptions'!$B$20)*'Assumptions'!$B$26)</x:f>
        <x:v>188841.05928463305</x:v>
      </x:c>
      <x:c r="M790" s="133" t="n">
        <x:f>'Assumptions'!$B$10*'Assumptions'!$B$33</x:f>
        <x:v>1950000</x:v>
      </x:c>
      <x:c r="N790" s="133" t="n">
        <x:f>-PMT(K790/12,'Assumptions'!$B$35*12,M790)*12</x:f>
        <x:v>161415.45154080077</x:v>
      </x:c>
      <x:c r="O790" s="133" t="n">
        <x:f>(L790*(1+'Assumptions'!$B$29)^('Assumptions'!$B$14/12)/J790)*(1-'Assumptions'!$B$42)-'Debt Schedule'!$F$9</x:f>
        <x:v>3032551.982630723</x:v>
      </x:c>
      <x:c r="P790" s="132" t="n">
        <x:f>((O790+(L790-N790-'Assumptions'!$B$27-'Assumptions'!$B$28)*('Assumptions'!$B$14/12))/ABS('Monthly Cash Flow'!$S$5))^(1/('Assumptions'!$B$14/12))-1</x:f>
        <x:v>0.18065094889108257</x:v>
      </x:c>
      <x:c r="Q790" s="133" t="n">
        <x:f>-ABS('Monthly Cash Flow'!$S$5)+((L790-N790-'Assumptions'!$B$27-'Assumptions'!$B$28)*(1-(1+'Assumptions'!$B$43)^-('Assumptions'!$B$14/12))/'Assumptions'!$B$43)+(O790/(1+'Assumptions'!$B$43)^('Assumptions'!$B$14/12))</x:f>
        <x:v>540809.3495026994</x:v>
      </x:c>
    </x:row>
    <x:row r="791">
      <x:c r="A791" s="131" t="n">
        <x:f>784</x:f>
        <x:v>784</x:v>
      </x:c>
      <x:c r="B791" s="131" t="n">
        <x:f>MOD(ABS(SIN((A791+1)*12.9898+78.233)*43758.5453),1)</x:f>
        <x:v>0.7846507988142548</x:v>
      </x:c>
      <x:c r="C791" s="131" t="n">
        <x:f>MOD(ABS(SIN((A791+2)*12.9898+78.233)*43758.5453),1)</x:f>
        <x:v>0.3596382465912029</x:v>
      </x:c>
      <x:c r="D791" s="131" t="n">
        <x:f>MOD(ABS(SIN((A791+3)*12.9898+78.233)*43758.5453),1)</x:f>
        <x:v>0.4758257522948952</x:v>
      </x:c>
      <x:c r="E791" s="131" t="n">
        <x:f>MOD(ABS(SIN((A791+4)*12.9898+78.233)*43758.5453),1)</x:f>
        <x:v>0.7310405447242374</x:v>
      </x:c>
      <x:c r="F791" s="131" t="n">
        <x:f>MOD(ABS(SIN((A791+5)*12.9898+78.233)*43758.5453),1)</x:f>
        <x:v>0.5034376970870653</x:v>
      </x:c>
      <x:c r="G791" s="132" t="n">
        <x:f>IF(B791&lt;(('Assumptions'!$C$47-'Assumptions'!$B$47)/('Assumptions'!$D$47-'Assumptions'!$B$47)),'Assumptions'!$B$47+SQRT(B791*('Assumptions'!$D$47-'Assumptions'!$B$47)*('Assumptions'!$C$47-'Assumptions'!$B$47)),'Assumptions'!$D$47-SQRT((1-B791)*('Assumptions'!$D$47-'Assumptions'!$B$47)*('Assumptions'!$D$47-'Assumptions'!$C$47)))</x:f>
        <x:v>0.04130087548376958</x:v>
      </x:c>
      <x:c r="H791" s="132" t="n">
        <x:f>IF(C791&lt;(('Assumptions'!$C$48-'Assumptions'!$B$48)/('Assumptions'!$D$48-'Assumptions'!$B$48)),'Assumptions'!$B$48+SQRT(C791*('Assumptions'!$D$48-'Assumptions'!$B$48)*('Assumptions'!$C$48-'Assumptions'!$B$48)),'Assumptions'!$D$48-SQRT((1-C791)*('Assumptions'!$D$48-'Assumptions'!$B$48)*('Assumptions'!$D$48-'Assumptions'!$C$48)))</x:f>
        <x:v>0.06493214116549338</x:v>
      </x:c>
      <x:c r="I791" s="132" t="n">
        <x:f>IF(D791&lt;(('Assumptions'!$C$49-'Assumptions'!$B$49)/('Assumptions'!$D$49-'Assumptions'!$B$49)),'Assumptions'!$B$49+SQRT(D791*('Assumptions'!$D$49-'Assumptions'!$B$49)*('Assumptions'!$C$49-'Assumptions'!$B$49)),'Assumptions'!$D$49-SQRT((1-D791)*('Assumptions'!$D$49-'Assumptions'!$B$49)*('Assumptions'!$D$49-'Assumptions'!$C$49)))</x:f>
        <x:v>0.04359434342841419</x:v>
      </x:c>
      <x:c r="J791" s="132" t="n">
        <x:f>IF(E791&lt;(('Assumptions'!$C$50-'Assumptions'!$B$50)/('Assumptions'!$D$50-'Assumptions'!$B$50)),'Assumptions'!$B$50+SQRT(E791*('Assumptions'!$D$50-'Assumptions'!$B$50)*('Assumptions'!$C$50-'Assumptions'!$B$50)),'Assumptions'!$D$50-SQRT((1-E791)*('Assumptions'!$D$50-'Assumptions'!$B$50)*('Assumptions'!$D$50-'Assumptions'!$C$50)))</x:f>
        <x:v>0.07130259539883833</x:v>
      </x:c>
      <x:c r="K791" s="132" t="n">
        <x:f>IF(F791&lt;(('Assumptions'!$C$51-'Assumptions'!$B$51)/('Assumptions'!$D$51-'Assumptions'!$B$51)),'Assumptions'!$B$51+SQRT(F791*('Assumptions'!$D$51-'Assumptions'!$B$51)*('Assumptions'!$C$51-'Assumptions'!$B$51)),'Assumptions'!$D$51-SQRT((1-F791)*('Assumptions'!$D$51-'Assumptions'!$B$51)*('Assumptions'!$D$51-'Assumptions'!$C$51)))</x:f>
        <x:v>0.06954132579174883</x:v>
      </x:c>
      <x:c r="L791" s="133" t="n">
        <x:f>(('Assumptions'!$B$17*(1+G791)+'Assumptions'!$B$18)*(1-H791-'Assumptions'!$B$20)-SUM('Assumptions'!$B$21:$B$25)*(1+I791))-(('Assumptions'!$B$17*(1+G791)+'Assumptions'!$B$18)*(1-H791-'Assumptions'!$B$20)*'Assumptions'!$B$26)</x:f>
        <x:v>217399.76980521425</x:v>
      </x:c>
      <x:c r="M791" s="133" t="n">
        <x:f>'Assumptions'!$B$10*'Assumptions'!$B$33</x:f>
        <x:v>1950000</x:v>
      </x:c>
      <x:c r="N791" s="133" t="n">
        <x:f>-PMT(K791/12,'Assumptions'!$B$35*12,M791)*12</x:f>
        <x:v>154960.62908949176</x:v>
      </x:c>
      <x:c r="O791" s="133" t="n">
        <x:f>(L791*(1+'Assumptions'!$B$29)^('Assumptions'!$B$14/12)/J791)*(1-'Assumptions'!$B$42)-'Debt Schedule'!$F$9</x:f>
        <x:v>3322520.878169803</x:v>
      </x:c>
      <x:c r="P791" s="132" t="n">
        <x:f>((O791+(L791-N791-'Assumptions'!$B$27-'Assumptions'!$B$28)*('Assumptions'!$B$14/12))/ABS('Monthly Cash Flow'!$S$5))^(1/('Assumptions'!$B$14/12))-1</x:f>
        <x:v>0.2155078568321931</x:v>
      </x:c>
      <x:c r="Q791" s="133" t="n">
        <x:f>-ABS('Monthly Cash Flow'!$S$5)+((L791-N791-'Assumptions'!$B$27-'Assumptions'!$B$28)*(1-(1+'Assumptions'!$B$43)^-('Assumptions'!$B$14/12))/'Assumptions'!$B$43)+(O791/(1+'Assumptions'!$B$43)^('Assumptions'!$B$14/12))</x:f>
        <x:v>853586.0573069146</x:v>
      </x:c>
    </x:row>
    <x:row r="792">
      <x:c r="A792" s="131" t="n">
        <x:f>785</x:f>
        <x:v>785</x:v>
      </x:c>
      <x:c r="B792" s="131" t="n">
        <x:f>MOD(ABS(SIN((A792+1)*12.9898+78.233)*43758.5453),1)</x:f>
        <x:v>0.3596382465912029</x:v>
      </x:c>
      <x:c r="C792" s="131" t="n">
        <x:f>MOD(ABS(SIN((A792+2)*12.9898+78.233)*43758.5453),1)</x:f>
        <x:v>0.4758257522948952</x:v>
      </x:c>
      <x:c r="D792" s="131" t="n">
        <x:f>MOD(ABS(SIN((A792+3)*12.9898+78.233)*43758.5453),1)</x:f>
        <x:v>0.7310405447242374</x:v>
      </x:c>
      <x:c r="E792" s="131" t="n">
        <x:f>MOD(ABS(SIN((A792+4)*12.9898+78.233)*43758.5453),1)</x:f>
        <x:v>0.5034376970870653</x:v>
      </x:c>
      <x:c r="F792" s="131" t="n">
        <x:f>MOD(ABS(SIN((A792+5)*12.9898+78.233)*43758.5453),1)</x:f>
        <x:v>0.9898812257451937</x:v>
      </x:c>
      <x:c r="G792" s="132" t="n">
        <x:f>IF(B792&lt;(('Assumptions'!$C$47-'Assumptions'!$B$47)/('Assumptions'!$D$47-'Assumptions'!$B$47)),'Assumptions'!$B$47+SQRT(B792*('Assumptions'!$D$47-'Assumptions'!$B$47)*('Assumptions'!$C$47-'Assumptions'!$B$47)),'Assumptions'!$D$47-SQRT((1-B792)*('Assumptions'!$D$47-'Assumptions'!$B$47)*('Assumptions'!$D$47-'Assumptions'!$C$47)))</x:f>
        <x:v>-0.0070951135935850285</x:v>
      </x:c>
      <x:c r="H792" s="132" t="n">
        <x:f>IF(C792&lt;(('Assumptions'!$C$48-'Assumptions'!$B$48)/('Assumptions'!$D$48-'Assumptions'!$B$48)),'Assumptions'!$B$48+SQRT(C792*('Assumptions'!$D$48-'Assumptions'!$B$48)*('Assumptions'!$C$48-'Assumptions'!$B$48)),'Assumptions'!$D$48-SQRT((1-C792)*('Assumptions'!$D$48-'Assumptions'!$B$48)*('Assumptions'!$D$48-'Assumptions'!$C$48)))</x:f>
        <x:v>0.07208289331983493</x:v>
      </x:c>
      <x:c r="I792" s="132" t="n">
        <x:f>IF(D792&lt;(('Assumptions'!$C$49-'Assumptions'!$B$49)/('Assumptions'!$D$49-'Assumptions'!$B$49)),'Assumptions'!$B$49+SQRT(D792*('Assumptions'!$D$49-'Assumptions'!$B$49)*('Assumptions'!$C$49-'Assumptions'!$B$49)),'Assumptions'!$D$49-SQRT((1-D792)*('Assumptions'!$D$49-'Assumptions'!$B$49)*('Assumptions'!$D$49-'Assumptions'!$C$49)))</x:f>
        <x:v>0.07377976493111246</x:v>
      </x:c>
      <x:c r="J792" s="132" t="n">
        <x:f>IF(E792&lt;(('Assumptions'!$C$50-'Assumptions'!$B$50)/('Assumptions'!$D$50-'Assumptions'!$B$50)),'Assumptions'!$B$50+SQRT(E792*('Assumptions'!$D$50-'Assumptions'!$B$50)*('Assumptions'!$C$50-'Assumptions'!$B$50)),'Assumptions'!$D$50-SQRT((1-E792)*('Assumptions'!$D$50-'Assumptions'!$B$50)*('Assumptions'!$D$50-'Assumptions'!$C$50)))</x:f>
        <x:v>0.0681822951596233</x:v>
      </x:c>
      <x:c r="K792" s="132" t="n">
        <x:f>IF(F792&lt;(('Assumptions'!$C$51-'Assumptions'!$B$51)/('Assumptions'!$D$51-'Assumptions'!$B$51)),'Assumptions'!$B$51+SQRT(F792*('Assumptions'!$D$51-'Assumptions'!$B$51)*('Assumptions'!$C$51-'Assumptions'!$B$51)),'Assumptions'!$D$51-SQRT((1-F792)*('Assumptions'!$D$51-'Assumptions'!$B$51)*('Assumptions'!$D$51-'Assumptions'!$C$51)))</x:f>
        <x:v>0.08279326936167426</x:v>
      </x:c>
      <x:c r="L792" s="133" t="n">
        <x:f>(('Assumptions'!$B$17*(1+G792)+'Assumptions'!$B$18)*(1-H792-'Assumptions'!$B$20)-SUM('Assumptions'!$B$21:$B$25)*(1+I792))-(('Assumptions'!$B$17*(1+G792)+'Assumptions'!$B$18)*(1-H792-'Assumptions'!$B$20)*'Assumptions'!$B$26)</x:f>
        <x:v>195546.71113631353</x:v>
      </x:c>
      <x:c r="M792" s="133" t="n">
        <x:f>'Assumptions'!$B$10*'Assumptions'!$B$33</x:f>
        <x:v>1950000</x:v>
      </x:c>
      <x:c r="N792" s="133" t="n">
        <x:f>-PMT(K792/12,'Assumptions'!$B$35*12,M792)*12</x:f>
        <x:v>176279.059356782</x:v>
      </x:c>
      <x:c r="O792" s="133" t="n">
        <x:f>(L792*(1+'Assumptions'!$B$29)^('Assumptions'!$B$14/12)/J792)*(1-'Assumptions'!$B$42)-'Debt Schedule'!$F$9</x:f>
        <x:v>3125308.3822418964</x:v>
      </x:c>
      <x:c r="P792" s="132" t="n">
        <x:f>((O792+(L792-N792-'Assumptions'!$B$27-'Assumptions'!$B$28)*('Assumptions'!$B$14/12))/ABS('Monthly Cash Flow'!$S$5))^(1/('Assumptions'!$B$14/12))-1</x:f>
        <x:v>0.18475438326741989</x:v>
      </x:c>
      <x:c r="Q792" s="133" t="n">
        <x:f>-ABS('Monthly Cash Flow'!$S$5)+((L792-N792-'Assumptions'!$B$27-'Assumptions'!$B$28)*(1-(1+'Assumptions'!$B$43)^-('Assumptions'!$B$14/12))/'Assumptions'!$B$43)+(O792/(1+'Assumptions'!$B$43)^('Assumptions'!$B$14/12))</x:f>
        <x:v>567478.7043365848</x:v>
      </x:c>
    </x:row>
    <x:row r="793">
      <x:c r="A793" s="131" t="n">
        <x:f>786</x:f>
        <x:v>786</x:v>
      </x:c>
      <x:c r="B793" s="131" t="n">
        <x:f>MOD(ABS(SIN((A793+1)*12.9898+78.233)*43758.5453),1)</x:f>
        <x:v>0.4758257522948952</x:v>
      </x:c>
      <x:c r="C793" s="131" t="n">
        <x:f>MOD(ABS(SIN((A793+2)*12.9898+78.233)*43758.5453),1)</x:f>
        <x:v>0.7310405447242374</x:v>
      </x:c>
      <x:c r="D793" s="131" t="n">
        <x:f>MOD(ABS(SIN((A793+3)*12.9898+78.233)*43758.5453),1)</x:f>
        <x:v>0.5034376970870653</x:v>
      </x:c>
      <x:c r="E793" s="131" t="n">
        <x:f>MOD(ABS(SIN((A793+4)*12.9898+78.233)*43758.5453),1)</x:f>
        <x:v>0.9898812257451937</x:v>
      </x:c>
      <x:c r="F793" s="131" t="n">
        <x:f>MOD(ABS(SIN((A793+5)*12.9898+78.233)*43758.5453),1)</x:f>
        <x:v>0.8332080796462833</x:v>
      </x:c>
      <x:c r="G793" s="132" t="n">
        <x:f>IF(B793&lt;(('Assumptions'!$C$47-'Assumptions'!$B$47)/('Assumptions'!$D$47-'Assumptions'!$B$47)),'Assumptions'!$B$47+SQRT(B793*('Assumptions'!$D$47-'Assumptions'!$B$47)*('Assumptions'!$C$47-'Assumptions'!$B$47)),'Assumptions'!$D$47-SQRT((1-B793)*('Assumptions'!$D$47-'Assumptions'!$B$47)*('Assumptions'!$D$47-'Assumptions'!$C$47)))</x:f>
        <x:v>0.006863548767002334</x:v>
      </x:c>
      <x:c r="H793" s="132" t="n">
        <x:f>IF(C793&lt;(('Assumptions'!$C$48-'Assumptions'!$B$48)/('Assumptions'!$D$48-'Assumptions'!$B$48)),'Assumptions'!$B$48+SQRT(C793*('Assumptions'!$D$48-'Assumptions'!$B$48)*('Assumptions'!$C$48-'Assumptions'!$B$48)),'Assumptions'!$D$48-SQRT((1-C793)*('Assumptions'!$D$48-'Assumptions'!$B$48)*('Assumptions'!$D$48-'Assumptions'!$C$48)))</x:f>
        <x:v>0.09134978719032454</x:v>
      </x:c>
      <x:c r="I793" s="132" t="n">
        <x:f>IF(D793&lt;(('Assumptions'!$C$49-'Assumptions'!$B$49)/('Assumptions'!$D$49-'Assumptions'!$B$49)),'Assumptions'!$B$49+SQRT(D793*('Assumptions'!$D$49-'Assumptions'!$B$49)*('Assumptions'!$C$49-'Assumptions'!$B$49)),'Assumptions'!$D$49-SQRT((1-D793)*('Assumptions'!$D$49-'Assumptions'!$B$49)*('Assumptions'!$D$49-'Assumptions'!$C$49)))</x:f>
        <x:v>0.046434823695803096</x:v>
      </x:c>
      <x:c r="J793" s="132" t="n">
        <x:f>IF(E793&lt;(('Assumptions'!$C$50-'Assumptions'!$B$50)/('Assumptions'!$D$50-'Assumptions'!$B$50)),'Assumptions'!$B$50+SQRT(E793*('Assumptions'!$D$50-'Assumptions'!$B$50)*('Assumptions'!$C$50-'Assumptions'!$B$50)),'Assumptions'!$D$50-SQRT((1-E793)*('Assumptions'!$D$50-'Assumptions'!$B$50)*('Assumptions'!$D$50-'Assumptions'!$C$50)))</x:f>
        <x:v>0.07831301889187689</x:v>
      </x:c>
      <x:c r="K793" s="132" t="n">
        <x:f>IF(F793&lt;(('Assumptions'!$C$51-'Assumptions'!$B$51)/('Assumptions'!$D$51-'Assumptions'!$B$51)),'Assumptions'!$B$51+SQRT(F793*('Assumptions'!$D$51-'Assumptions'!$B$51)*('Assumptions'!$C$51-'Assumptions'!$B$51)),'Assumptions'!$D$51-SQRT((1-F793)*('Assumptions'!$D$51-'Assumptions'!$B$51)*('Assumptions'!$D$51-'Assumptions'!$C$51)))</x:f>
        <x:v>0.07604072482450583</x:v>
      </x:c>
      <x:c r="L793" s="133" t="n">
        <x:f>(('Assumptions'!$B$17*(1+G793)+'Assumptions'!$B$18)*(1-H793-'Assumptions'!$B$20)-SUM('Assumptions'!$B$21:$B$25)*(1+I793))-(('Assumptions'!$B$17*(1+G793)+'Assumptions'!$B$18)*(1-H793-'Assumptions'!$B$20)*'Assumptions'!$B$26)</x:f>
        <x:v>196383.03789467312</x:v>
      </x:c>
      <x:c r="M793" s="133" t="n">
        <x:f>'Assumptions'!$B$10*'Assumptions'!$B$33</x:f>
        <x:v>1950000</x:v>
      </x:c>
      <x:c r="N793" s="133" t="n">
        <x:f>-PMT(K793/12,'Assumptions'!$B$35*12,M793)*12</x:f>
        <x:v>165286.9895381612</x:v>
      </x:c>
      <x:c r="O793" s="133" t="n">
        <x:f>(L793*(1+'Assumptions'!$B$29)^('Assumptions'!$B$14/12)/J793)*(1-'Assumptions'!$B$42)-'Debt Schedule'!$F$9</x:f>
        <x:v>2732649.840650601</x:v>
      </x:c>
      <x:c r="P793" s="132" t="n">
        <x:f>((O793+(L793-N793-'Assumptions'!$B$27-'Assumptions'!$B$28)*('Assumptions'!$B$14/12))/ABS('Monthly Cash Flow'!$S$5))^(1/('Assumptions'!$B$14/12))-1</x:f>
        <x:v>0.1573631360671921</x:v>
      </x:c>
      <x:c r="Q793" s="133" t="n">
        <x:f>-ABS('Monthly Cash Flow'!$S$5)+((L793-N793-'Assumptions'!$B$27-'Assumptions'!$B$28)*(1-(1+'Assumptions'!$B$43)^-('Assumptions'!$B$14/12))/'Assumptions'!$B$43)+(O793/(1+'Assumptions'!$B$43)^('Assumptions'!$B$14/12))</x:f>
        <x:v>368507.5724285729</x:v>
      </x:c>
    </x:row>
    <x:row r="794">
      <x:c r="A794" s="131" t="n">
        <x:f>787</x:f>
        <x:v>787</x:v>
      </x:c>
      <x:c r="B794" s="131" t="n">
        <x:f>MOD(ABS(SIN((A794+1)*12.9898+78.233)*43758.5453),1)</x:f>
        <x:v>0.7310405447242374</x:v>
      </x:c>
      <x:c r="C794" s="131" t="n">
        <x:f>MOD(ABS(SIN((A794+2)*12.9898+78.233)*43758.5453),1)</x:f>
        <x:v>0.5034376970870653</x:v>
      </x:c>
      <x:c r="D794" s="131" t="n">
        <x:f>MOD(ABS(SIN((A794+3)*12.9898+78.233)*43758.5453),1)</x:f>
        <x:v>0.9898812257451937</x:v>
      </x:c>
      <x:c r="E794" s="131" t="n">
        <x:f>MOD(ABS(SIN((A794+4)*12.9898+78.233)*43758.5453),1)</x:f>
        <x:v>0.8332080796462833</x:v>
      </x:c>
      <x:c r="F794" s="131" t="n">
        <x:f>MOD(ABS(SIN((A794+5)*12.9898+78.233)*43758.5453),1)</x:f>
        <x:v>0.8734394260100089</x:v>
      </x:c>
      <x:c r="G794" s="132" t="n">
        <x:f>IF(B794&lt;(('Assumptions'!$C$47-'Assumptions'!$B$47)/('Assumptions'!$D$47-'Assumptions'!$B$47)),'Assumptions'!$B$47+SQRT(B794*('Assumptions'!$D$47-'Assumptions'!$B$47)*('Assumptions'!$C$47-'Assumptions'!$B$47)),'Assumptions'!$D$47-SQRT((1-B794)*('Assumptions'!$D$47-'Assumptions'!$B$47)*('Assumptions'!$D$47-'Assumptions'!$C$47)))</x:f>
        <x:v>0.03440006642981869</x:v>
      </x:c>
      <x:c r="H794" s="132" t="n">
        <x:f>IF(C794&lt;(('Assumptions'!$C$48-'Assumptions'!$B$48)/('Assumptions'!$D$48-'Assumptions'!$B$48)),'Assumptions'!$B$48+SQRT(C794*('Assumptions'!$D$48-'Assumptions'!$B$48)*('Assumptions'!$C$48-'Assumptions'!$B$48)),'Assumptions'!$D$48-SQRT((1-C794)*('Assumptions'!$D$48-'Assumptions'!$B$48)*('Assumptions'!$D$48-'Assumptions'!$C$48)))</x:f>
        <x:v>0.07389592852453167</x:v>
      </x:c>
      <x:c r="I794" s="132" t="n">
        <x:f>IF(D794&lt;(('Assumptions'!$C$49-'Assumptions'!$B$49)/('Assumptions'!$D$49-'Assumptions'!$B$49)),'Assumptions'!$B$49+SQRT(D794*('Assumptions'!$D$49-'Assumptions'!$B$49)*('Assumptions'!$C$49-'Assumptions'!$B$49)),'Assumptions'!$D$49-SQRT((1-D794)*('Assumptions'!$D$49-'Assumptions'!$B$49)*('Assumptions'!$D$49-'Assumptions'!$C$49)))</x:f>
        <x:v>0.13521603828793455</x:v>
      </x:c>
      <x:c r="J794" s="132" t="n">
        <x:f>IF(E794&lt;(('Assumptions'!$C$50-'Assumptions'!$B$50)/('Assumptions'!$D$50-'Assumptions'!$B$50)),'Assumptions'!$B$50+SQRT(E794*('Assumptions'!$D$50-'Assumptions'!$B$50)*('Assumptions'!$C$50-'Assumptions'!$B$50)),'Assumptions'!$D$50-SQRT((1-E794)*('Assumptions'!$D$50-'Assumptions'!$B$50)*('Assumptions'!$D$50-'Assumptions'!$C$50)))</x:f>
        <x:v>0.07315089585423884</x:v>
      </x:c>
      <x:c r="K794" s="132" t="n">
        <x:f>IF(F794&lt;(('Assumptions'!$C$51-'Assumptions'!$B$51)/('Assumptions'!$D$51-'Assumptions'!$B$51)),'Assumptions'!$B$51+SQRT(F794*('Assumptions'!$D$51-'Assumptions'!$B$51)*('Assumptions'!$C$51-'Assumptions'!$B$51)),'Assumptions'!$D$51-SQRT((1-F794)*('Assumptions'!$D$51-'Assumptions'!$B$51)*('Assumptions'!$D$51-'Assumptions'!$C$51)))</x:f>
        <x:v>0.07719568861252428</x:v>
      </x:c>
      <x:c r="L794" s="133" t="n">
        <x:f>(('Assumptions'!$B$17*(1+G794)+'Assumptions'!$B$18)*(1-H794-'Assumptions'!$B$20)-SUM('Assumptions'!$B$21:$B$25)*(1+I794))-(('Assumptions'!$B$17*(1+G794)+'Assumptions'!$B$18)*(1-H794-'Assumptions'!$B$20)*'Assumptions'!$B$26)</x:f>
        <x:v>200289.87717309478</x:v>
      </x:c>
      <x:c r="M794" s="133" t="n">
        <x:f>'Assumptions'!$B$10*'Assumptions'!$B$33</x:f>
        <x:v>1950000</x:v>
      </x:c>
      <x:c r="N794" s="133" t="n">
        <x:f>-PMT(K794/12,'Assumptions'!$B$35*12,M794)*12</x:f>
        <x:v>167148.65632567427</x:v>
      </x:c>
      <x:c r="O794" s="133" t="n">
        <x:f>(L794*(1+'Assumptions'!$B$29)^('Assumptions'!$B$14/12)/J794)*(1-'Assumptions'!$B$42)-'Debt Schedule'!$F$9</x:f>
        <x:v>2983687.454345274</x:v>
      </x:c>
      <x:c r="P794" s="132" t="n">
        <x:f>((O794+(L794-N794-'Assumptions'!$B$27-'Assumptions'!$B$28)*('Assumptions'!$B$14/12))/ABS('Monthly Cash Flow'!$S$5))^(1/('Assumptions'!$B$14/12))-1</x:f>
        <x:v>0.17903347178312745</x:v>
      </x:c>
      <x:c r="Q794" s="133" t="n">
        <x:f>-ABS('Monthly Cash Flow'!$S$5)+((L794-N794-'Assumptions'!$B$27-'Assumptions'!$B$28)*(1-(1+'Assumptions'!$B$43)^-('Assumptions'!$B$14/12))/'Assumptions'!$B$43)+(O794/(1+'Assumptions'!$B$43)^('Assumptions'!$B$14/12))</x:f>
        <x:v>532134.9924811765</x:v>
      </x:c>
    </x:row>
    <x:row r="795">
      <x:c r="A795" s="131" t="n">
        <x:f>788</x:f>
        <x:v>788</x:v>
      </x:c>
      <x:c r="B795" s="131" t="n">
        <x:f>MOD(ABS(SIN((A795+1)*12.9898+78.233)*43758.5453),1)</x:f>
        <x:v>0.5034376970870653</x:v>
      </x:c>
      <x:c r="C795" s="131" t="n">
        <x:f>MOD(ABS(SIN((A795+2)*12.9898+78.233)*43758.5453),1)</x:f>
        <x:v>0.9898812257451937</x:v>
      </x:c>
      <x:c r="D795" s="131" t="n">
        <x:f>MOD(ABS(SIN((A795+3)*12.9898+78.233)*43758.5453),1)</x:f>
        <x:v>0.8332080796462833</x:v>
      </x:c>
      <x:c r="E795" s="131" t="n">
        <x:f>MOD(ABS(SIN((A795+4)*12.9898+78.233)*43758.5453),1)</x:f>
        <x:v>0.8734394260100089</x:v>
      </x:c>
      <x:c r="F795" s="131" t="n">
        <x:f>MOD(ABS(SIN((A795+5)*12.9898+78.233)*43758.5453),1)</x:f>
        <x:v>0.6728670269876602</x:v>
      </x:c>
      <x:c r="G795" s="132" t="n">
        <x:f>IF(B795&lt;(('Assumptions'!$C$47-'Assumptions'!$B$47)/('Assumptions'!$D$47-'Assumptions'!$B$47)),'Assumptions'!$B$47+SQRT(B795*('Assumptions'!$D$47-'Assumptions'!$B$47)*('Assumptions'!$C$47-'Assumptions'!$B$47)),'Assumptions'!$D$47-SQRT((1-B795)*('Assumptions'!$D$47-'Assumptions'!$B$47)*('Assumptions'!$D$47-'Assumptions'!$C$47)))</x:f>
        <x:v>0.009920447279337288</x:v>
      </x:c>
      <x:c r="H795" s="132" t="n">
        <x:f>IF(C795&lt;(('Assumptions'!$C$48-'Assumptions'!$B$48)/('Assumptions'!$D$48-'Assumptions'!$B$48)),'Assumptions'!$B$48+SQRT(C795*('Assumptions'!$D$48-'Assumptions'!$B$48)*('Assumptions'!$C$48-'Assumptions'!$B$48)),'Assumptions'!$D$48-SQRT((1-C795)*('Assumptions'!$D$48-'Assumptions'!$B$48)*('Assumptions'!$D$48-'Assumptions'!$C$48)))</x:f>
        <x:v>0.13056362286455783</x:v>
      </x:c>
      <x:c r="I795" s="132" t="n">
        <x:f>IF(D795&lt;(('Assumptions'!$C$49-'Assumptions'!$B$49)/('Assumptions'!$D$49-'Assumptions'!$B$49)),'Assumptions'!$B$49+SQRT(D795*('Assumptions'!$D$49-'Assumptions'!$B$49)*('Assumptions'!$C$49-'Assumptions'!$B$49)),'Assumptions'!$D$49-SQRT((1-D795)*('Assumptions'!$D$49-'Assumptions'!$B$49)*('Assumptions'!$D$49-'Assumptions'!$C$49)))</x:f>
        <x:v>0.0899774585706313</x:v>
      </x:c>
      <x:c r="J795" s="132" t="n">
        <x:f>IF(E795&lt;(('Assumptions'!$C$50-'Assumptions'!$B$50)/('Assumptions'!$D$50-'Assumptions'!$B$50)),'Assumptions'!$B$50+SQRT(E795*('Assumptions'!$D$50-'Assumptions'!$B$50)*('Assumptions'!$C$50-'Assumptions'!$B$50)),'Assumptions'!$D$50-SQRT((1-E795)*('Assumptions'!$D$50-'Assumptions'!$B$50)*('Assumptions'!$D$50-'Assumptions'!$C$50)))</x:f>
        <x:v>0.07403383193040249</x:v>
      </x:c>
      <x:c r="K795" s="132" t="n">
        <x:f>IF(F795&lt;(('Assumptions'!$C$51-'Assumptions'!$B$51)/('Assumptions'!$D$51-'Assumptions'!$B$51)),'Assumptions'!$B$51+SQRT(F795*('Assumptions'!$D$51-'Assumptions'!$B$51)*('Assumptions'!$C$51-'Assumptions'!$B$51)),'Assumptions'!$D$51-SQRT((1-F795)*('Assumptions'!$D$51-'Assumptions'!$B$51)*('Assumptions'!$D$51-'Assumptions'!$C$51)))</x:f>
        <x:v>0.07245277946068579</x:v>
      </x:c>
      <x:c r="L795" s="133" t="n">
        <x:f>(('Assumptions'!$B$17*(1+G795)+'Assumptions'!$B$18)*(1-H795-'Assumptions'!$B$20)-SUM('Assumptions'!$B$21:$B$25)*(1+I795))-(('Assumptions'!$B$17*(1+G795)+'Assumptions'!$B$18)*(1-H795-'Assumptions'!$B$20)*'Assumptions'!$B$26)</x:f>
        <x:v>177481.69602888564</x:v>
      </x:c>
      <x:c r="M795" s="133" t="n">
        <x:f>'Assumptions'!$B$10*'Assumptions'!$B$33</x:f>
        <x:v>1950000</x:v>
      </x:c>
      <x:c r="N795" s="133" t="n">
        <x:f>-PMT(K795/12,'Assumptions'!$B$35*12,M795)*12</x:f>
        <x:v>159554.30988015066</x:v>
      </x:c>
      <x:c r="O795" s="133" t="n">
        <x:f>(L795*(1+'Assumptions'!$B$29)^('Assumptions'!$B$14/12)/J795)*(1-'Assumptions'!$B$42)-'Debt Schedule'!$F$9</x:f>
        <x:v>2612385.8254257473</x:v>
      </x:c>
      <x:c r="P795" s="132" t="n">
        <x:f>((O795+(L795-N795-'Assumptions'!$B$27-'Assumptions'!$B$28)*('Assumptions'!$B$14/12))/ABS('Monthly Cash Flow'!$S$5))^(1/('Assumptions'!$B$14/12))-1</x:f>
        <x:v>0.14087441306810766</x:v>
      </x:c>
      <x:c r="Q795" s="133" t="n">
        <x:f>-ABS('Monthly Cash Flow'!$S$5)+((L795-N795-'Assumptions'!$B$27-'Assumptions'!$B$28)*(1-(1+'Assumptions'!$B$43)^-('Assumptions'!$B$14/12))/'Assumptions'!$B$43)+(O795/(1+'Assumptions'!$B$43)^('Assumptions'!$B$14/12))</x:f>
        <x:v>243913.4905107005</x:v>
      </x:c>
    </x:row>
    <x:row r="796">
      <x:c r="A796" s="131" t="n">
        <x:f>789</x:f>
        <x:v>789</x:v>
      </x:c>
      <x:c r="B796" s="131" t="n">
        <x:f>MOD(ABS(SIN((A796+1)*12.9898+78.233)*43758.5453),1)</x:f>
        <x:v>0.9898812257451937</x:v>
      </x:c>
      <x:c r="C796" s="131" t="n">
        <x:f>MOD(ABS(SIN((A796+2)*12.9898+78.233)*43758.5453),1)</x:f>
        <x:v>0.8332080796462833</x:v>
      </x:c>
      <x:c r="D796" s="131" t="n">
        <x:f>MOD(ABS(SIN((A796+3)*12.9898+78.233)*43758.5453),1)</x:f>
        <x:v>0.8734394260100089</x:v>
      </x:c>
      <x:c r="E796" s="131" t="n">
        <x:f>MOD(ABS(SIN((A796+4)*12.9898+78.233)*43758.5453),1)</x:f>
        <x:v>0.6728670269876602</x:v>
      </x:c>
      <x:c r="F796" s="131" t="n">
        <x:f>MOD(ABS(SIN((A796+5)*12.9898+78.233)*43758.5453),1)</x:f>
        <x:v>0.16743719328769657</x:v>
      </x:c>
      <x:c r="G796" s="132" t="n">
        <x:f>IF(B796&lt;(('Assumptions'!$C$47-'Assumptions'!$B$47)/('Assumptions'!$D$47-'Assumptions'!$B$47)),'Assumptions'!$B$47+SQRT(B796*('Assumptions'!$D$47-'Assumptions'!$B$47)*('Assumptions'!$C$47-'Assumptions'!$B$47)),'Assumptions'!$D$47-SQRT((1-B796)*('Assumptions'!$D$47-'Assumptions'!$B$47)*('Assumptions'!$D$47-'Assumptions'!$C$47)))</x:f>
        <x:v>0.08727599166626722</x:v>
      </x:c>
      <x:c r="H796" s="132" t="n">
        <x:f>IF(C796&lt;(('Assumptions'!$C$48-'Assumptions'!$B$48)/('Assumptions'!$D$48-'Assumptions'!$B$48)),'Assumptions'!$B$48+SQRT(C796*('Assumptions'!$D$48-'Assumptions'!$B$48)*('Assumptions'!$C$48-'Assumptions'!$B$48)),'Assumptions'!$D$48-SQRT((1-C796)*('Assumptions'!$D$48-'Assumptions'!$B$48)*('Assumptions'!$D$48-'Assumptions'!$C$48)))</x:f>
        <x:v>0.10168852783939639</x:v>
      </x:c>
      <x:c r="I796" s="132" t="n">
        <x:f>IF(D796&lt;(('Assumptions'!$C$49-'Assumptions'!$B$49)/('Assumptions'!$D$49-'Assumptions'!$B$49)),'Assumptions'!$B$49+SQRT(D796*('Assumptions'!$D$49-'Assumptions'!$B$49)*('Assumptions'!$C$49-'Assumptions'!$B$49)),'Assumptions'!$D$49-SQRT((1-D796)*('Assumptions'!$D$49-'Assumptions'!$B$49)*('Assumptions'!$D$49-'Assumptions'!$C$49)))</x:f>
        <x:v>0.09771512266263019</x:v>
      </x:c>
      <x:c r="J796" s="132" t="n">
        <x:f>IF(E796&lt;(('Assumptions'!$C$50-'Assumptions'!$B$50)/('Assumptions'!$D$50-'Assumptions'!$B$50)),'Assumptions'!$B$50+SQRT(E796*('Assumptions'!$D$50-'Assumptions'!$B$50)*('Assumptions'!$C$50-'Assumptions'!$B$50)),'Assumptions'!$D$50-SQRT((1-E796)*('Assumptions'!$D$50-'Assumptions'!$B$50)*('Assumptions'!$D$50-'Assumptions'!$C$50)))</x:f>
        <x:v>0.07040801643768503</x:v>
      </x:c>
      <x:c r="K796" s="132" t="n">
        <x:f>IF(F796&lt;(('Assumptions'!$C$51-'Assumptions'!$B$51)/('Assumptions'!$D$51-'Assumptions'!$B$51)),'Assumptions'!$B$51+SQRT(F796*('Assumptions'!$D$51-'Assumptions'!$B$51)*('Assumptions'!$C$51-'Assumptions'!$B$51)),'Assumptions'!$D$51-SQRT((1-F796)*('Assumptions'!$D$51-'Assumptions'!$B$51)*('Assumptions'!$D$51-'Assumptions'!$C$51)))</x:f>
        <x:v>0.06428566342770672</x:v>
      </x:c>
      <x:c r="L796" s="133" t="n">
        <x:f>(('Assumptions'!$B$17*(1+G796)+'Assumptions'!$B$18)*(1-H796-'Assumptions'!$B$20)-SUM('Assumptions'!$B$21:$B$25)*(1+I796))-(('Assumptions'!$B$17*(1+G796)+'Assumptions'!$B$18)*(1-H796-'Assumptions'!$B$20)*'Assumptions'!$B$26)</x:f>
        <x:v>210832.12982219498</x:v>
      </x:c>
      <x:c r="M796" s="133" t="n">
        <x:f>'Assumptions'!$B$10*'Assumptions'!$B$33</x:f>
        <x:v>1950000</x:v>
      </x:c>
      <x:c r="N796" s="133" t="n">
        <x:f>-PMT(K796/12,'Assumptions'!$B$35*12,M796)*12</x:f>
        <x:v>146806.339850209</x:v>
      </x:c>
      <x:c r="O796" s="133" t="n">
        <x:f>(L796*(1+'Assumptions'!$B$29)^('Assumptions'!$B$14/12)/J796)*(1-'Assumptions'!$B$42)-'Debt Schedule'!$F$9</x:f>
        <x:v>3263087.080541778</x:v>
      </x:c>
      <x:c r="P796" s="132" t="n">
        <x:f>((O796+(L796-N796-'Assumptions'!$B$27-'Assumptions'!$B$28)*('Assumptions'!$B$14/12))/ABS('Monthly Cash Flow'!$S$5))^(1/('Assumptions'!$B$14/12))-1</x:f>
        <x:v>0.2118407020277171</x:v>
      </x:c>
      <x:c r="Q796" s="133" t="n">
        <x:f>-ABS('Monthly Cash Flow'!$S$5)+((L796-N796-'Assumptions'!$B$27-'Assumptions'!$B$28)*(1-(1+'Assumptions'!$B$43)^-('Assumptions'!$B$14/12))/'Assumptions'!$B$43)+(O796/(1+'Assumptions'!$B$43)^('Assumptions'!$B$14/12))</x:f>
        <x:v>822696.9940576267</x:v>
      </x:c>
    </x:row>
    <x:row r="797">
      <x:c r="A797" s="131" t="n">
        <x:f>790</x:f>
        <x:v>790</x:v>
      </x:c>
      <x:c r="B797" s="131" t="n">
        <x:f>MOD(ABS(SIN((A797+1)*12.9898+78.233)*43758.5453),1)</x:f>
        <x:v>0.8332080796462833</x:v>
      </x:c>
      <x:c r="C797" s="131" t="n">
        <x:f>MOD(ABS(SIN((A797+2)*12.9898+78.233)*43758.5453),1)</x:f>
        <x:v>0.8734394260100089</x:v>
      </x:c>
      <x:c r="D797" s="131" t="n">
        <x:f>MOD(ABS(SIN((A797+3)*12.9898+78.233)*43758.5453),1)</x:f>
        <x:v>0.6728670269876602</x:v>
      </x:c>
      <x:c r="E797" s="131" t="n">
        <x:f>MOD(ABS(SIN((A797+4)*12.9898+78.233)*43758.5453),1)</x:f>
        <x:v>0.16743719328769657</x:v>
      </x:c>
      <x:c r="F797" s="131" t="n">
        <x:f>MOD(ABS(SIN((A797+5)*12.9898+78.233)*43758.5453),1)</x:f>
        <x:v>0.7060731048850357</x:v>
      </x:c>
      <x:c r="G797" s="132" t="n">
        <x:f>IF(B797&lt;(('Assumptions'!$C$47-'Assumptions'!$B$47)/('Assumptions'!$D$47-'Assumptions'!$B$47)),'Assumptions'!$B$47+SQRT(B797*('Assumptions'!$D$47-'Assumptions'!$B$47)*('Assumptions'!$C$47-'Assumptions'!$B$47)),'Assumptions'!$D$47-SQRT((1-B797)*('Assumptions'!$D$47-'Assumptions'!$B$47)*('Assumptions'!$D$47-'Assumptions'!$C$47)))</x:f>
        <x:v>0.04834082147711342</x:v>
      </x:c>
      <x:c r="H797" s="132" t="n">
        <x:f>IF(C797&lt;(('Assumptions'!$C$48-'Assumptions'!$B$48)/('Assumptions'!$D$48-'Assumptions'!$B$48)),'Assumptions'!$B$48+SQRT(C797*('Assumptions'!$D$48-'Assumptions'!$B$48)*('Assumptions'!$C$48-'Assumptions'!$B$48)),'Assumptions'!$D$48-SQRT((1-C797)*('Assumptions'!$D$48-'Assumptions'!$B$48)*('Assumptions'!$D$48-'Assumptions'!$C$48)))</x:f>
        <x:v>0.10662736074099141</x:v>
      </x:c>
      <x:c r="I797" s="132" t="n">
        <x:f>IF(D797&lt;(('Assumptions'!$C$49-'Assumptions'!$B$49)/('Assumptions'!$D$49-'Assumptions'!$B$49)),'Assumptions'!$B$49+SQRT(D797*('Assumptions'!$D$49-'Assumptions'!$B$49)*('Assumptions'!$C$49-'Assumptions'!$B$49)),'Assumptions'!$D$49-SQRT((1-D797)*('Assumptions'!$D$49-'Assumptions'!$B$49)*('Assumptions'!$D$49-'Assumptions'!$C$49)))</x:f>
        <x:v>0.0659400677072213</x:v>
      </x:c>
      <x:c r="J797" s="132" t="n">
        <x:f>IF(E797&lt;(('Assumptions'!$C$50-'Assumptions'!$B$50)/('Assumptions'!$D$50-'Assumptions'!$B$50)),'Assumptions'!$B$50+SQRT(E797*('Assumptions'!$D$50-'Assumptions'!$B$50)*('Assumptions'!$C$50-'Assumptions'!$B$50)),'Assumptions'!$D$50-SQRT((1-E797)*('Assumptions'!$D$50-'Assumptions'!$B$50)*('Assumptions'!$D$50-'Assumptions'!$C$50)))</x:f>
        <x:v>0.06363786351182003</x:v>
      </x:c>
      <x:c r="K797" s="132" t="n">
        <x:f>IF(F797&lt;(('Assumptions'!$C$51-'Assumptions'!$B$51)/('Assumptions'!$D$51-'Assumptions'!$B$51)),'Assumptions'!$B$51+SQRT(F797*('Assumptions'!$D$51-'Assumptions'!$B$51)*('Assumptions'!$C$51-'Assumptions'!$B$51)),'Assumptions'!$D$51-SQRT((1-F797)*('Assumptions'!$D$51-'Assumptions'!$B$51)*('Assumptions'!$D$51-'Assumptions'!$C$51)))</x:f>
        <x:v>0.07310662712793059</x:v>
      </x:c>
      <x:c r="L797" s="133" t="n">
        <x:f>(('Assumptions'!$B$17*(1+G797)+'Assumptions'!$B$18)*(1-H797-'Assumptions'!$B$20)-SUM('Assumptions'!$B$21:$B$25)*(1+I797))-(('Assumptions'!$B$17*(1+G797)+'Assumptions'!$B$18)*(1-H797-'Assumptions'!$B$20)*'Assumptions'!$B$26)</x:f>
        <x:v>201007.95745163475</x:v>
      </x:c>
      <x:c r="M797" s="133" t="n">
        <x:f>'Assumptions'!$B$10*'Assumptions'!$B$33</x:f>
        <x:v>1950000</x:v>
      </x:c>
      <x:c r="N797" s="133" t="n">
        <x:f>-PMT(K797/12,'Assumptions'!$B$35*12,M797)*12</x:f>
        <x:v>160593.19350142838</x:v>
      </x:c>
      <x:c r="O797" s="133" t="n">
        <x:f>(L797*(1+'Assumptions'!$B$29)^('Assumptions'!$B$14/12)/J797)*(1-'Assumptions'!$B$42)-'Debt Schedule'!$F$9</x:f>
        <x:v>3442006.109034323</x:v>
      </x:c>
      <x:c r="P797" s="132" t="n">
        <x:f>((O797+(L797-N797-'Assumptions'!$B$27-'Assumptions'!$B$28)*('Assumptions'!$B$14/12))/ABS('Monthly Cash Flow'!$S$5))^(1/('Assumptions'!$B$14/12))-1</x:f>
        <x:v>0.2161698521604789</x:v>
      </x:c>
      <x:c r="Q797" s="133" t="n">
        <x:f>-ABS('Monthly Cash Flow'!$S$5)+((L797-N797-'Assumptions'!$B$27-'Assumptions'!$B$28)*(1-(1+'Assumptions'!$B$43)^-('Assumptions'!$B$14/12))/'Assumptions'!$B$43)+(O797/(1+'Assumptions'!$B$43)^('Assumptions'!$B$14/12))</x:f>
        <x:v>844287.268894156</x:v>
      </x:c>
    </x:row>
    <x:row r="798">
      <x:c r="A798" s="131" t="n">
        <x:f>791</x:f>
        <x:v>791</x:v>
      </x:c>
      <x:c r="B798" s="131" t="n">
        <x:f>MOD(ABS(SIN((A798+1)*12.9898+78.233)*43758.5453),1)</x:f>
        <x:v>0.8734394260100089</x:v>
      </x:c>
      <x:c r="C798" s="131" t="n">
        <x:f>MOD(ABS(SIN((A798+2)*12.9898+78.233)*43758.5453),1)</x:f>
        <x:v>0.6728670269876602</x:v>
      </x:c>
      <x:c r="D798" s="131" t="n">
        <x:f>MOD(ABS(SIN((A798+3)*12.9898+78.233)*43758.5453),1)</x:f>
        <x:v>0.16743719328769657</x:v>
      </x:c>
      <x:c r="E798" s="131" t="n">
        <x:f>MOD(ABS(SIN((A798+4)*12.9898+78.233)*43758.5453),1)</x:f>
        <x:v>0.7060731048850357</x:v>
      </x:c>
      <x:c r="F798" s="131" t="n">
        <x:f>MOD(ABS(SIN((A798+5)*12.9898+78.233)*43758.5453),1)</x:f>
        <x:v>0.5779534214852902</x:v>
      </x:c>
      <x:c r="G798" s="132" t="n">
        <x:f>IF(B798&lt;(('Assumptions'!$C$47-'Assumptions'!$B$47)/('Assumptions'!$D$47-'Assumptions'!$B$47)),'Assumptions'!$B$47+SQRT(B798*('Assumptions'!$D$47-'Assumptions'!$B$47)*('Assumptions'!$C$47-'Assumptions'!$B$47)),'Assumptions'!$D$47-SQRT((1-B798)*('Assumptions'!$D$47-'Assumptions'!$B$47)*('Assumptions'!$D$47-'Assumptions'!$C$47)))</x:f>
        <x:v>0.055000342403082034</x:v>
      </x:c>
      <x:c r="H798" s="132" t="n">
        <x:f>IF(C798&lt;(('Assumptions'!$C$48-'Assumptions'!$B$48)/('Assumptions'!$D$48-'Assumptions'!$B$48)),'Assumptions'!$B$48+SQRT(C798*('Assumptions'!$D$48-'Assumptions'!$B$48)*('Assumptions'!$C$48-'Assumptions'!$B$48)),'Assumptions'!$D$48-SQRT((1-C798)*('Assumptions'!$D$48-'Assumptions'!$B$48)*('Assumptions'!$D$48-'Assumptions'!$C$48)))</x:f>
        <x:v>0.08634582809782086</x:v>
      </x:c>
      <x:c r="I798" s="132" t="n">
        <x:f>IF(D798&lt;(('Assumptions'!$C$49-'Assumptions'!$B$49)/('Assumptions'!$D$49-'Assumptions'!$B$49)),'Assumptions'!$B$49+SQRT(D798*('Assumptions'!$D$49-'Assumptions'!$B$49)*('Assumptions'!$C$49-'Assumptions'!$B$49)),'Assumptions'!$D$49-SQRT((1-D798)*('Assumptions'!$D$49-'Assumptions'!$B$49)*('Assumptions'!$D$49-'Assumptions'!$C$49)))</x:f>
        <x:v>0.012524365809581724</x:v>
      </x:c>
      <x:c r="J798" s="132" t="n">
        <x:f>IF(E798&lt;(('Assumptions'!$C$50-'Assumptions'!$B$50)/('Assumptions'!$D$50-'Assumptions'!$B$50)),'Assumptions'!$B$50+SQRT(E798*('Assumptions'!$D$50-'Assumptions'!$B$50)*('Assumptions'!$C$50-'Assumptions'!$B$50)),'Assumptions'!$D$50-SQRT((1-E798)*('Assumptions'!$D$50-'Assumptions'!$B$50)*('Assumptions'!$D$50-'Assumptions'!$C$50)))</x:f>
        <x:v>0.07090786387854407</x:v>
      </x:c>
      <x:c r="K798" s="132" t="n">
        <x:f>IF(F798&lt;(('Assumptions'!$C$51-'Assumptions'!$B$51)/('Assumptions'!$D$51-'Assumptions'!$B$51)),'Assumptions'!$B$51+SQRT(F798*('Assumptions'!$D$51-'Assumptions'!$B$51)*('Assumptions'!$C$51-'Assumptions'!$B$51)),'Assumptions'!$D$51-SQRT((1-F798)*('Assumptions'!$D$51-'Assumptions'!$B$51)*('Assumptions'!$D$51-'Assumptions'!$C$51)))</x:f>
        <x:v>0.07074833638096226</x:v>
      </x:c>
      <x:c r="L798" s="133" t="n">
        <x:f>(('Assumptions'!$B$17*(1+G798)+'Assumptions'!$B$18)*(1-H798-'Assumptions'!$B$20)-SUM('Assumptions'!$B$21:$B$25)*(1+I798))-(('Assumptions'!$B$17*(1+G798)+'Assumptions'!$B$18)*(1-H798-'Assumptions'!$B$20)*'Assumptions'!$B$26)</x:f>
        <x:v>217516.72124084138</x:v>
      </x:c>
      <x:c r="M798" s="133" t="n">
        <x:f>'Assumptions'!$B$10*'Assumptions'!$B$33</x:f>
        <x:v>1950000</x:v>
      </x:c>
      <x:c r="N798" s="133" t="n">
        <x:f>-PMT(K798/12,'Assumptions'!$B$35*12,M798)*12</x:f>
        <x:v>156858.5920751915</x:v>
      </x:c>
      <x:c r="O798" s="133" t="n">
        <x:f>(L798*(1+'Assumptions'!$B$29)^('Assumptions'!$B$14/12)/J798)*(1-'Assumptions'!$B$42)-'Debt Schedule'!$F$9</x:f>
        <x:v>3342814.0823361604</x:v>
      </x:c>
      <x:c r="P798" s="132" t="n">
        <x:f>((O798+(L798-N798-'Assumptions'!$B$27-'Assumptions'!$B$28)*('Assumptions'!$B$14/12))/ABS('Monthly Cash Flow'!$S$5))^(1/('Assumptions'!$B$14/12))-1</x:f>
        <x:v>0.2163128175461837</x:v>
      </x:c>
      <x:c r="Q798" s="133" t="n">
        <x:f>-ABS('Monthly Cash Flow'!$S$5)+((L798-N798-'Assumptions'!$B$27-'Assumptions'!$B$28)*(1-(1+'Assumptions'!$B$43)^-('Assumptions'!$B$14/12))/'Assumptions'!$B$43)+(O798/(1+'Assumptions'!$B$43)^('Assumptions'!$B$14/12))</x:f>
        <x:v>859435.1054668201</x:v>
      </x:c>
    </x:row>
    <x:row r="799">
      <x:c r="A799" s="131" t="n">
        <x:f>792</x:f>
        <x:v>792</x:v>
      </x:c>
      <x:c r="B799" s="131" t="n">
        <x:f>MOD(ABS(SIN((A799+1)*12.9898+78.233)*43758.5453),1)</x:f>
        <x:v>0.6728670269876602</x:v>
      </x:c>
      <x:c r="C799" s="131" t="n">
        <x:f>MOD(ABS(SIN((A799+2)*12.9898+78.233)*43758.5453),1)</x:f>
        <x:v>0.16743719328769657</x:v>
      </x:c>
      <x:c r="D799" s="131" t="n">
        <x:f>MOD(ABS(SIN((A799+3)*12.9898+78.233)*43758.5453),1)</x:f>
        <x:v>0.7060731048850357</x:v>
      </x:c>
      <x:c r="E799" s="131" t="n">
        <x:f>MOD(ABS(SIN((A799+4)*12.9898+78.233)*43758.5453),1)</x:f>
        <x:v>0.5779534214852902</x:v>
      </x:c>
      <x:c r="F799" s="131" t="n">
        <x:f>MOD(ABS(SIN((A799+5)*12.9898+78.233)*43758.5453),1)</x:f>
        <x:v>0.8738755899175885</x:v>
      </x:c>
      <x:c r="G799" s="132" t="n">
        <x:f>IF(B799&lt;(('Assumptions'!$C$47-'Assumptions'!$B$47)/('Assumptions'!$D$47-'Assumptions'!$B$47)),'Assumptions'!$B$47+SQRT(B799*('Assumptions'!$D$47-'Assumptions'!$B$47)*('Assumptions'!$C$47-'Assumptions'!$B$47)),'Assumptions'!$D$47-SQRT((1-B799)*('Assumptions'!$D$47-'Assumptions'!$B$47)*('Assumptions'!$D$47-'Assumptions'!$C$47)))</x:f>
        <x:v>0.027652729365943346</x:v>
      </x:c>
      <x:c r="H799" s="132" t="n">
        <x:f>IF(C799&lt;(('Assumptions'!$C$48-'Assumptions'!$B$48)/('Assumptions'!$D$48-'Assumptions'!$B$48)),'Assumptions'!$B$48+SQRT(C799*('Assumptions'!$D$48-'Assumptions'!$B$48)*('Assumptions'!$C$48-'Assumptions'!$B$48)),'Assumptions'!$D$48-SQRT((1-C799)*('Assumptions'!$D$48-'Assumptions'!$B$48)*('Assumptions'!$D$48-'Assumptions'!$C$48)))</x:f>
        <x:v>0.053506227639700046</x:v>
      </x:c>
      <x:c r="I799" s="132" t="n">
        <x:f>IF(D799&lt;(('Assumptions'!$C$49-'Assumptions'!$B$49)/('Assumptions'!$D$49-'Assumptions'!$B$49)),'Assumptions'!$B$49+SQRT(D799*('Assumptions'!$D$49-'Assumptions'!$B$49)*('Assumptions'!$C$49-'Assumptions'!$B$49)),'Assumptions'!$D$49-SQRT((1-D799)*('Assumptions'!$D$49-'Assumptions'!$B$49)*('Assumptions'!$D$49-'Assumptions'!$C$49)))</x:f>
        <x:v>0.07032051120593688</x:v>
      </x:c>
      <x:c r="J799" s="132" t="n">
        <x:f>IF(E799&lt;(('Assumptions'!$C$50-'Assumptions'!$B$50)/('Assumptions'!$D$50-'Assumptions'!$B$50)),'Assumptions'!$B$50+SQRT(E799*('Assumptions'!$D$50-'Assumptions'!$B$50)*('Assumptions'!$C$50-'Assumptions'!$B$50)),'Assumptions'!$D$50-SQRT((1-E799)*('Assumptions'!$D$50-'Assumptions'!$B$50)*('Assumptions'!$D$50-'Assumptions'!$C$50)))</x:f>
        <x:v>0.06910501949486544</x:v>
      </x:c>
      <x:c r="K799" s="132" t="n">
        <x:f>IF(F799&lt;(('Assumptions'!$C$51-'Assumptions'!$B$51)/('Assumptions'!$D$51-'Assumptions'!$B$51)),'Assumptions'!$B$51+SQRT(F799*('Assumptions'!$D$51-'Assumptions'!$B$51)*('Assumptions'!$C$51-'Assumptions'!$B$51)),'Assumptions'!$D$51-SQRT((1-F799)*('Assumptions'!$D$51-'Assumptions'!$B$51)*('Assumptions'!$D$51-'Assumptions'!$C$51)))</x:f>
        <x:v>0.07720914816261017</x:v>
      </x:c>
      <x:c r="L799" s="133" t="n">
        <x:f>(('Assumptions'!$B$17*(1+G799)+'Assumptions'!$B$18)*(1-H799-'Assumptions'!$B$20)-SUM('Assumptions'!$B$21:$B$25)*(1+I799))-(('Assumptions'!$B$17*(1+G799)+'Assumptions'!$B$18)*(1-H799-'Assumptions'!$B$20)*'Assumptions'!$B$26)</x:f>
        <x:v>213924.34371725156</x:v>
      </x:c>
      <x:c r="M799" s="133" t="n">
        <x:f>'Assumptions'!$B$10*'Assumptions'!$B$33</x:f>
        <x:v>1950000</x:v>
      </x:c>
      <x:c r="N799" s="133" t="n">
        <x:f>-PMT(K799/12,'Assumptions'!$B$35*12,M799)*12</x:f>
        <x:v>167170.39745587832</x:v>
      </x:c>
      <x:c r="O799" s="133" t="n">
        <x:f>(L799*(1+'Assumptions'!$B$29)^('Assumptions'!$B$14/12)/J799)*(1-'Assumptions'!$B$42)-'Debt Schedule'!$F$9</x:f>
        <x:v>3373374.7635855814</x:v>
      </x:c>
      <x:c r="P799" s="132" t="n">
        <x:f>((O799+(L799-N799-'Assumptions'!$B$27-'Assumptions'!$B$28)*('Assumptions'!$B$14/12))/ABS('Monthly Cash Flow'!$S$5))^(1/('Assumptions'!$B$14/12))-1</x:f>
        <x:v>0.21355006951579414</x:v>
      </x:c>
      <x:c r="Q799" s="133" t="n">
        <x:f>-ABS('Monthly Cash Flow'!$S$5)+((L799-N799-'Assumptions'!$B$27-'Assumptions'!$B$28)*(1-(1+'Assumptions'!$B$43)^-('Assumptions'!$B$14/12))/'Assumptions'!$B$43)+(O799/(1+'Assumptions'!$B$43)^('Assumptions'!$B$14/12))</x:f>
        <x:v>825703.0915088325</x:v>
      </x:c>
    </x:row>
    <x:row r="800">
      <x:c r="A800" s="131" t="n">
        <x:f>793</x:f>
        <x:v>793</x:v>
      </x:c>
      <x:c r="B800" s="131" t="n">
        <x:f>MOD(ABS(SIN((A800+1)*12.9898+78.233)*43758.5453),1)</x:f>
        <x:v>0.16743719328769657</x:v>
      </x:c>
      <x:c r="C800" s="131" t="n">
        <x:f>MOD(ABS(SIN((A800+2)*12.9898+78.233)*43758.5453),1)</x:f>
        <x:v>0.7060731048850357</x:v>
      </x:c>
      <x:c r="D800" s="131" t="n">
        <x:f>MOD(ABS(SIN((A800+3)*12.9898+78.233)*43758.5453),1)</x:f>
        <x:v>0.5779534214852902</x:v>
      </x:c>
      <x:c r="E800" s="131" t="n">
        <x:f>MOD(ABS(SIN((A800+4)*12.9898+78.233)*43758.5453),1)</x:f>
        <x:v>0.8738755899175885</x:v>
      </x:c>
      <x:c r="F800" s="131" t="n">
        <x:f>MOD(ABS(SIN((A800+5)*12.9898+78.233)*43758.5453),1)</x:f>
        <x:v>0.45454495283047436</x:v>
      </x:c>
      <x:c r="G800" s="132" t="n">
        <x:f>IF(B800&lt;(('Assumptions'!$C$47-'Assumptions'!$B$47)/('Assumptions'!$D$47-'Assumptions'!$B$47)),'Assumptions'!$B$47+SQRT(B800*('Assumptions'!$D$47-'Assumptions'!$B$47)*('Assumptions'!$C$47-'Assumptions'!$B$47)),'Assumptions'!$D$47-SQRT((1-B800)*('Assumptions'!$D$47-'Assumptions'!$B$47)*('Assumptions'!$D$47-'Assumptions'!$C$47)))</x:f>
        <x:v>-0.03660841823313826</x:v>
      </x:c>
      <x:c r="H800" s="132" t="n">
        <x:f>IF(C800&lt;(('Assumptions'!$C$48-'Assumptions'!$B$48)/('Assumptions'!$D$48-'Assumptions'!$B$48)),'Assumptions'!$B$48+SQRT(C800*('Assumptions'!$D$48-'Assumptions'!$B$48)*('Assumptions'!$C$48-'Assumptions'!$B$48)),'Assumptions'!$D$48-SQRT((1-C800)*('Assumptions'!$D$48-'Assumptions'!$B$48)*('Assumptions'!$D$48-'Assumptions'!$C$48)))</x:f>
        <x:v>0.08914179833093108</x:v>
      </x:c>
      <x:c r="I800" s="132" t="n">
        <x:f>IF(D800&lt;(('Assumptions'!$C$49-'Assumptions'!$B$49)/('Assumptions'!$D$49-'Assumptions'!$B$49)),'Assumptions'!$B$49+SQRT(D800*('Assumptions'!$D$49-'Assumptions'!$B$49)*('Assumptions'!$C$49-'Assumptions'!$B$49)),'Assumptions'!$D$49-SQRT((1-D800)*('Assumptions'!$D$49-'Assumptions'!$B$49)*('Assumptions'!$D$49-'Assumptions'!$C$49)))</x:f>
        <x:v>0.054521174620140334</x:v>
      </x:c>
      <x:c r="J800" s="132" t="n">
        <x:f>IF(E800&lt;(('Assumptions'!$C$50-'Assumptions'!$B$50)/('Assumptions'!$D$50-'Assumptions'!$B$50)),'Assumptions'!$B$50+SQRT(E800*('Assumptions'!$D$50-'Assumptions'!$B$50)*('Assumptions'!$C$50-'Assumptions'!$B$50)),'Assumptions'!$D$50-SQRT((1-E800)*('Assumptions'!$D$50-'Assumptions'!$B$50)*('Assumptions'!$D$50-'Assumptions'!$C$50)))</x:f>
        <x:v>0.07404412136325142</x:v>
      </x:c>
      <x:c r="K800" s="132" t="n">
        <x:f>IF(F800&lt;(('Assumptions'!$C$51-'Assumptions'!$B$51)/('Assumptions'!$D$51-'Assumptions'!$B$51)),'Assumptions'!$B$51+SQRT(F800*('Assumptions'!$D$51-'Assumptions'!$B$51)*('Assumptions'!$C$51-'Assumptions'!$B$51)),'Assumptions'!$D$51-SQRT((1-F800)*('Assumptions'!$D$51-'Assumptions'!$B$51)*('Assumptions'!$D$51-'Assumptions'!$C$51)))</x:f>
        <x:v>0.06879814080266299</x:v>
      </x:c>
      <x:c r="L800" s="133" t="n">
        <x:f>(('Assumptions'!$B$17*(1+G800)+'Assumptions'!$B$18)*(1-H800-'Assumptions'!$B$20)-SUM('Assumptions'!$B$21:$B$25)*(1+I800))-(('Assumptions'!$B$17*(1+G800)+'Assumptions'!$B$18)*(1-H800-'Assumptions'!$B$20)*'Assumptions'!$B$26)</x:f>
        <x:v>182636.2159569131</x:v>
      </x:c>
      <x:c r="M800" s="133" t="n">
        <x:f>'Assumptions'!$B$10*'Assumptions'!$B$33</x:f>
        <x:v>1950000</x:v>
      </x:c>
      <x:c r="N800" s="133" t="n">
        <x:f>-PMT(K800/12,'Assumptions'!$B$35*12,M800)*12</x:f>
        <x:v>153796.62045371457</x:v>
      </x:c>
      <x:c r="O800" s="133" t="n">
        <x:f>(L800*(1+'Assumptions'!$B$29)^('Assumptions'!$B$14/12)/J800)*(1-'Assumptions'!$B$42)-'Debt Schedule'!$F$9</x:f>
        <x:v>2687882.5855668117</x:v>
      </x:c>
      <x:c r="P800" s="132" t="n">
        <x:f>((O800+(L800-N800-'Assumptions'!$B$27-'Assumptions'!$B$28)*('Assumptions'!$B$14/12))/ABS('Monthly Cash Flow'!$S$5))^(1/('Assumptions'!$B$14/12))-1</x:f>
        <x:v>0.1524959944738138</x:v>
      </x:c>
      <x:c r="Q800" s="133" t="n">
        <x:f>-ABS('Monthly Cash Flow'!$S$5)+((L800-N800-'Assumptions'!$B$27-'Assumptions'!$B$28)*(1-(1+'Assumptions'!$B$43)^-('Assumptions'!$B$14/12))/'Assumptions'!$B$43)+(O800/(1+'Assumptions'!$B$43)^('Assumptions'!$B$14/12))</x:f>
        <x:v>332156.89755008556</x:v>
      </x:c>
    </x:row>
    <x:row r="801">
      <x:c r="A801" s="131" t="n">
        <x:f>794</x:f>
        <x:v>794</x:v>
      </x:c>
      <x:c r="B801" s="131" t="n">
        <x:f>MOD(ABS(SIN((A801+1)*12.9898+78.233)*43758.5453),1)</x:f>
        <x:v>0.7060731048850357</x:v>
      </x:c>
      <x:c r="C801" s="131" t="n">
        <x:f>MOD(ABS(SIN((A801+2)*12.9898+78.233)*43758.5453),1)</x:f>
        <x:v>0.5779534214852902</x:v>
      </x:c>
      <x:c r="D801" s="131" t="n">
        <x:f>MOD(ABS(SIN((A801+3)*12.9898+78.233)*43758.5453),1)</x:f>
        <x:v>0.8738755899175885</x:v>
      </x:c>
      <x:c r="E801" s="131" t="n">
        <x:f>MOD(ABS(SIN((A801+4)*12.9898+78.233)*43758.5453),1)</x:f>
        <x:v>0.45454495283047436</x:v>
      </x:c>
      <x:c r="F801" s="131" t="n">
        <x:f>MOD(ABS(SIN((A801+5)*12.9898+78.233)*43758.5453),1)</x:f>
        <x:v>0.5867659579525935</x:v>
      </x:c>
      <x:c r="G801" s="132" t="n">
        <x:f>IF(B801&lt;(('Assumptions'!$C$47-'Assumptions'!$B$47)/('Assumptions'!$D$47-'Assumptions'!$B$47)),'Assumptions'!$B$47+SQRT(B801*('Assumptions'!$D$47-'Assumptions'!$B$47)*('Assumptions'!$C$47-'Assumptions'!$B$47)),'Assumptions'!$D$47-SQRT((1-B801)*('Assumptions'!$D$47-'Assumptions'!$B$47)*('Assumptions'!$D$47-'Assumptions'!$C$47)))</x:f>
        <x:v>0.03142281485917181</x:v>
      </x:c>
      <x:c r="H801" s="132" t="n">
        <x:f>IF(C801&lt;(('Assumptions'!$C$48-'Assumptions'!$B$48)/('Assumptions'!$D$48-'Assumptions'!$B$48)),'Assumptions'!$B$48+SQRT(C801*('Assumptions'!$D$48-'Assumptions'!$B$48)*('Assumptions'!$C$48-'Assumptions'!$B$48)),'Assumptions'!$D$48-SQRT((1-C801)*('Assumptions'!$D$48-'Assumptions'!$B$48)*('Assumptions'!$D$48-'Assumptions'!$C$48)))</x:f>
        <x:v>0.07905732290972567</x:v>
      </x:c>
      <x:c r="I801" s="132" t="n">
        <x:f>IF(D801&lt;(('Assumptions'!$C$49-'Assumptions'!$B$49)/('Assumptions'!$D$49-'Assumptions'!$B$49)),'Assumptions'!$B$49+SQRT(D801*('Assumptions'!$D$49-'Assumptions'!$B$49)*('Assumptions'!$C$49-'Assumptions'!$B$49)),'Assumptions'!$D$49-SQRT((1-D801)*('Assumptions'!$D$49-'Assumptions'!$B$49)*('Assumptions'!$D$49-'Assumptions'!$C$49)))</x:f>
        <x:v>0.09780529473423488</x:v>
      </x:c>
      <x:c r="J801" s="132" t="n">
        <x:f>IF(E801&lt;(('Assumptions'!$C$50-'Assumptions'!$B$50)/('Assumptions'!$D$50-'Assumptions'!$B$50)),'Assumptions'!$B$50+SQRT(E801*('Assumptions'!$D$50-'Assumptions'!$B$50)*('Assumptions'!$C$50-'Assumptions'!$B$50)),'Assumptions'!$D$50-SQRT((1-E801)*('Assumptions'!$D$50-'Assumptions'!$B$50)*('Assumptions'!$D$50-'Assumptions'!$C$50)))</x:f>
        <x:v>0.06761415194601399</x:v>
      </x:c>
      <x:c r="K801" s="132" t="n">
        <x:f>IF(F801&lt;(('Assumptions'!$C$51-'Assumptions'!$B$51)/('Assumptions'!$D$51-'Assumptions'!$B$51)),'Assumptions'!$B$51+SQRT(F801*('Assumptions'!$D$51-'Assumptions'!$B$51)*('Assumptions'!$C$51-'Assumptions'!$B$51)),'Assumptions'!$D$51-SQRT((1-F801)*('Assumptions'!$D$51-'Assumptions'!$B$51)*('Assumptions'!$D$51-'Assumptions'!$C$51)))</x:f>
        <x:v>0.07089791211432456</x:v>
      </x:c>
      <x:c r="L801" s="133" t="n">
        <x:f>(('Assumptions'!$B$17*(1+G801)+'Assumptions'!$B$18)*(1-H801-'Assumptions'!$B$20)-SUM('Assumptions'!$B$21:$B$25)*(1+I801))-(('Assumptions'!$B$17*(1+G801)+'Assumptions'!$B$18)*(1-H801-'Assumptions'!$B$20)*'Assumptions'!$B$26)</x:f>
        <x:v>202131.9983217453</x:v>
      </x:c>
      <x:c r="M801" s="133" t="n">
        <x:f>'Assumptions'!$B$10*'Assumptions'!$B$33</x:f>
        <x:v>1950000</x:v>
      </x:c>
      <x:c r="N801" s="133" t="n">
        <x:f>-PMT(K801/12,'Assumptions'!$B$35*12,M801)*12</x:f>
        <x:v>157094.43278055516</x:v>
      </x:c>
      <x:c r="O801" s="133" t="n">
        <x:f>(L801*(1+'Assumptions'!$B$29)^('Assumptions'!$B$14/12)/J801)*(1-'Assumptions'!$B$42)-'Debt Schedule'!$F$9</x:f>
        <x:v>3257702.6522830576</x:v>
      </x:c>
      <x:c r="P801" s="132" t="n">
        <x:f>((O801+(L801-N801-'Assumptions'!$B$27-'Assumptions'!$B$28)*('Assumptions'!$B$14/12))/ABS('Monthly Cash Flow'!$S$5))^(1/('Assumptions'!$B$14/12))-1</x:f>
        <x:v>0.20456674142442743</x:v>
      </x:c>
      <x:c r="Q801" s="133" t="n">
        <x:f>-ABS('Monthly Cash Flow'!$S$5)+((L801-N801-'Assumptions'!$B$27-'Assumptions'!$B$28)*(1-(1+'Assumptions'!$B$43)^-('Assumptions'!$B$14/12))/'Assumptions'!$B$43)+(O801/(1+'Assumptions'!$B$43)^('Assumptions'!$B$14/12))</x:f>
        <x:v>747373.377792486</x:v>
      </x:c>
    </x:row>
    <x:row r="802">
      <x:c r="A802" s="131" t="n">
        <x:f>795</x:f>
        <x:v>795</x:v>
      </x:c>
      <x:c r="B802" s="131" t="n">
        <x:f>MOD(ABS(SIN((A802+1)*12.9898+78.233)*43758.5453),1)</x:f>
        <x:v>0.5779534214852902</x:v>
      </x:c>
      <x:c r="C802" s="131" t="n">
        <x:f>MOD(ABS(SIN((A802+2)*12.9898+78.233)*43758.5453),1)</x:f>
        <x:v>0.8738755899175885</x:v>
      </x:c>
      <x:c r="D802" s="131" t="n">
        <x:f>MOD(ABS(SIN((A802+3)*12.9898+78.233)*43758.5453),1)</x:f>
        <x:v>0.45454495283047436</x:v>
      </x:c>
      <x:c r="E802" s="131" t="n">
        <x:f>MOD(ABS(SIN((A802+4)*12.9898+78.233)*43758.5453),1)</x:f>
        <x:v>0.5867659579525935</x:v>
      </x:c>
      <x:c r="F802" s="131" t="n">
        <x:f>MOD(ABS(SIN((A802+5)*12.9898+78.233)*43758.5453),1)</x:f>
        <x:v>0.9524565704559791</x:v>
      </x:c>
      <x:c r="G802" s="132" t="n">
        <x:f>IF(B802&lt;(('Assumptions'!$C$47-'Assumptions'!$B$47)/('Assumptions'!$D$47-'Assumptions'!$B$47)),'Assumptions'!$B$47+SQRT(B802*('Assumptions'!$D$47-'Assumptions'!$B$47)*('Assumptions'!$C$47-'Assumptions'!$B$47)),'Assumptions'!$D$47-SQRT((1-B802)*('Assumptions'!$D$47-'Assumptions'!$B$47)*('Assumptions'!$D$47-'Assumptions'!$C$47)))</x:f>
        <x:v>0.017774709151188173</x:v>
      </x:c>
      <x:c r="H802" s="132" t="n">
        <x:f>IF(C802&lt;(('Assumptions'!$C$48-'Assumptions'!$B$48)/('Assumptions'!$D$48-'Assumptions'!$B$48)),'Assumptions'!$B$48+SQRT(C802*('Assumptions'!$D$48-'Assumptions'!$B$48)*('Assumptions'!$C$48-'Assumptions'!$B$48)),'Assumptions'!$D$48-SQRT((1-C802)*('Assumptions'!$D$48-'Assumptions'!$B$48)*('Assumptions'!$D$48-'Assumptions'!$C$48)))</x:f>
        <x:v>0.106684916198136</x:v>
      </x:c>
      <x:c r="I802" s="132" t="n">
        <x:f>IF(D802&lt;(('Assumptions'!$C$49-'Assumptions'!$B$49)/('Assumptions'!$D$49-'Assumptions'!$B$49)),'Assumptions'!$B$49+SQRT(D802*('Assumptions'!$D$49-'Assumptions'!$B$49)*('Assumptions'!$C$49-'Assumptions'!$B$49)),'Assumptions'!$D$49-SQRT((1-D802)*('Assumptions'!$D$49-'Assumptions'!$B$49)*('Assumptions'!$D$49-'Assumptions'!$C$49)))</x:f>
        <x:v>0.04145586603200635</x:v>
      </x:c>
      <x:c r="J802" s="132" t="n">
        <x:f>IF(E802&lt;(('Assumptions'!$C$50-'Assumptions'!$B$50)/('Assumptions'!$D$50-'Assumptions'!$B$50)),'Assumptions'!$B$50+SQRT(E802*('Assumptions'!$D$50-'Assumptions'!$B$50)*('Assumptions'!$C$50-'Assumptions'!$B$50)),'Assumptions'!$D$50-SQRT((1-E802)*('Assumptions'!$D$50-'Assumptions'!$B$50)*('Assumptions'!$D$50-'Assumptions'!$C$50)))</x:f>
        <x:v>0.06921936577348842</x:v>
      </x:c>
      <x:c r="K802" s="132" t="n">
        <x:f>IF(F802&lt;(('Assumptions'!$C$51-'Assumptions'!$B$51)/('Assumptions'!$D$51-'Assumptions'!$B$51)),'Assumptions'!$B$51+SQRT(F802*('Assumptions'!$D$51-'Assumptions'!$B$51)*('Assumptions'!$C$51-'Assumptions'!$B$51)),'Assumptions'!$D$51-SQRT((1-F802)*('Assumptions'!$D$51-'Assumptions'!$B$51)*('Assumptions'!$D$51-'Assumptions'!$C$51)))</x:f>
        <x:v>0.08021666690810059</x:v>
      </x:c>
      <x:c r="L802" s="133" t="n">
        <x:f>(('Assumptions'!$B$17*(1+G802)+'Assumptions'!$B$18)*(1-H802-'Assumptions'!$B$20)-SUM('Assumptions'!$B$21:$B$25)*(1+I802))-(('Assumptions'!$B$17*(1+G802)+'Assumptions'!$B$18)*(1-H802-'Assumptions'!$B$20)*'Assumptions'!$B$26)</x:f>
        <x:v>194740.08959389493</x:v>
      </x:c>
      <x:c r="M802" s="133" t="n">
        <x:f>'Assumptions'!$B$10*'Assumptions'!$B$33</x:f>
        <x:v>1950000</x:v>
      </x:c>
      <x:c r="N802" s="133" t="n">
        <x:f>-PMT(K802/12,'Assumptions'!$B$35*12,M802)*12</x:f>
        <x:v>172054.4817785386</x:v>
      </x:c>
      <x:c r="O802" s="133" t="n">
        <x:f>(L802*(1+'Assumptions'!$B$29)^('Assumptions'!$B$14/12)/J802)*(1-'Assumptions'!$B$42)-'Debt Schedule'!$F$9</x:f>
        <x:v>3065785.2249313258</x:v>
      </x:c>
      <x:c r="P802" s="132" t="n">
        <x:f>((O802+(L802-N802-'Assumptions'!$B$27-'Assumptions'!$B$28)*('Assumptions'!$B$14/12))/ABS('Monthly Cash Flow'!$S$5))^(1/('Assumptions'!$B$14/12))-1</x:f>
        <x:v>0.18140800061696205</x:v>
      </x:c>
      <x:c r="Q802" s="133" t="n">
        <x:f>-ABS('Monthly Cash Flow'!$S$5)+((L802-N802-'Assumptions'!$B$27-'Assumptions'!$B$28)*(1-(1+'Assumptions'!$B$43)^-('Assumptions'!$B$14/12))/'Assumptions'!$B$43)+(O802/(1+'Assumptions'!$B$43)^('Assumptions'!$B$14/12))</x:f>
        <x:v>543476.2492656715</x:v>
      </x:c>
    </x:row>
    <x:row r="803">
      <x:c r="A803" s="131" t="n">
        <x:f>796</x:f>
        <x:v>796</x:v>
      </x:c>
      <x:c r="B803" s="131" t="n">
        <x:f>MOD(ABS(SIN((A803+1)*12.9898+78.233)*43758.5453),1)</x:f>
        <x:v>0.8738755899175885</x:v>
      </x:c>
      <x:c r="C803" s="131" t="n">
        <x:f>MOD(ABS(SIN((A803+2)*12.9898+78.233)*43758.5453),1)</x:f>
        <x:v>0.45454495283047436</x:v>
      </x:c>
      <x:c r="D803" s="131" t="n">
        <x:f>MOD(ABS(SIN((A803+3)*12.9898+78.233)*43758.5453),1)</x:f>
        <x:v>0.5867659579525935</x:v>
      </x:c>
      <x:c r="E803" s="131" t="n">
        <x:f>MOD(ABS(SIN((A803+4)*12.9898+78.233)*43758.5453),1)</x:f>
        <x:v>0.9524565704559791</x:v>
      </x:c>
      <x:c r="F803" s="131" t="n">
        <x:f>MOD(ABS(SIN((A803+5)*12.9898+78.233)*43758.5453),1)</x:f>
        <x:v>0.604508263997559</x:v>
      </x:c>
      <x:c r="G803" s="132" t="n">
        <x:f>IF(B803&lt;(('Assumptions'!$C$47-'Assumptions'!$B$47)/('Assumptions'!$D$47-'Assumptions'!$B$47)),'Assumptions'!$B$47+SQRT(B803*('Assumptions'!$D$47-'Assumptions'!$B$47)*('Assumptions'!$C$47-'Assumptions'!$B$47)),'Assumptions'!$D$47-SQRT((1-B803)*('Assumptions'!$D$47-'Assumptions'!$B$47)*('Assumptions'!$D$47-'Assumptions'!$C$47)))</x:f>
        <x:v>0.055077950165663817</x:v>
      </x:c>
      <x:c r="H803" s="132" t="n">
        <x:f>IF(C803&lt;(('Assumptions'!$C$48-'Assumptions'!$B$48)/('Assumptions'!$D$48-'Assumptions'!$B$48)),'Assumptions'!$B$48+SQRT(C803*('Assumptions'!$D$48-'Assumptions'!$B$48)*('Assumptions'!$C$48-'Assumptions'!$B$48)),'Assumptions'!$D$48-SQRT((1-C803)*('Assumptions'!$D$48-'Assumptions'!$B$48)*('Assumptions'!$D$48-'Assumptions'!$C$48)))</x:f>
        <x:v>0.07071793583407156</x:v>
      </x:c>
      <x:c r="I803" s="132" t="n">
        <x:f>IF(D803&lt;(('Assumptions'!$C$49-'Assumptions'!$B$49)/('Assumptions'!$D$49-'Assumptions'!$B$49)),'Assumptions'!$B$49+SQRT(D803*('Assumptions'!$D$49-'Assumptions'!$B$49)*('Assumptions'!$C$49-'Assumptions'!$B$49)),'Assumptions'!$D$49-SQRT((1-D803)*('Assumptions'!$D$49-'Assumptions'!$B$49)*('Assumptions'!$D$49-'Assumptions'!$C$49)))</x:f>
        <x:v>0.05552325519883752</x:v>
      </x:c>
      <x:c r="J803" s="132" t="n">
        <x:f>IF(E803&lt;(('Assumptions'!$C$50-'Assumptions'!$B$50)/('Assumptions'!$D$50-'Assumptions'!$B$50)),'Assumptions'!$B$50+SQRT(E803*('Assumptions'!$D$50-'Assumptions'!$B$50)*('Assumptions'!$C$50-'Assumptions'!$B$50)),'Assumptions'!$D$50-SQRT((1-E803)*('Assumptions'!$D$50-'Assumptions'!$B$50)*('Assumptions'!$D$50-'Assumptions'!$C$50)))</x:f>
        <x:v>0.07634328158600422</x:v>
      </x:c>
      <x:c r="K803" s="132" t="n">
        <x:f>IF(F803&lt;(('Assumptions'!$C$51-'Assumptions'!$B$51)/('Assumptions'!$D$51-'Assumptions'!$B$51)),'Assumptions'!$B$51+SQRT(F803*('Assumptions'!$D$51-'Assumptions'!$B$51)*('Assumptions'!$C$51-'Assumptions'!$B$51)),'Assumptions'!$D$51-SQRT((1-F803)*('Assumptions'!$D$51-'Assumptions'!$B$51)*('Assumptions'!$D$51-'Assumptions'!$C$51)))</x:f>
        <x:v>0.07120397166025039</x:v>
      </x:c>
      <x:c r="L803" s="133" t="n">
        <x:f>(('Assumptions'!$B$17*(1+G803)+'Assumptions'!$B$18)*(1-H803-'Assumptions'!$B$20)-SUM('Assumptions'!$B$21:$B$25)*(1+I803))-(('Assumptions'!$B$17*(1+G803)+'Assumptions'!$B$18)*(1-H803-'Assumptions'!$B$20)*'Assumptions'!$B$26)</x:f>
        <x:v>218091.6238353298</x:v>
      </x:c>
      <x:c r="M803" s="133" t="n">
        <x:f>'Assumptions'!$B$10*'Assumptions'!$B$33</x:f>
        <x:v>1950000</x:v>
      </x:c>
      <x:c r="N803" s="133" t="n">
        <x:f>-PMT(K803/12,'Assumptions'!$B$35*12,M803)*12</x:f>
        <x:v>157577.44365849916</x:v>
      </x:c>
      <x:c r="O803" s="133" t="n">
        <x:f>(L803*(1+'Assumptions'!$B$29)^('Assumptions'!$B$14/12)/J803)*(1-'Assumptions'!$B$42)-'Debt Schedule'!$F$9</x:f>
        <x:v>3113021.6369661246</x:v>
      </x:c>
      <x:c r="P803" s="132" t="n">
        <x:f>((O803+(L803-N803-'Assumptions'!$B$27-'Assumptions'!$B$28)*('Assumptions'!$B$14/12))/ABS('Monthly Cash Flow'!$S$5))^(1/('Assumptions'!$B$14/12))-1</x:f>
        <x:v>0.19958711281131625</x:v>
      </x:c>
      <x:c r="Q803" s="133" t="n">
        <x:f>-ABS('Monthly Cash Flow'!$S$5)+((L803-N803-'Assumptions'!$B$27-'Assumptions'!$B$28)*(1-(1+'Assumptions'!$B$43)^-('Assumptions'!$B$14/12))/'Assumptions'!$B$43)+(O803/(1+'Assumptions'!$B$43)^('Assumptions'!$B$14/12))</x:f>
        <x:v>716206.3963363732</x:v>
      </x:c>
    </x:row>
    <x:row r="804">
      <x:c r="A804" s="131" t="n">
        <x:f>797</x:f>
        <x:v>797</x:v>
      </x:c>
      <x:c r="B804" s="131" t="n">
        <x:f>MOD(ABS(SIN((A804+1)*12.9898+78.233)*43758.5453),1)</x:f>
        <x:v>0.45454495283047436</x:v>
      </x:c>
      <x:c r="C804" s="131" t="n">
        <x:f>MOD(ABS(SIN((A804+2)*12.9898+78.233)*43758.5453),1)</x:f>
        <x:v>0.5867659579525935</x:v>
      </x:c>
      <x:c r="D804" s="131" t="n">
        <x:f>MOD(ABS(SIN((A804+3)*12.9898+78.233)*43758.5453),1)</x:f>
        <x:v>0.9524565704559791</x:v>
      </x:c>
      <x:c r="E804" s="131" t="n">
        <x:f>MOD(ABS(SIN((A804+4)*12.9898+78.233)*43758.5453),1)</x:f>
        <x:v>0.604508263997559</x:v>
      </x:c>
      <x:c r="F804" s="131" t="n">
        <x:f>MOD(ABS(SIN((A804+5)*12.9898+78.233)*43758.5453),1)</x:f>
        <x:v>0.002249960534697948</x:v>
      </x:c>
      <x:c r="G804" s="132" t="n">
        <x:f>IF(B804&lt;(('Assumptions'!$C$47-'Assumptions'!$B$47)/('Assumptions'!$D$47-'Assumptions'!$B$47)),'Assumptions'!$B$47+SQRT(B804*('Assumptions'!$D$47-'Assumptions'!$B$47)*('Assumptions'!$C$47-'Assumptions'!$B$47)),'Assumptions'!$D$47-SQRT((1-B804)*('Assumptions'!$D$47-'Assumptions'!$B$47)*('Assumptions'!$D$47-'Assumptions'!$C$47)))</x:f>
        <x:v>0.0044465359307401114</x:v>
      </x:c>
      <x:c r="H804" s="132" t="n">
        <x:f>IF(C804&lt;(('Assumptions'!$C$48-'Assumptions'!$B$48)/('Assumptions'!$D$48-'Assumptions'!$B$48)),'Assumptions'!$B$48+SQRT(C804*('Assumptions'!$D$48-'Assumptions'!$B$48)*('Assumptions'!$C$48-'Assumptions'!$B$48)),'Assumptions'!$D$48-SQRT((1-C804)*('Assumptions'!$D$48-'Assumptions'!$B$48)*('Assumptions'!$D$48-'Assumptions'!$C$48)))</x:f>
        <x:v>0.07969693564985958</x:v>
      </x:c>
      <x:c r="I804" s="132" t="n">
        <x:f>IF(D804&lt;(('Assumptions'!$C$49-'Assumptions'!$B$49)/('Assumptions'!$D$49-'Assumptions'!$B$49)),'Assumptions'!$B$49+SQRT(D804*('Assumptions'!$D$49-'Assumptions'!$B$49)*('Assumptions'!$C$49-'Assumptions'!$B$49)),'Assumptions'!$D$49-SQRT((1-D804)*('Assumptions'!$D$49-'Assumptions'!$B$49)*('Assumptions'!$D$49-'Assumptions'!$C$49)))</x:f>
        <x:v>0.11795412541135986</x:v>
      </x:c>
      <x:c r="J804" s="132" t="n">
        <x:f>IF(E804&lt;(('Assumptions'!$C$50-'Assumptions'!$B$50)/('Assumptions'!$D$50-'Assumptions'!$B$50)),'Assumptions'!$B$50+SQRT(E804*('Assumptions'!$D$50-'Assumptions'!$B$50)*('Assumptions'!$C$50-'Assumptions'!$B$50)),'Assumptions'!$D$50-SQRT((1-E804)*('Assumptions'!$D$50-'Assumptions'!$B$50)*('Assumptions'!$D$50-'Assumptions'!$C$50)))</x:f>
        <x:v>0.06945333935547908</x:v>
      </x:c>
      <x:c r="K804" s="132" t="n">
        <x:f>IF(F804&lt;(('Assumptions'!$C$51-'Assumptions'!$B$51)/('Assumptions'!$D$51-'Assumptions'!$B$51)),'Assumptions'!$B$51+SQRT(F804*('Assumptions'!$D$51-'Assumptions'!$B$51)*('Assumptions'!$C$51-'Assumptions'!$B$51)),'Assumptions'!$D$51-SQRT((1-F804)*('Assumptions'!$D$51-'Assumptions'!$B$51)*('Assumptions'!$D$51-'Assumptions'!$C$51)))</x:f>
        <x:v>0.058286599737504365</x:v>
      </x:c>
      <x:c r="L804" s="133" t="n">
        <x:f>(('Assumptions'!$B$17*(1+G804)+'Assumptions'!$B$18)*(1-H804-'Assumptions'!$B$20)-SUM('Assumptions'!$B$21:$B$25)*(1+I804))-(('Assumptions'!$B$17*(1+G804)+'Assumptions'!$B$18)*(1-H804-'Assumptions'!$B$20)*'Assumptions'!$B$26)</x:f>
        <x:v>190867.43967952376</x:v>
      </x:c>
      <x:c r="M804" s="133" t="n">
        <x:f>'Assumptions'!$B$10*'Assumptions'!$B$33</x:f>
        <x:v>1950000</x:v>
      </x:c>
      <x:c r="N804" s="133" t="n">
        <x:f>-PMT(K804/12,'Assumptions'!$B$35*12,M804)*12</x:f>
        <x:v>137727.57895995153</x:v>
      </x:c>
      <x:c r="O804" s="133" t="n">
        <x:f>(L804*(1+'Assumptions'!$B$29)^('Assumptions'!$B$14/12)/J804)*(1-'Assumptions'!$B$42)-'Debt Schedule'!$F$9</x:f>
        <x:v>2994695.6605935087</x:v>
      </x:c>
      <x:c r="P804" s="132" t="n">
        <x:f>((O804+(L804-N804-'Assumptions'!$B$27-'Assumptions'!$B$28)*('Assumptions'!$B$14/12))/ABS('Monthly Cash Flow'!$S$5))^(1/('Assumptions'!$B$14/12))-1</x:f>
        <x:v>0.18777747422625812</x:v>
      </x:c>
      <x:c r="Q804" s="133" t="n">
        <x:f>-ABS('Monthly Cash Flow'!$S$5)+((L804-N804-'Assumptions'!$B$27-'Assumptions'!$B$28)*(1-(1+'Assumptions'!$B$43)^-('Assumptions'!$B$14/12))/'Assumptions'!$B$43)+(O804/(1+'Assumptions'!$B$43)^('Assumptions'!$B$14/12))</x:f>
        <x:v>614780.8019028557</x:v>
      </x:c>
    </x:row>
    <x:row r="805">
      <x:c r="A805" s="131" t="n">
        <x:f>798</x:f>
        <x:v>798</x:v>
      </x:c>
      <x:c r="B805" s="131" t="n">
        <x:f>MOD(ABS(SIN((A805+1)*12.9898+78.233)*43758.5453),1)</x:f>
        <x:v>0.5867659579525935</x:v>
      </x:c>
      <x:c r="C805" s="131" t="n">
        <x:f>MOD(ABS(SIN((A805+2)*12.9898+78.233)*43758.5453),1)</x:f>
        <x:v>0.9524565704559791</x:v>
      </x:c>
      <x:c r="D805" s="131" t="n">
        <x:f>MOD(ABS(SIN((A805+3)*12.9898+78.233)*43758.5453),1)</x:f>
        <x:v>0.604508263997559</x:v>
      </x:c>
      <x:c r="E805" s="131" t="n">
        <x:f>MOD(ABS(SIN((A805+4)*12.9898+78.233)*43758.5453),1)</x:f>
        <x:v>0.002249960534697948</x:v>
      </x:c>
      <x:c r="F805" s="131" t="n">
        <x:f>MOD(ABS(SIN((A805+5)*12.9898+78.233)*43758.5453),1)</x:f>
        <x:v>0.9533533568828716</x:v>
      </x:c>
      <x:c r="G805" s="132" t="n">
        <x:f>IF(B805&lt;(('Assumptions'!$C$47-'Assumptions'!$B$47)/('Assumptions'!$D$47-'Assumptions'!$B$47)),'Assumptions'!$B$47+SQRT(B805*('Assumptions'!$D$47-'Assumptions'!$B$47)*('Assumptions'!$C$47-'Assumptions'!$B$47)),'Assumptions'!$D$47-SQRT((1-B805)*('Assumptions'!$D$47-'Assumptions'!$B$47)*('Assumptions'!$D$47-'Assumptions'!$C$47)))</x:f>
        <x:v>0.018669216694399082</x:v>
      </x:c>
      <x:c r="H805" s="132" t="n">
        <x:f>IF(C805&lt;(('Assumptions'!$C$48-'Assumptions'!$B$48)/('Assumptions'!$D$48-'Assumptions'!$B$48)),'Assumptions'!$B$48+SQRT(C805*('Assumptions'!$D$48-'Assumptions'!$B$48)*('Assumptions'!$C$48-'Assumptions'!$B$48)),'Assumptions'!$D$48-SQRT((1-C805)*('Assumptions'!$D$48-'Assumptions'!$B$48)*('Assumptions'!$D$48-'Assumptions'!$C$48)))</x:f>
        <x:v>0.11954560731805064</x:v>
      </x:c>
      <x:c r="I805" s="132" t="n">
        <x:f>IF(D805&lt;(('Assumptions'!$C$49-'Assumptions'!$B$49)/('Assumptions'!$D$49-'Assumptions'!$B$49)),'Assumptions'!$B$49+SQRT(D805*('Assumptions'!$D$49-'Assumptions'!$B$49)*('Assumptions'!$C$49-'Assumptions'!$B$49)),'Assumptions'!$D$49-SQRT((1-D805)*('Assumptions'!$D$49-'Assumptions'!$B$49)*('Assumptions'!$D$49-'Assumptions'!$C$49)))</x:f>
        <x:v>0.05757369693830265</x:v>
      </x:c>
      <x:c r="J805" s="132" t="n">
        <x:f>IF(E805&lt;(('Assumptions'!$C$50-'Assumptions'!$B$50)/('Assumptions'!$D$50-'Assumptions'!$B$50)),'Assumptions'!$B$50+SQRT(E805*('Assumptions'!$D$50-'Assumptions'!$B$50)*('Assumptions'!$C$50-'Assumptions'!$B$50)),'Assumptions'!$D$50-SQRT((1-E805)*('Assumptions'!$D$50-'Assumptions'!$B$50)*('Assumptions'!$D$50-'Assumptions'!$C$50)))</x:f>
        <x:v>0.05821150623349838</x:v>
      </x:c>
      <x:c r="K805" s="132" t="n">
        <x:f>IF(F805&lt;(('Assumptions'!$C$51-'Assumptions'!$B$51)/('Assumptions'!$D$51-'Assumptions'!$B$51)),'Assumptions'!$B$51+SQRT(F805*('Assumptions'!$D$51-'Assumptions'!$B$51)*('Assumptions'!$C$51-'Assumptions'!$B$51)),'Assumptions'!$D$51-SQRT((1-F805)*('Assumptions'!$D$51-'Assumptions'!$B$51)*('Assumptions'!$D$51-'Assumptions'!$C$51)))</x:f>
        <x:v>0.0802619944069136</x:v>
      </x:c>
      <x:c r="L805" s="133" t="n">
        <x:f>(('Assumptions'!$B$17*(1+G805)+'Assumptions'!$B$18)*(1-H805-'Assumptions'!$B$20)-SUM('Assumptions'!$B$21:$B$25)*(1+I805))-(('Assumptions'!$B$17*(1+G805)+'Assumptions'!$B$18)*(1-H805-'Assumptions'!$B$20)*'Assumptions'!$B$26)</x:f>
        <x:v>188232.44670265936</x:v>
      </x:c>
      <x:c r="M805" s="133" t="n">
        <x:f>'Assumptions'!$B$10*'Assumptions'!$B$33</x:f>
        <x:v>1950000</x:v>
      </x:c>
      <x:c r="N805" s="133" t="n">
        <x:f>-PMT(K805/12,'Assumptions'!$B$35*12,M805)*12</x:f>
        <x:v>172128.48342039285</x:v>
      </x:c>
      <x:c r="O805" s="133" t="n">
        <x:f>(L805*(1+'Assumptions'!$B$29)^('Assumptions'!$B$14/12)/J805)*(1-'Assumptions'!$B$42)-'Debt Schedule'!$F$9</x:f>
        <x:v>3523705.6889990615</x:v>
      </x:c>
      <x:c r="P805" s="132" t="n">
        <x:f>((O805+(L805-N805-'Assumptions'!$B$27-'Assumptions'!$B$28)*('Assumptions'!$B$14/12))/ABS('Monthly Cash Flow'!$S$5))^(1/('Assumptions'!$B$14/12))-1</x:f>
        <x:v>0.213342062227315</x:v>
      </x:c>
      <x:c r="Q805" s="133" t="n">
        <x:f>-ABS('Monthly Cash Flow'!$S$5)+((L805-N805-'Assumptions'!$B$27-'Assumptions'!$B$28)*(1-(1+'Assumptions'!$B$43)^-('Assumptions'!$B$14/12))/'Assumptions'!$B$43)+(O805/(1+'Assumptions'!$B$43)^('Assumptions'!$B$14/12))</x:f>
        <x:v>802859.2186534859</x:v>
      </x:c>
    </x:row>
    <x:row r="806">
      <x:c r="A806" s="131" t="n">
        <x:f>799</x:f>
        <x:v>799</x:v>
      </x:c>
      <x:c r="B806" s="131" t="n">
        <x:f>MOD(ABS(SIN((A806+1)*12.9898+78.233)*43758.5453),1)</x:f>
        <x:v>0.9524565704559791</x:v>
      </x:c>
      <x:c r="C806" s="131" t="n">
        <x:f>MOD(ABS(SIN((A806+2)*12.9898+78.233)*43758.5453),1)</x:f>
        <x:v>0.604508263997559</x:v>
      </x:c>
      <x:c r="D806" s="131" t="n">
        <x:f>MOD(ABS(SIN((A806+3)*12.9898+78.233)*43758.5453),1)</x:f>
        <x:v>0.002249960534697948</x:v>
      </x:c>
      <x:c r="E806" s="131" t="n">
        <x:f>MOD(ABS(SIN((A806+4)*12.9898+78.233)*43758.5453),1)</x:f>
        <x:v>0.9533533568828716</x:v>
      </x:c>
      <x:c r="F806" s="131" t="n">
        <x:f>MOD(ABS(SIN((A806+5)*12.9898+78.233)*43758.5453),1)</x:f>
        <x:v>0.8180022941414791</x:v>
      </x:c>
      <x:c r="G806" s="132" t="n">
        <x:f>IF(B806&lt;(('Assumptions'!$C$47-'Assumptions'!$B$47)/('Assumptions'!$D$47-'Assumptions'!$B$47)),'Assumptions'!$B$47+SQRT(B806*('Assumptions'!$D$47-'Assumptions'!$B$47)*('Assumptions'!$C$47-'Assumptions'!$B$47)),'Assumptions'!$D$47-SQRT((1-B806)*('Assumptions'!$D$47-'Assumptions'!$B$47)*('Assumptions'!$D$47-'Assumptions'!$C$47)))</x:f>
        <x:v>0.07241930253412118</x:v>
      </x:c>
      <x:c r="H806" s="132" t="n">
        <x:f>IF(C806&lt;(('Assumptions'!$C$48-'Assumptions'!$B$48)/('Assumptions'!$D$48-'Assumptions'!$B$48)),'Assumptions'!$B$48+SQRT(C806*('Assumptions'!$D$48-'Assumptions'!$B$48)*('Assumptions'!$C$48-'Assumptions'!$B$48)),'Assumptions'!$D$48-SQRT((1-C806)*('Assumptions'!$D$48-'Assumptions'!$B$48)*('Assumptions'!$D$48-'Assumptions'!$C$48)))</x:f>
        <x:v>0.08100570131935222</x:v>
      </x:c>
      <x:c r="I806" s="132" t="n">
        <x:f>IF(D806&lt;(('Assumptions'!$C$49-'Assumptions'!$B$49)/('Assumptions'!$D$49-'Assumptions'!$B$49)),'Assumptions'!$B$49+SQRT(D806*('Assumptions'!$D$49-'Assumptions'!$B$49)*('Assumptions'!$C$49-'Assumptions'!$B$49)),'Assumptions'!$D$49-SQRT((1-D806)*('Assumptions'!$D$49-'Assumptions'!$B$49)*('Assumptions'!$D$49-'Assumptions'!$C$49)))</x:f>
        <x:v>-0.025070540214715425</x:v>
      </x:c>
      <x:c r="J806" s="132" t="n">
        <x:f>IF(E806&lt;(('Assumptions'!$C$50-'Assumptions'!$B$50)/('Assumptions'!$D$50-'Assumptions'!$B$50)),'Assumptions'!$B$50+SQRT(E806*('Assumptions'!$D$50-'Assumptions'!$B$50)*('Assumptions'!$C$50-'Assumptions'!$B$50)),'Assumptions'!$D$50-SQRT((1-E806)*('Assumptions'!$D$50-'Assumptions'!$B$50)*('Assumptions'!$D$50-'Assumptions'!$C$50)))</x:f>
        <x:v>0.07637793313470163</x:v>
      </x:c>
      <x:c r="K806" s="132" t="n">
        <x:f>IF(F806&lt;(('Assumptions'!$C$51-'Assumptions'!$B$51)/('Assumptions'!$D$51-'Assumptions'!$B$51)),'Assumptions'!$B$51+SQRT(F806*('Assumptions'!$D$51-'Assumptions'!$B$51)*('Assumptions'!$C$51-'Assumptions'!$B$51)),'Assumptions'!$D$51-SQRT((1-F806)*('Assumptions'!$D$51-'Assumptions'!$B$51)*('Assumptions'!$D$51-'Assumptions'!$C$51)))</x:f>
        <x:v>0.07564123961496967</x:v>
      </x:c>
      <x:c r="L806" s="133" t="n">
        <x:f>(('Assumptions'!$B$17*(1+G806)+'Assumptions'!$B$18)*(1-H806-'Assumptions'!$B$20)-SUM('Assumptions'!$B$21:$B$25)*(1+I806))-(('Assumptions'!$B$17*(1+G806)+'Assumptions'!$B$18)*(1-H806-'Assumptions'!$B$20)*'Assumptions'!$B$26)</x:f>
        <x:v>229765.1493378494</x:v>
      </x:c>
      <x:c r="M806" s="133" t="n">
        <x:f>'Assumptions'!$B$10*'Assumptions'!$B$33</x:f>
        <x:v>1950000</x:v>
      </x:c>
      <x:c r="N806" s="133" t="n">
        <x:f>-PMT(K806/12,'Assumptions'!$B$35*12,M806)*12</x:f>
        <x:v>164644.89065629803</x:v>
      </x:c>
      <x:c r="O806" s="133" t="n">
        <x:f>(L806*(1+'Assumptions'!$B$29)^('Assumptions'!$B$14/12)/J806)*(1-'Assumptions'!$B$42)-'Debt Schedule'!$F$9</x:f>
        <x:v>3278160.6372505636</x:v>
      </x:c>
      <x:c r="P806" s="132" t="n">
        <x:f>((O806+(L806-N806-'Assumptions'!$B$27-'Assumptions'!$B$28)*('Assumptions'!$B$14/12))/ABS('Monthly Cash Flow'!$S$5))^(1/('Assumptions'!$B$14/12))-1</x:f>
        <x:v>0.21330901474643738</x:v>
      </x:c>
      <x:c r="Q806" s="133" t="n">
        <x:f>-ABS('Monthly Cash Flow'!$S$5)+((L806-N806-'Assumptions'!$B$27-'Assumptions'!$B$28)*(1-(1+'Assumptions'!$B$43)^-('Assumptions'!$B$14/12))/'Assumptions'!$B$43)+(O806/(1+'Assumptions'!$B$43)^('Assumptions'!$B$14/12))</x:f>
        <x:v>836205.3843362052</x:v>
      </x:c>
    </x:row>
    <x:row r="807">
      <x:c r="A807" s="131" t="n">
        <x:f>800</x:f>
        <x:v>800</x:v>
      </x:c>
      <x:c r="B807" s="131" t="n">
        <x:f>MOD(ABS(SIN((A807+1)*12.9898+78.233)*43758.5453),1)</x:f>
        <x:v>0.604508263997559</x:v>
      </x:c>
      <x:c r="C807" s="131" t="n">
        <x:f>MOD(ABS(SIN((A807+2)*12.9898+78.233)*43758.5453),1)</x:f>
        <x:v>0.002249960534697948</x:v>
      </x:c>
      <x:c r="D807" s="131" t="n">
        <x:f>MOD(ABS(SIN((A807+3)*12.9898+78.233)*43758.5453),1)</x:f>
        <x:v>0.9533533568828716</x:v>
      </x:c>
      <x:c r="E807" s="131" t="n">
        <x:f>MOD(ABS(SIN((A807+4)*12.9898+78.233)*43758.5453),1)</x:f>
        <x:v>0.8180022941414791</x:v>
      </x:c>
      <x:c r="F807" s="131" t="n">
        <x:f>MOD(ABS(SIN((A807+5)*12.9898+78.233)*43758.5453),1)</x:f>
        <x:v>0.5412590940686641</x:v>
      </x:c>
      <x:c r="G807" s="132" t="n">
        <x:f>IF(B807&lt;(('Assumptions'!$C$47-'Assumptions'!$B$47)/('Assumptions'!$D$47-'Assumptions'!$B$47)),'Assumptions'!$B$47+SQRT(B807*('Assumptions'!$D$47-'Assumptions'!$B$47)*('Assumptions'!$C$47-'Assumptions'!$B$47)),'Assumptions'!$D$47-SQRT((1-B807)*('Assumptions'!$D$47-'Assumptions'!$B$47)*('Assumptions'!$D$47-'Assumptions'!$C$47)))</x:f>
        <x:v>0.020452103886783687</x:v>
      </x:c>
      <x:c r="H807" s="132" t="n">
        <x:f>IF(C807&lt;(('Assumptions'!$C$48-'Assumptions'!$B$48)/('Assumptions'!$D$48-'Assumptions'!$B$48)),'Assumptions'!$B$48+SQRT(C807*('Assumptions'!$D$48-'Assumptions'!$B$48)*('Assumptions'!$C$48-'Assumptions'!$B$48)),'Assumptions'!$D$48-SQRT((1-C807)*('Assumptions'!$D$48-'Assumptions'!$B$48)*('Assumptions'!$D$48-'Assumptions'!$C$48)))</x:f>
        <x:v>0.032724861421155806</x:v>
      </x:c>
      <x:c r="I807" s="132" t="n">
        <x:f>IF(D807&lt;(('Assumptions'!$C$49-'Assumptions'!$B$49)/('Assumptions'!$D$49-'Assumptions'!$B$49)),'Assumptions'!$B$49+SQRT(D807*('Assumptions'!$D$49-'Assumptions'!$B$49)*('Assumptions'!$C$49-'Assumptions'!$B$49)),'Assumptions'!$D$49-SQRT((1-D807)*('Assumptions'!$D$49-'Assumptions'!$B$49)*('Assumptions'!$D$49-'Assumptions'!$C$49)))</x:f>
        <x:v>0.1182577963693449</x:v>
      </x:c>
      <x:c r="J807" s="132" t="n">
        <x:f>IF(E807&lt;(('Assumptions'!$C$50-'Assumptions'!$B$50)/('Assumptions'!$D$50-'Assumptions'!$B$50)),'Assumptions'!$B$50+SQRT(E807*('Assumptions'!$D$50-'Assumptions'!$B$50)*('Assumptions'!$C$50-'Assumptions'!$B$50)),'Assumptions'!$D$50-SQRT((1-E807)*('Assumptions'!$D$50-'Assumptions'!$B$50)*('Assumptions'!$D$50-'Assumptions'!$C$50)))</x:f>
        <x:v>0.07284550108164736</x:v>
      </x:c>
      <x:c r="K807" s="132" t="n">
        <x:f>IF(F807&lt;(('Assumptions'!$C$51-'Assumptions'!$B$51)/('Assumptions'!$D$51-'Assumptions'!$B$51)),'Assumptions'!$B$51+SQRT(F807*('Assumptions'!$D$51-'Assumptions'!$B$51)*('Assumptions'!$C$51-'Assumptions'!$B$51)),'Assumptions'!$D$51-SQRT((1-F807)*('Assumptions'!$D$51-'Assumptions'!$B$51)*('Assumptions'!$D$51-'Assumptions'!$C$51)))</x:f>
        <x:v>0.07014170060271178</x:v>
      </x:c>
      <x:c r="L807" s="133" t="n">
        <x:f>(('Assumptions'!$B$17*(1+G807)+'Assumptions'!$B$18)*(1-H807-'Assumptions'!$B$20)-SUM('Assumptions'!$B$21:$B$25)*(1+I807))-(('Assumptions'!$B$17*(1+G807)+'Assumptions'!$B$18)*(1-H807-'Assumptions'!$B$20)*'Assumptions'!$B$26)</x:f>
        <x:v>213241.77717024816</x:v>
      </x:c>
      <x:c r="M807" s="133" t="n">
        <x:f>'Assumptions'!$B$10*'Assumptions'!$B$33</x:f>
        <x:v>1950000</x:v>
      </x:c>
      <x:c r="N807" s="133" t="n">
        <x:f>-PMT(K807/12,'Assumptions'!$B$35*12,M807)*12</x:f>
        <x:v>155903.53511853743</x:v>
      </x:c>
      <x:c r="O807" s="133" t="n">
        <x:f>(L807*(1+'Assumptions'!$B$29)^('Assumptions'!$B$14/12)/J807)*(1-'Assumptions'!$B$42)-'Debt Schedule'!$F$9</x:f>
        <x:v>3189947.499170991</x:v>
      </x:c>
      <x:c r="P807" s="132" t="n">
        <x:f>((O807+(L807-N807-'Assumptions'!$B$27-'Assumptions'!$B$28)*('Assumptions'!$B$14/12))/ABS('Monthly Cash Flow'!$S$5))^(1/('Assumptions'!$B$14/12))-1</x:f>
        <x:v>0.20410760835772046</x:v>
      </x:c>
      <x:c r="Q807" s="133" t="n">
        <x:f>-ABS('Monthly Cash Flow'!$S$5)+((L807-N807-'Assumptions'!$B$27-'Assumptions'!$B$28)*(1-(1+'Assumptions'!$B$43)^-('Assumptions'!$B$14/12))/'Assumptions'!$B$43)+(O807/(1+'Assumptions'!$B$43)^('Assumptions'!$B$14/12))</x:f>
        <x:v>751932.0002489206</x:v>
      </x:c>
    </x:row>
    <x:row r="808">
      <x:c r="A808" s="131" t="n">
        <x:f>801</x:f>
        <x:v>801</x:v>
      </x:c>
      <x:c r="B808" s="131" t="n">
        <x:f>MOD(ABS(SIN((A808+1)*12.9898+78.233)*43758.5453),1)</x:f>
        <x:v>0.002249960534697948</x:v>
      </x:c>
      <x:c r="C808" s="131" t="n">
        <x:f>MOD(ABS(SIN((A808+2)*12.9898+78.233)*43758.5453),1)</x:f>
        <x:v>0.9533533568828716</x:v>
      </x:c>
      <x:c r="D808" s="131" t="n">
        <x:f>MOD(ABS(SIN((A808+3)*12.9898+78.233)*43758.5453),1)</x:f>
        <x:v>0.8180022941414791</x:v>
      </x:c>
      <x:c r="E808" s="131" t="n">
        <x:f>MOD(ABS(SIN((A808+4)*12.9898+78.233)*43758.5453),1)</x:f>
        <x:v>0.5412590940686641</x:v>
      </x:c>
      <x:c r="F808" s="131" t="n">
        <x:f>MOD(ABS(SIN((A808+5)*12.9898+78.233)*43758.5453),1)</x:f>
        <x:v>0.18790315825026482</x:v>
      </x:c>
      <x:c r="G808" s="132" t="n">
        <x:f>IF(B808&lt;(('Assumptions'!$C$47-'Assumptions'!$B$47)/('Assumptions'!$D$47-'Assumptions'!$B$47)),'Assumptions'!$B$47+SQRT(B808*('Assumptions'!$D$47-'Assumptions'!$B$47)*('Assumptions'!$C$47-'Assumptions'!$B$47)),'Assumptions'!$D$47-SQRT((1-B808)*('Assumptions'!$D$47-'Assumptions'!$B$47)*('Assumptions'!$D$47-'Assumptions'!$C$47)))</x:f>
        <x:v>-0.09265159521850146</x:v>
      </x:c>
      <x:c r="H808" s="132" t="n">
        <x:f>IF(C808&lt;(('Assumptions'!$C$48-'Assumptions'!$B$48)/('Assumptions'!$D$48-'Assumptions'!$B$48)),'Assumptions'!$B$48+SQRT(C808*('Assumptions'!$D$48-'Assumptions'!$B$48)*('Assumptions'!$C$48-'Assumptions'!$B$48)),'Assumptions'!$D$48-SQRT((1-C808)*('Assumptions'!$D$48-'Assumptions'!$B$48)*('Assumptions'!$D$48-'Assumptions'!$C$48)))</x:f>
        <x:v>0.11973943585605945</x:v>
      </x:c>
      <x:c r="I808" s="132" t="n">
        <x:f>IF(D808&lt;(('Assumptions'!$C$49-'Assumptions'!$B$49)/('Assumptions'!$D$49-'Assumptions'!$B$49)),'Assumptions'!$B$49+SQRT(D808*('Assumptions'!$D$49-'Assumptions'!$B$49)*('Assumptions'!$C$49-'Assumptions'!$B$49)),'Assumptions'!$D$49-SQRT((1-D808)*('Assumptions'!$D$49-'Assumptions'!$B$49)*('Assumptions'!$D$49-'Assumptions'!$C$49)))</x:f>
        <x:v>0.0873011128763512</x:v>
      </x:c>
      <x:c r="J808" s="132" t="n">
        <x:f>IF(E808&lt;(('Assumptions'!$C$50-'Assumptions'!$B$50)/('Assumptions'!$D$50-'Assumptions'!$B$50)),'Assumptions'!$B$50+SQRT(E808*('Assumptions'!$D$50-'Assumptions'!$B$50)*('Assumptions'!$C$50-'Assumptions'!$B$50)),'Assumptions'!$D$50-SQRT((1-E808)*('Assumptions'!$D$50-'Assumptions'!$B$50)*('Assumptions'!$D$50-'Assumptions'!$C$50)))</x:f>
        <x:v>0.06864126416394904</x:v>
      </x:c>
      <x:c r="K808" s="132" t="n">
        <x:f>IF(F808&lt;(('Assumptions'!$C$51-'Assumptions'!$B$51)/('Assumptions'!$D$51-'Assumptions'!$B$51)),'Assumptions'!$B$51+SQRT(F808*('Assumptions'!$D$51-'Assumptions'!$B$51)*('Assumptions'!$C$51-'Assumptions'!$B$51)),'Assumptions'!$D$51-SQRT((1-F808)*('Assumptions'!$D$51-'Assumptions'!$B$51)*('Assumptions'!$D$51-'Assumptions'!$C$51)))</x:f>
        <x:v>0.06468841905559372</x:v>
      </x:c>
      <x:c r="L808" s="133" t="n">
        <x:f>(('Assumptions'!$B$17*(1+G808)+'Assumptions'!$B$18)*(1-H808-'Assumptions'!$B$20)-SUM('Assumptions'!$B$21:$B$25)*(1+I808))-(('Assumptions'!$B$17*(1+G808)+'Assumptions'!$B$18)*(1-H808-'Assumptions'!$B$20)*'Assumptions'!$B$26)</x:f>
        <x:v>150934.1294907459</x:v>
      </x:c>
      <x:c r="M808" s="133" t="n">
        <x:f>'Assumptions'!$B$10*'Assumptions'!$B$33</x:f>
        <x:v>1950000</x:v>
      </x:c>
      <x:c r="N808" s="133" t="n">
        <x:f>-PMT(K808/12,'Assumptions'!$B$35*12,M808)*12</x:f>
        <x:v>147424.75091653503</x:v>
      </x:c>
      <x:c r="O808" s="133" t="n">
        <x:f>(L808*(1+'Assumptions'!$B$29)^('Assumptions'!$B$14/12)/J808)*(1-'Assumptions'!$B$42)-'Debt Schedule'!$F$9</x:f>
        <x:v>2396161.898447451</x:v>
      </x:c>
      <x:c r="P808" s="132" t="n">
        <x:f>((O808+(L808-N808-'Assumptions'!$B$27-'Assumptions'!$B$28)*('Assumptions'!$B$14/12))/ABS('Monthly Cash Flow'!$S$5))^(1/('Assumptions'!$B$14/12))-1</x:f>
        <x:v>0.11327815417195808</x:v>
      </x:c>
      <x:c r="Q808" s="133" t="n">
        <x:f>-ABS('Monthly Cash Flow'!$S$5)+((L808-N808-'Assumptions'!$B$27-'Assumptions'!$B$28)*(1-(1+'Assumptions'!$B$43)^-('Assumptions'!$B$14/12))/'Assumptions'!$B$43)+(O808/(1+'Assumptions'!$B$43)^('Assumptions'!$B$14/12))</x:f>
        <x:v>54999.85133955395</x:v>
      </x:c>
    </x:row>
    <x:row r="809">
      <x:c r="A809" s="131" t="n">
        <x:f>802</x:f>
        <x:v>802</x:v>
      </x:c>
      <x:c r="B809" s="131" t="n">
        <x:f>MOD(ABS(SIN((A809+1)*12.9898+78.233)*43758.5453),1)</x:f>
        <x:v>0.9533533568828716</x:v>
      </x:c>
      <x:c r="C809" s="131" t="n">
        <x:f>MOD(ABS(SIN((A809+2)*12.9898+78.233)*43758.5453),1)</x:f>
        <x:v>0.8180022941414791</x:v>
      </x:c>
      <x:c r="D809" s="131" t="n">
        <x:f>MOD(ABS(SIN((A809+3)*12.9898+78.233)*43758.5453),1)</x:f>
        <x:v>0.5412590940686641</x:v>
      </x:c>
      <x:c r="E809" s="131" t="n">
        <x:f>MOD(ABS(SIN((A809+4)*12.9898+78.233)*43758.5453),1)</x:f>
        <x:v>0.18790315825026482</x:v>
      </x:c>
      <x:c r="F809" s="131" t="n">
        <x:f>MOD(ABS(SIN((A809+5)*12.9898+78.233)*43758.5453),1)</x:f>
        <x:v>0.3599031772391754</x:v>
      </x:c>
      <x:c r="G809" s="132" t="n">
        <x:f>IF(B809&lt;(('Assumptions'!$C$47-'Assumptions'!$B$47)/('Assumptions'!$D$47-'Assumptions'!$B$47)),'Assumptions'!$B$47+SQRT(B809*('Assumptions'!$D$47-'Assumptions'!$B$47)*('Assumptions'!$C$47-'Assumptions'!$B$47)),'Assumptions'!$D$47-SQRT((1-B809)*('Assumptions'!$D$47-'Assumptions'!$B$47)*('Assumptions'!$D$47-'Assumptions'!$C$47)))</x:f>
        <x:v>0.07268066088145517</x:v>
      </x:c>
      <x:c r="H809" s="132" t="n">
        <x:f>IF(C809&lt;(('Assumptions'!$C$48-'Assumptions'!$B$48)/('Assumptions'!$D$48-'Assumptions'!$B$48)),'Assumptions'!$B$48+SQRT(C809*('Assumptions'!$D$48-'Assumptions'!$B$48)*('Assumptions'!$C$48-'Assumptions'!$B$48)),'Assumptions'!$D$48-SQRT((1-C809)*('Assumptions'!$D$48-'Assumptions'!$B$48)*('Assumptions'!$D$48-'Assumptions'!$C$48)))</x:f>
        <x:v>0.0999802572277759</x:v>
      </x:c>
      <x:c r="I809" s="132" t="n">
        <x:f>IF(D809&lt;(('Assumptions'!$C$49-'Assumptions'!$B$49)/('Assumptions'!$D$49-'Assumptions'!$B$49)),'Assumptions'!$B$49+SQRT(D809*('Assumptions'!$D$49-'Assumptions'!$B$49)*('Assumptions'!$C$49-'Assumptions'!$B$49)),'Assumptions'!$D$49-SQRT((1-D809)*('Assumptions'!$D$49-'Assumptions'!$B$49)*('Assumptions'!$D$49-'Assumptions'!$C$49)))</x:f>
        <x:v>0.05045702652564142</x:v>
      </x:c>
      <x:c r="J809" s="132" t="n">
        <x:f>IF(E809&lt;(('Assumptions'!$C$50-'Assumptions'!$B$50)/('Assumptions'!$D$50-'Assumptions'!$B$50)),'Assumptions'!$B$50+SQRT(E809*('Assumptions'!$D$50-'Assumptions'!$B$50)*('Assumptions'!$C$50-'Assumptions'!$B$50)),'Assumptions'!$D$50-SQRT((1-E809)*('Assumptions'!$D$50-'Assumptions'!$B$50)*('Assumptions'!$D$50-'Assumptions'!$C$50)))</x:f>
        <x:v>0.06400216968452144</x:v>
      </x:c>
      <x:c r="K809" s="132" t="n">
        <x:f>IF(F809&lt;(('Assumptions'!$C$51-'Assumptions'!$B$51)/('Assumptions'!$D$51-'Assumptions'!$B$51)),'Assumptions'!$B$51+SQRT(F809*('Assumptions'!$D$51-'Assumptions'!$B$51)*('Assumptions'!$C$51-'Assumptions'!$B$51)),'Assumptions'!$D$51-SQRT((1-F809)*('Assumptions'!$D$51-'Assumptions'!$B$51)*('Assumptions'!$D$51-'Assumptions'!$C$51)))</x:f>
        <x:v>0.06744853626121819</x:v>
      </x:c>
      <x:c r="L809" s="133" t="n">
        <x:f>(('Assumptions'!$B$17*(1+G809)+'Assumptions'!$B$18)*(1-H809-'Assumptions'!$B$20)-SUM('Assumptions'!$B$21:$B$25)*(1+I809))-(('Assumptions'!$B$17*(1+G809)+'Assumptions'!$B$18)*(1-H809-'Assumptions'!$B$20)*'Assumptions'!$B$26)</x:f>
        <x:v>212968.68321908388</x:v>
      </x:c>
      <x:c r="M809" s="133" t="n">
        <x:f>'Assumptions'!$B$10*'Assumptions'!$B$33</x:f>
        <x:v>1950000</x:v>
      </x:c>
      <x:c r="N809" s="133" t="n">
        <x:f>-PMT(K809/12,'Assumptions'!$B$35*12,M809)*12</x:f>
        <x:v>151691.91395652486</x:v>
      </x:c>
      <x:c r="O809" s="133" t="n">
        <x:f>(L809*(1+'Assumptions'!$B$29)^('Assumptions'!$B$14/12)/J809)*(1-'Assumptions'!$B$42)-'Debt Schedule'!$F$9</x:f>
        <x:v>3626060.3328295914</x:v>
      </x:c>
      <x:c r="P809" s="132" t="n">
        <x:f>((O809+(L809-N809-'Assumptions'!$B$27-'Assumptions'!$B$28)*('Assumptions'!$B$14/12))/ABS('Monthly Cash Flow'!$S$5))^(1/('Assumptions'!$B$14/12))-1</x:f>
        <x:v>0.2358855466513714</x:v>
      </x:c>
      <x:c r="Q809" s="133" t="n">
        <x:f>-ABS('Monthly Cash Flow'!$S$5)+((L809-N809-'Assumptions'!$B$27-'Assumptions'!$B$28)*(1-(1+'Assumptions'!$B$43)^-('Assumptions'!$B$14/12))/'Assumptions'!$B$43)+(O809/(1+'Assumptions'!$B$43)^('Assumptions'!$B$14/12))</x:f>
        <x:v>1037653.8747691349</x:v>
      </x:c>
    </x:row>
    <x:row r="810">
      <x:c r="A810" s="131" t="n">
        <x:f>803</x:f>
        <x:v>803</x:v>
      </x:c>
      <x:c r="B810" s="131" t="n">
        <x:f>MOD(ABS(SIN((A810+1)*12.9898+78.233)*43758.5453),1)</x:f>
        <x:v>0.8180022941414791</x:v>
      </x:c>
      <x:c r="C810" s="131" t="n">
        <x:f>MOD(ABS(SIN((A810+2)*12.9898+78.233)*43758.5453),1)</x:f>
        <x:v>0.5412590940686641</x:v>
      </x:c>
      <x:c r="D810" s="131" t="n">
        <x:f>MOD(ABS(SIN((A810+3)*12.9898+78.233)*43758.5453),1)</x:f>
        <x:v>0.18790315825026482</x:v>
      </x:c>
      <x:c r="E810" s="131" t="n">
        <x:f>MOD(ABS(SIN((A810+4)*12.9898+78.233)*43758.5453),1)</x:f>
        <x:v>0.3599031772391754</x:v>
      </x:c>
      <x:c r="F810" s="131" t="n">
        <x:f>MOD(ABS(SIN((A810+5)*12.9898+78.233)*43758.5453),1)</x:f>
        <x:v>0.9050416987738572</x:v>
      </x:c>
      <x:c r="G810" s="132" t="n">
        <x:f>IF(B810&lt;(('Assumptions'!$C$47-'Assumptions'!$B$47)/('Assumptions'!$D$47-'Assumptions'!$B$47)),'Assumptions'!$B$47+SQRT(B810*('Assumptions'!$D$47-'Assumptions'!$B$47)*('Assumptions'!$C$47-'Assumptions'!$B$47)),'Assumptions'!$D$47-SQRT((1-B810)*('Assumptions'!$D$47-'Assumptions'!$B$47)*('Assumptions'!$D$47-'Assumptions'!$C$47)))</x:f>
        <x:v>0.04603738985430436</x:v>
      </x:c>
      <x:c r="H810" s="132" t="n">
        <x:f>IF(C810&lt;(('Assumptions'!$C$48-'Assumptions'!$B$48)/('Assumptions'!$D$48-'Assumptions'!$B$48)),'Assumptions'!$B$48+SQRT(C810*('Assumptions'!$D$48-'Assumptions'!$B$48)*('Assumptions'!$C$48-'Assumptions'!$B$48)),'Assumptions'!$D$48-SQRT((1-C810)*('Assumptions'!$D$48-'Assumptions'!$B$48)*('Assumptions'!$D$48-'Assumptions'!$C$48)))</x:f>
        <x:v>0.076463239205986</x:v>
      </x:c>
      <x:c r="I810" s="132" t="n">
        <x:f>IF(D810&lt;(('Assumptions'!$C$49-'Assumptions'!$B$49)/('Assumptions'!$D$49-'Assumptions'!$B$49)),'Assumptions'!$B$49+SQRT(D810*('Assumptions'!$D$49-'Assumptions'!$B$49)*('Assumptions'!$C$49-'Assumptions'!$B$49)),'Assumptions'!$D$49-SQRT((1-D810)*('Assumptions'!$D$49-'Assumptions'!$B$49)*('Assumptions'!$D$49-'Assumptions'!$C$49)))</x:f>
        <x:v>0.015048353012100897</x:v>
      </x:c>
      <x:c r="J810" s="132" t="n">
        <x:f>IF(E810&lt;(('Assumptions'!$C$50-'Assumptions'!$B$50)/('Assumptions'!$D$50-'Assumptions'!$B$50)),'Assumptions'!$B$50+SQRT(E810*('Assumptions'!$D$50-'Assumptions'!$B$50)*('Assumptions'!$C$50-'Assumptions'!$B$50)),'Assumptions'!$D$50-SQRT((1-E810)*('Assumptions'!$D$50-'Assumptions'!$B$50)*('Assumptions'!$D$50-'Assumptions'!$C$50)))</x:f>
        <x:v>0.06649878963410161</x:v>
      </x:c>
      <x:c r="K810" s="132" t="n">
        <x:f>IF(F810&lt;(('Assumptions'!$C$51-'Assumptions'!$B$51)/('Assumptions'!$D$51-'Assumptions'!$B$51)),'Assumptions'!$B$51+SQRT(F810*('Assumptions'!$D$51-'Assumptions'!$B$51)*('Assumptions'!$C$51-'Assumptions'!$B$51)),'Assumptions'!$D$51-SQRT((1-F810)*('Assumptions'!$D$51-'Assumptions'!$B$51)*('Assumptions'!$D$51-'Assumptions'!$C$51)))</x:f>
        <x:v>0.07823991993648884</x:v>
      </x:c>
      <x:c r="L810" s="133" t="n">
        <x:f>(('Assumptions'!$B$17*(1+G810)+'Assumptions'!$B$18)*(1-H810-'Assumptions'!$B$20)-SUM('Assumptions'!$B$21:$B$25)*(1+I810))-(('Assumptions'!$B$17*(1+G810)+'Assumptions'!$B$18)*(1-H810-'Assumptions'!$B$20)*'Assumptions'!$B$26)</x:f>
        <x:v>218142.97394721356</x:v>
      </x:c>
      <x:c r="M810" s="133" t="n">
        <x:f>'Assumptions'!$B$10*'Assumptions'!$B$33</x:f>
        <x:v>1950000</x:v>
      </x:c>
      <x:c r="N810" s="133" t="n">
        <x:f>-PMT(K810/12,'Assumptions'!$B$35*12,M810)*12</x:f>
        <x:v>168838.50988693148</x:v>
      </x:c>
      <x:c r="O810" s="133" t="n">
        <x:f>(L810*(1+'Assumptions'!$B$29)^('Assumptions'!$B$14/12)/J810)*(1-'Assumptions'!$B$42)-'Debt Schedule'!$F$9</x:f>
        <x:v>3574715.3571429695</x:v>
      </x:c>
      <x:c r="P810" s="132" t="n">
        <x:f>((O810+(L810-N810-'Assumptions'!$B$27-'Assumptions'!$B$28)*('Assumptions'!$B$14/12))/ABS('Monthly Cash Flow'!$S$5))^(1/('Assumptions'!$B$14/12))-1</x:f>
        <x:v>0.22843164377479241</x:v>
      </x:c>
      <x:c r="Q810" s="133" t="n">
        <x:f>-ABS('Monthly Cash Flow'!$S$5)+((L810-N810-'Assumptions'!$B$27-'Assumptions'!$B$28)*(1-(1+'Assumptions'!$B$43)^-('Assumptions'!$B$14/12))/'Assumptions'!$B$43)+(O810/(1+'Assumptions'!$B$43)^('Assumptions'!$B$14/12))</x:f>
        <x:v>960388.2283732463</x:v>
      </x:c>
    </x:row>
    <x:row r="811">
      <x:c r="A811" s="131" t="n">
        <x:f>804</x:f>
        <x:v>804</x:v>
      </x:c>
      <x:c r="B811" s="131" t="n">
        <x:f>MOD(ABS(SIN((A811+1)*12.9898+78.233)*43758.5453),1)</x:f>
        <x:v>0.5412590940686641</x:v>
      </x:c>
      <x:c r="C811" s="131" t="n">
        <x:f>MOD(ABS(SIN((A811+2)*12.9898+78.233)*43758.5453),1)</x:f>
        <x:v>0.18790315825026482</x:v>
      </x:c>
      <x:c r="D811" s="131" t="n">
        <x:f>MOD(ABS(SIN((A811+3)*12.9898+78.233)*43758.5453),1)</x:f>
        <x:v>0.3599031772391754</x:v>
      </x:c>
      <x:c r="E811" s="131" t="n">
        <x:f>MOD(ABS(SIN((A811+4)*12.9898+78.233)*43758.5453),1)</x:f>
        <x:v>0.9050416987738572</x:v>
      </x:c>
      <x:c r="F811" s="131" t="n">
        <x:f>MOD(ABS(SIN((A811+5)*12.9898+78.233)*43758.5453),1)</x:f>
        <x:v>0.07239985133037408</x:v>
      </x:c>
      <x:c r="G811" s="132" t="n">
        <x:f>IF(B811&lt;(('Assumptions'!$C$47-'Assumptions'!$B$47)/('Assumptions'!$D$47-'Assumptions'!$B$47)),'Assumptions'!$B$47+SQRT(B811*('Assumptions'!$D$47-'Assumptions'!$B$47)*('Assumptions'!$C$47-'Assumptions'!$B$47)),'Assumptions'!$D$47-SQRT((1-B811)*('Assumptions'!$D$47-'Assumptions'!$B$47)*('Assumptions'!$D$47-'Assumptions'!$C$47)))</x:f>
        <x:v>0.013974638659870031</x:v>
      </x:c>
      <x:c r="H811" s="132" t="n">
        <x:f>IF(C811&lt;(('Assumptions'!$C$48-'Assumptions'!$B$48)/('Assumptions'!$D$48-'Assumptions'!$B$48)),'Assumptions'!$B$48+SQRT(C811*('Assumptions'!$D$48-'Assumptions'!$B$48)*('Assumptions'!$C$48-'Assumptions'!$B$48)),'Assumptions'!$D$48-SQRT((1-C811)*('Assumptions'!$D$48-'Assumptions'!$B$48)*('Assumptions'!$D$48-'Assumptions'!$C$48)))</x:f>
        <x:v>0.0549014140607692</x:v>
      </x:c>
      <x:c r="I811" s="132" t="n">
        <x:f>IF(D811&lt;(('Assumptions'!$C$49-'Assumptions'!$B$49)/('Assumptions'!$D$49-'Assumptions'!$B$49)),'Assumptions'!$B$49+SQRT(D811*('Assumptions'!$D$49-'Assumptions'!$B$49)*('Assumptions'!$C$49-'Assumptions'!$B$49)),'Assumptions'!$D$49-SQRT((1-D811)*('Assumptions'!$D$49-'Assumptions'!$B$49)*('Assumptions'!$D$49-'Assumptions'!$C$49)))</x:f>
        <x:v>0.032415598944274024</x:v>
      </x:c>
      <x:c r="J811" s="132" t="n">
        <x:f>IF(E811&lt;(('Assumptions'!$C$50-'Assumptions'!$B$50)/('Assumptions'!$D$50-'Assumptions'!$B$50)),'Assumptions'!$B$50+SQRT(E811*('Assumptions'!$D$50-'Assumptions'!$B$50)*('Assumptions'!$C$50-'Assumptions'!$B$50)),'Assumptions'!$D$50-SQRT((1-E811)*('Assumptions'!$D$50-'Assumptions'!$B$50)*('Assumptions'!$D$50-'Assumptions'!$C$50)))</x:f>
        <x:v>0.07483211627260707</x:v>
      </x:c>
      <x:c r="K811" s="132" t="n">
        <x:f>IF(F811&lt;(('Assumptions'!$C$51-'Assumptions'!$B$51)/('Assumptions'!$D$51-'Assumptions'!$B$51)),'Assumptions'!$B$51+SQRT(F811*('Assumptions'!$D$51-'Assumptions'!$B$51)*('Assumptions'!$C$51-'Assumptions'!$B$51)),'Assumptions'!$D$51-SQRT((1-F811)*('Assumptions'!$D$51-'Assumptions'!$B$51)*('Assumptions'!$D$51-'Assumptions'!$C$51)))</x:f>
        <x:v>0.0619620577221561</x:v>
      </x:c>
      <x:c r="L811" s="133" t="n">
        <x:f>(('Assumptions'!$B$17*(1+G811)+'Assumptions'!$B$18)*(1-H811-'Assumptions'!$B$20)-SUM('Assumptions'!$B$21:$B$25)*(1+I811))-(('Assumptions'!$B$17*(1+G811)+'Assumptions'!$B$18)*(1-H811-'Assumptions'!$B$20)*'Assumptions'!$B$26)</x:f>
        <x:v>213760.39437075984</x:v>
      </x:c>
      <x:c r="M811" s="133" t="n">
        <x:f>'Assumptions'!$B$10*'Assumptions'!$B$33</x:f>
        <x:v>1950000</x:v>
      </x:c>
      <x:c r="N811" s="133" t="n">
        <x:f>-PMT(K811/12,'Assumptions'!$B$35*12,M811)*12</x:f>
        <x:v>143260.1326874227</x:v>
      </x:c>
      <x:c r="O811" s="133" t="n">
        <x:f>(L811*(1+'Assumptions'!$B$29)^('Assumptions'!$B$14/12)/J811)*(1-'Assumptions'!$B$42)-'Debt Schedule'!$F$9</x:f>
        <x:v>3112814.148663396</x:v>
      </x:c>
      <x:c r="P811" s="132" t="n">
        <x:f>((O811+(L811-N811-'Assumptions'!$B$27-'Assumptions'!$B$28)*('Assumptions'!$B$14/12))/ABS('Monthly Cash Flow'!$S$5))^(1/('Assumptions'!$B$14/12))-1</x:f>
        <x:v>0.2032742360177482</x:v>
      </x:c>
      <x:c r="Q811" s="133" t="n">
        <x:f>-ABS('Monthly Cash Flow'!$S$5)+((L811-N811-'Assumptions'!$B$27-'Assumptions'!$B$28)*(1-(1+'Assumptions'!$B$43)^-('Assumptions'!$B$14/12))/'Assumptions'!$B$43)+(O811/(1+'Assumptions'!$B$43)^('Assumptions'!$B$14/12))</x:f>
        <x:v>753932.6680780228</x:v>
      </x:c>
    </x:row>
    <x:row r="812">
      <x:c r="A812" s="131" t="n">
        <x:f>805</x:f>
        <x:v>805</x:v>
      </x:c>
      <x:c r="B812" s="131" t="n">
        <x:f>MOD(ABS(SIN((A812+1)*12.9898+78.233)*43758.5453),1)</x:f>
        <x:v>0.18790315825026482</x:v>
      </x:c>
      <x:c r="C812" s="131" t="n">
        <x:f>MOD(ABS(SIN((A812+2)*12.9898+78.233)*43758.5453),1)</x:f>
        <x:v>0.3599031772391754</x:v>
      </x:c>
      <x:c r="D812" s="131" t="n">
        <x:f>MOD(ABS(SIN((A812+3)*12.9898+78.233)*43758.5453),1)</x:f>
        <x:v>0.9050416987738572</x:v>
      </x:c>
      <x:c r="E812" s="131" t="n">
        <x:f>MOD(ABS(SIN((A812+4)*12.9898+78.233)*43758.5453),1)</x:f>
        <x:v>0.07239985133037408</x:v>
      </x:c>
      <x:c r="F812" s="131" t="n">
        <x:f>MOD(ABS(SIN((A812+5)*12.9898+78.233)*43758.5453),1)</x:f>
        <x:v>0.41291627162354416</x:v>
      </x:c>
      <x:c r="G812" s="132" t="n">
        <x:f>IF(B812&lt;(('Assumptions'!$C$47-'Assumptions'!$B$47)/('Assumptions'!$D$47-'Assumptions'!$B$47)),'Assumptions'!$B$47+SQRT(B812*('Assumptions'!$D$47-'Assumptions'!$B$47)*('Assumptions'!$C$47-'Assumptions'!$B$47)),'Assumptions'!$D$47-SQRT((1-B812)*('Assumptions'!$D$47-'Assumptions'!$B$47)*('Assumptions'!$D$47-'Assumptions'!$C$47)))</x:f>
        <x:v>-0.03284588026035666</x:v>
      </x:c>
      <x:c r="H812" s="132" t="n">
        <x:f>IF(C812&lt;(('Assumptions'!$C$48-'Assumptions'!$B$48)/('Assumptions'!$D$48-'Assumptions'!$B$48)),'Assumptions'!$B$48+SQRT(C812*('Assumptions'!$D$48-'Assumptions'!$B$48)*('Assumptions'!$C$48-'Assumptions'!$B$48)),'Assumptions'!$D$48-SQRT((1-C812)*('Assumptions'!$D$48-'Assumptions'!$B$48)*('Assumptions'!$D$48-'Assumptions'!$C$48)))</x:f>
        <x:v>0.06494767131996998</x:v>
      </x:c>
      <x:c r="I812" s="132" t="n">
        <x:f>IF(D812&lt;(('Assumptions'!$C$49-'Assumptions'!$B$49)/('Assumptions'!$D$49-'Assumptions'!$B$49)),'Assumptions'!$B$49+SQRT(D812*('Assumptions'!$D$49-'Assumptions'!$B$49)*('Assumptions'!$C$49-'Assumptions'!$B$49)),'Assumptions'!$D$49-SQRT((1-D812)*('Assumptions'!$D$49-'Assumptions'!$B$49)*('Assumptions'!$D$49-'Assumptions'!$C$49)))</x:f>
        <x:v>0.1047109361270882</x:v>
      </x:c>
      <x:c r="J812" s="132" t="n">
        <x:f>IF(E812&lt;(('Assumptions'!$C$50-'Assumptions'!$B$50)/('Assumptions'!$D$50-'Assumptions'!$B$50)),'Assumptions'!$B$50+SQRT(E812*('Assumptions'!$D$50-'Assumptions'!$B$50)*('Assumptions'!$C$50-'Assumptions'!$B$50)),'Assumptions'!$D$50-SQRT((1-E812)*('Assumptions'!$D$50-'Assumptions'!$B$50)*('Assumptions'!$D$50-'Assumptions'!$C$50)))</x:f>
        <x:v>0.06153608307017264</x:v>
      </x:c>
      <x:c r="K812" s="132" t="n">
        <x:f>IF(F812&lt;(('Assumptions'!$C$51-'Assumptions'!$B$51)/('Assumptions'!$D$51-'Assumptions'!$B$51)),'Assumptions'!$B$51+SQRT(F812*('Assumptions'!$D$51-'Assumptions'!$B$51)*('Assumptions'!$C$51-'Assumptions'!$B$51)),'Assumptions'!$D$51-SQRT((1-F812)*('Assumptions'!$D$51-'Assumptions'!$B$51)*('Assumptions'!$D$51-'Assumptions'!$C$51)))</x:f>
        <x:v>0.06819125096025379</x:v>
      </x:c>
      <x:c r="L812" s="133" t="n">
        <x:f>(('Assumptions'!$B$17*(1+G812)+'Assumptions'!$B$18)*(1-H812-'Assumptions'!$B$20)-SUM('Assumptions'!$B$21:$B$25)*(1+I812))-(('Assumptions'!$B$17*(1+G812)+'Assumptions'!$B$18)*(1-H812-'Assumptions'!$B$20)*'Assumptions'!$B$26)</x:f>
        <x:v>185988.64606685878</x:v>
      </x:c>
      <x:c r="M812" s="133" t="n">
        <x:f>'Assumptions'!$B$10*'Assumptions'!$B$33</x:f>
        <x:v>1950000</x:v>
      </x:c>
      <x:c r="N812" s="133" t="n">
        <x:f>-PMT(K812/12,'Assumptions'!$B$35*12,M812)*12</x:f>
        <x:v>152848.71634780307</x:v>
      </x:c>
      <x:c r="O812" s="133" t="n">
        <x:f>(L812*(1+'Assumptions'!$B$29)^('Assumptions'!$B$14/12)/J812)*(1-'Assumptions'!$B$42)-'Debt Schedule'!$F$9</x:f>
        <x:v>3293597.7796698487</x:v>
      </x:c>
      <x:c r="P812" s="132" t="n">
        <x:f>((O812+(L812-N812-'Assumptions'!$B$27-'Assumptions'!$B$28)*('Assumptions'!$B$14/12))/ABS('Monthly Cash Flow'!$S$5))^(1/('Assumptions'!$B$14/12))-1</x:f>
        <x:v>0.2028303779346703</x:v>
      </x:c>
      <x:c r="Q812" s="133" t="n">
        <x:f>-ABS('Monthly Cash Flow'!$S$5)+((L812-N812-'Assumptions'!$B$27-'Assumptions'!$B$28)*(1-(1+'Assumptions'!$B$43)^-('Assumptions'!$B$14/12))/'Assumptions'!$B$43)+(O812/(1+'Assumptions'!$B$43)^('Assumptions'!$B$14/12))</x:f>
        <x:v>724560.0273190818</x:v>
      </x:c>
    </x:row>
    <x:row r="813">
      <x:c r="A813" s="131" t="n">
        <x:f>806</x:f>
        <x:v>806</x:v>
      </x:c>
      <x:c r="B813" s="131" t="n">
        <x:f>MOD(ABS(SIN((A813+1)*12.9898+78.233)*43758.5453),1)</x:f>
        <x:v>0.3599031772391754</x:v>
      </x:c>
      <x:c r="C813" s="131" t="n">
        <x:f>MOD(ABS(SIN((A813+2)*12.9898+78.233)*43758.5453),1)</x:f>
        <x:v>0.9050416987738572</x:v>
      </x:c>
      <x:c r="D813" s="131" t="n">
        <x:f>MOD(ABS(SIN((A813+3)*12.9898+78.233)*43758.5453),1)</x:f>
        <x:v>0.07239985133037408</x:v>
      </x:c>
      <x:c r="E813" s="131" t="n">
        <x:f>MOD(ABS(SIN((A813+4)*12.9898+78.233)*43758.5453),1)</x:f>
        <x:v>0.41291627162354416</x:v>
      </x:c>
      <x:c r="F813" s="131" t="n">
        <x:f>MOD(ABS(SIN((A813+5)*12.9898+78.233)*43758.5453),1)</x:f>
        <x:v>0.3068373319110833</x:v>
      </x:c>
      <x:c r="G813" s="132" t="n">
        <x:f>IF(B813&lt;(('Assumptions'!$C$47-'Assumptions'!$B$47)/('Assumptions'!$D$47-'Assumptions'!$B$47)),'Assumptions'!$B$47+SQRT(B813*('Assumptions'!$D$47-'Assumptions'!$B$47)*('Assumptions'!$C$47-'Assumptions'!$B$47)),'Assumptions'!$D$47-SQRT((1-B813)*('Assumptions'!$D$47-'Assumptions'!$B$47)*('Assumptions'!$D$47-'Assumptions'!$C$47)))</x:f>
        <x:v>-0.007060900296268144</x:v>
      </x:c>
      <x:c r="H813" s="132" t="n">
        <x:f>IF(C813&lt;(('Assumptions'!$C$48-'Assumptions'!$B$48)/('Assumptions'!$D$48-'Assumptions'!$B$48)),'Assumptions'!$B$48+SQRT(C813*('Assumptions'!$D$48-'Assumptions'!$B$48)*('Assumptions'!$C$48-'Assumptions'!$B$48)),'Assumptions'!$D$48-SQRT((1-C813)*('Assumptions'!$D$48-'Assumptions'!$B$48)*('Assumptions'!$D$48-'Assumptions'!$C$48)))</x:f>
        <x:v>0.11109268170877734</x:v>
      </x:c>
      <x:c r="I813" s="132" t="n">
        <x:f>IF(D813&lt;(('Assumptions'!$C$49-'Assumptions'!$B$49)/('Assumptions'!$D$49-'Assumptions'!$B$49)),'Assumptions'!$B$49+SQRT(D813*('Assumptions'!$D$49-'Assumptions'!$B$49)*('Assumptions'!$C$49-'Assumptions'!$B$49)),'Assumptions'!$D$49-SQRT((1-D813)*('Assumptions'!$D$49-'Assumptions'!$B$49)*('Assumptions'!$D$49-'Assumptions'!$C$49)))</x:f>
        <x:v>-0.002037196235569652</x:v>
      </x:c>
      <x:c r="J813" s="132" t="n">
        <x:f>IF(E813&lt;(('Assumptions'!$C$50-'Assumptions'!$B$50)/('Assumptions'!$D$50-'Assumptions'!$B$50)),'Assumptions'!$B$50+SQRT(E813*('Assumptions'!$D$50-'Assumptions'!$B$50)*('Assumptions'!$C$50-'Assumptions'!$B$50)),'Assumptions'!$D$50-SQRT((1-E813)*('Assumptions'!$D$50-'Assumptions'!$B$50)*('Assumptions'!$D$50-'Assumptions'!$C$50)))</x:f>
        <x:v>0.06713878421354569</x:v>
      </x:c>
      <x:c r="K813" s="132" t="n">
        <x:f>IF(F813&lt;(('Assumptions'!$C$51-'Assumptions'!$B$51)/('Assumptions'!$D$51-'Assumptions'!$B$51)),'Assumptions'!$B$51+SQRT(F813*('Assumptions'!$D$51-'Assumptions'!$B$51)*('Assumptions'!$C$51-'Assumptions'!$B$51)),'Assumptions'!$D$51-SQRT((1-F813)*('Assumptions'!$D$51-'Assumptions'!$B$51)*('Assumptions'!$D$51-'Assumptions'!$C$51)))</x:f>
        <x:v>0.06668587319069602</x:v>
      </x:c>
      <x:c r="L813" s="133" t="n">
        <x:f>(('Assumptions'!$B$17*(1+G813)+'Assumptions'!$B$18)*(1-H813-'Assumptions'!$B$20)-SUM('Assumptions'!$B$21:$B$25)*(1+I813))-(('Assumptions'!$B$17*(1+G813)+'Assumptions'!$B$18)*(1-H813-'Assumptions'!$B$20)*'Assumptions'!$B$26)</x:f>
        <x:v>191049.8233153146</x:v>
      </x:c>
      <x:c r="M813" s="133" t="n">
        <x:f>'Assumptions'!$B$10*'Assumptions'!$B$33</x:f>
        <x:v>1950000</x:v>
      </x:c>
      <x:c r="N813" s="133" t="n">
        <x:f>-PMT(K813/12,'Assumptions'!$B$35*12,M813)*12</x:f>
        <x:v>150507.79048143863</x:v>
      </x:c>
      <x:c r="O813" s="133" t="n">
        <x:f>(L813*(1+'Assumptions'!$B$29)^('Assumptions'!$B$14/12)/J813)*(1-'Assumptions'!$B$42)-'Debt Schedule'!$F$9</x:f>
        <x:v>3100895.601307206</x:v>
      </x:c>
      <x:c r="P813" s="132" t="n">
        <x:f>((O813+(L813-N813-'Assumptions'!$B$27-'Assumptions'!$B$28)*('Assumptions'!$B$14/12))/ABS('Monthly Cash Flow'!$S$5))^(1/('Assumptions'!$B$14/12))-1</x:f>
        <x:v>0.19111282011097241</x:v>
      </x:c>
      <x:c r="Q813" s="133" t="n">
        <x:f>-ABS('Monthly Cash Flow'!$S$5)+((L813-N813-'Assumptions'!$B$27-'Assumptions'!$B$28)*(1-(1+'Assumptions'!$B$43)^-('Assumptions'!$B$14/12))/'Assumptions'!$B$43)+(O813/(1+'Assumptions'!$B$43)^('Assumptions'!$B$14/12))</x:f>
        <x:v>632966.9303272262</x:v>
      </x:c>
    </x:row>
    <x:row r="814">
      <x:c r="A814" s="131" t="n">
        <x:f>807</x:f>
        <x:v>807</x:v>
      </x:c>
      <x:c r="B814" s="131" t="n">
        <x:f>MOD(ABS(SIN((A814+1)*12.9898+78.233)*43758.5453),1)</x:f>
        <x:v>0.9050416987738572</x:v>
      </x:c>
      <x:c r="C814" s="131" t="n">
        <x:f>MOD(ABS(SIN((A814+2)*12.9898+78.233)*43758.5453),1)</x:f>
        <x:v>0.07239985133037408</x:v>
      </x:c>
      <x:c r="D814" s="131" t="n">
        <x:f>MOD(ABS(SIN((A814+3)*12.9898+78.233)*43758.5453),1)</x:f>
        <x:v>0.41291627162354416</x:v>
      </x:c>
      <x:c r="E814" s="131" t="n">
        <x:f>MOD(ABS(SIN((A814+4)*12.9898+78.233)*43758.5453),1)</x:f>
        <x:v>0.3068373319110833</x:v>
      </x:c>
      <x:c r="F814" s="131" t="n">
        <x:f>MOD(ABS(SIN((A814+5)*12.9898+78.233)*43758.5453),1)</x:f>
        <x:v>0.40571370530233253</x:v>
      </x:c>
      <x:c r="G814" s="132" t="n">
        <x:f>IF(B814&lt;(('Assumptions'!$C$47-'Assumptions'!$B$47)/('Assumptions'!$D$47-'Assumptions'!$B$47)),'Assumptions'!$B$47+SQRT(B814*('Assumptions'!$D$47-'Assumptions'!$B$47)*('Assumptions'!$C$47-'Assumptions'!$B$47)),'Assumptions'!$D$47-SQRT((1-B814)*('Assumptions'!$D$47-'Assumptions'!$B$47)*('Assumptions'!$D$47-'Assumptions'!$C$47)))</x:f>
        <x:v>0.06102137996775303</x:v>
      </x:c>
      <x:c r="H814" s="132" t="n">
        <x:f>IF(C814&lt;(('Assumptions'!$C$48-'Assumptions'!$B$48)/('Assumptions'!$D$48-'Assumptions'!$B$48)),'Assumptions'!$B$48+SQRT(C814*('Assumptions'!$D$48-'Assumptions'!$B$48)*('Assumptions'!$C$48-'Assumptions'!$B$48)),'Assumptions'!$D$48-SQRT((1-C814)*('Assumptions'!$D$48-'Assumptions'!$B$48)*('Assumptions'!$D$48-'Assumptions'!$C$48)))</x:f>
        <x:v>0.04545702136215883</x:v>
      </x:c>
      <x:c r="I814" s="132" t="n">
        <x:f>IF(D814&lt;(('Assumptions'!$C$49-'Assumptions'!$B$49)/('Assumptions'!$D$49-'Assumptions'!$B$49)),'Assumptions'!$B$49+SQRT(D814*('Assumptions'!$D$49-'Assumptions'!$B$49)*('Assumptions'!$C$49-'Assumptions'!$B$49)),'Assumptions'!$D$49-SQRT((1-D814)*('Assumptions'!$D$49-'Assumptions'!$B$49)*('Assumptions'!$D$49-'Assumptions'!$C$49)))</x:f>
        <x:v>0.037390015838152935</x:v>
      </x:c>
      <x:c r="J814" s="132" t="n">
        <x:f>IF(E814&lt;(('Assumptions'!$C$50-'Assumptions'!$B$50)/('Assumptions'!$D$50-'Assumptions'!$B$50)),'Assumptions'!$B$50+SQRT(E814*('Assumptions'!$D$50-'Assumptions'!$B$50)*('Assumptions'!$C$50-'Assumptions'!$B$50)),'Assumptions'!$D$50-SQRT((1-E814)*('Assumptions'!$D$50-'Assumptions'!$B$50)*('Assumptions'!$D$50-'Assumptions'!$C$50)))</x:f>
        <x:v>0.06580893493054277</x:v>
      </x:c>
      <x:c r="K814" s="132" t="n">
        <x:f>IF(F814&lt;(('Assumptions'!$C$51-'Assumptions'!$B$51)/('Assumptions'!$D$51-'Assumptions'!$B$51)),'Assumptions'!$B$51+SQRT(F814*('Assumptions'!$D$51-'Assumptions'!$B$51)*('Assumptions'!$C$51-'Assumptions'!$B$51)),'Assumptions'!$D$51-SQRT((1-F814)*('Assumptions'!$D$51-'Assumptions'!$B$51)*('Assumptions'!$D$51-'Assumptions'!$C$51)))</x:f>
        <x:v>0.06808845721634918</x:v>
      </x:c>
      <x:c r="L814" s="133" t="n">
        <x:f>(('Assumptions'!$B$17*(1+G814)+'Assumptions'!$B$18)*(1-H814-'Assumptions'!$B$20)-SUM('Assumptions'!$B$21:$B$25)*(1+I814))-(('Assumptions'!$B$17*(1+G814)+'Assumptions'!$B$18)*(1-H814-'Assumptions'!$B$20)*'Assumptions'!$B$26)</x:f>
        <x:v>231964.07050047963</x:v>
      </x:c>
      <x:c r="M814" s="133" t="n">
        <x:f>'Assumptions'!$B$10*'Assumptions'!$B$33</x:f>
        <x:v>1950000</x:v>
      </x:c>
      <x:c r="N814" s="133" t="n">
        <x:f>-PMT(K814/12,'Assumptions'!$B$35*12,M814)*12</x:f>
        <x:v>152688.3980653356</x:v>
      </x:c>
      <x:c r="O814" s="133" t="n">
        <x:f>(L814*(1+'Assumptions'!$B$29)^('Assumptions'!$B$14/12)/J814)*(1-'Assumptions'!$B$42)-'Debt Schedule'!$F$9</x:f>
        <x:v>3841048.8998351647</x:v>
      </x:c>
      <x:c r="P814" s="132" t="n">
        <x:f>((O814+(L814-N814-'Assumptions'!$B$27-'Assumptions'!$B$28)*('Assumptions'!$B$14/12))/ABS('Monthly Cash Flow'!$S$5))^(1/('Assumptions'!$B$14/12))-1</x:f>
        <x:v>0.2554532095164994</x:v>
      </x:c>
      <x:c r="Q814" s="133" t="n">
        <x:f>-ABS('Monthly Cash Flow'!$S$5)+((L814-N814-'Assumptions'!$B$27-'Assumptions'!$B$28)*(1-(1+'Assumptions'!$B$43)^-('Assumptions'!$B$14/12))/'Assumptions'!$B$43)+(O814/(1+'Assumptions'!$B$43)^('Assumptions'!$B$14/12))</x:f>
        <x:v>1239374.8642473263</x:v>
      </x:c>
    </x:row>
    <x:row r="815">
      <x:c r="A815" s="131" t="n">
        <x:f>808</x:f>
        <x:v>808</x:v>
      </x:c>
      <x:c r="B815" s="131" t="n">
        <x:f>MOD(ABS(SIN((A815+1)*12.9898+78.233)*43758.5453),1)</x:f>
        <x:v>0.07239985133037408</x:v>
      </x:c>
      <x:c r="C815" s="131" t="n">
        <x:f>MOD(ABS(SIN((A815+2)*12.9898+78.233)*43758.5453),1)</x:f>
        <x:v>0.41291627162354416</x:v>
      </x:c>
      <x:c r="D815" s="131" t="n">
        <x:f>MOD(ABS(SIN((A815+3)*12.9898+78.233)*43758.5453),1)</x:f>
        <x:v>0.3068373319110833</x:v>
      </x:c>
      <x:c r="E815" s="131" t="n">
        <x:f>MOD(ABS(SIN((A815+4)*12.9898+78.233)*43758.5453),1)</x:f>
        <x:v>0.40571370530233253</x:v>
      </x:c>
      <x:c r="F815" s="131" t="n">
        <x:f>MOD(ABS(SIN((A815+5)*12.9898+78.233)*43758.5453),1)</x:f>
        <x:v>0.4004605625013937</x:v>
      </x:c>
      <x:c r="G815" s="132" t="n">
        <x:f>IF(B815&lt;(('Assumptions'!$C$47-'Assumptions'!$B$47)/('Assumptions'!$D$47-'Assumptions'!$B$47)),'Assumptions'!$B$47+SQRT(B815*('Assumptions'!$D$47-'Assumptions'!$B$47)*('Assumptions'!$C$47-'Assumptions'!$B$47)),'Assumptions'!$D$47-SQRT((1-B815)*('Assumptions'!$D$47-'Assumptions'!$B$47)*('Assumptions'!$D$47-'Assumptions'!$C$47)))</x:f>
        <x:v>-0.058315513294164484</x:v>
      </x:c>
      <x:c r="H815" s="132" t="n">
        <x:f>IF(C815&lt;(('Assumptions'!$C$48-'Assumptions'!$B$48)/('Assumptions'!$D$48-'Assumptions'!$B$48)),'Assumptions'!$B$48+SQRT(C815*('Assumptions'!$D$48-'Assumptions'!$B$48)*('Assumptions'!$C$48-'Assumptions'!$B$48)),'Assumptions'!$D$48-SQRT((1-C815)*('Assumptions'!$D$48-'Assumptions'!$B$48)*('Assumptions'!$D$48-'Assumptions'!$C$48)))</x:f>
        <x:v>0.06812276570629049</x:v>
      </x:c>
      <x:c r="I815" s="132" t="n">
        <x:f>IF(D815&lt;(('Assumptions'!$C$49-'Assumptions'!$B$49)/('Assumptions'!$D$49-'Assumptions'!$B$49)),'Assumptions'!$B$49+SQRT(D815*('Assumptions'!$D$49-'Assumptions'!$B$49)*('Assumptions'!$C$49-'Assumptions'!$B$49)),'Assumptions'!$D$49-SQRT((1-D815)*('Assumptions'!$D$49-'Assumptions'!$B$49)*('Assumptions'!$D$49-'Assumptions'!$C$49)))</x:f>
        <x:v>0.027565989825935416</x:v>
      </x:c>
      <x:c r="J815" s="132" t="n">
        <x:f>IF(E815&lt;(('Assumptions'!$C$50-'Assumptions'!$B$50)/('Assumptions'!$D$50-'Assumptions'!$B$50)),'Assumptions'!$B$50+SQRT(E815*('Assumptions'!$D$50-'Assumptions'!$B$50)*('Assumptions'!$C$50-'Assumptions'!$B$50)),'Assumptions'!$D$50-SQRT((1-E815)*('Assumptions'!$D$50-'Assumptions'!$B$50)*('Assumptions'!$D$50-'Assumptions'!$C$50)))</x:f>
        <x:v>0.06705434894134733</x:v>
      </x:c>
      <x:c r="K815" s="132" t="n">
        <x:f>IF(F815&lt;(('Assumptions'!$C$51-'Assumptions'!$B$51)/('Assumptions'!$D$51-'Assumptions'!$B$51)),'Assumptions'!$B$51+SQRT(F815*('Assumptions'!$D$51-'Assumptions'!$B$51)*('Assumptions'!$C$51-'Assumptions'!$B$51)),'Assumptions'!$D$51-SQRT((1-F815)*('Assumptions'!$D$51-'Assumptions'!$B$51)*('Assumptions'!$D$51-'Assumptions'!$C$51)))</x:f>
        <x:v>0.0680138775968085</x:v>
      </x:c>
      <x:c r="L815" s="133" t="n">
        <x:f>(('Assumptions'!$B$17*(1+G815)+'Assumptions'!$B$18)*(1-H815-'Assumptions'!$B$20)-SUM('Assumptions'!$B$21:$B$25)*(1+I815))-(('Assumptions'!$B$17*(1+G815)+'Assumptions'!$B$18)*(1-H815-'Assumptions'!$B$20)*'Assumptions'!$B$26)</x:f>
        <x:v>186478.12849731158</x:v>
      </x:c>
      <x:c r="M815" s="133" t="n">
        <x:f>'Assumptions'!$B$10*'Assumptions'!$B$33</x:f>
        <x:v>1950000</x:v>
      </x:c>
      <x:c r="N815" s="133" t="n">
        <x:f>-PMT(K815/12,'Assumptions'!$B$35*12,M815)*12</x:f>
        <x:v>152572.12572677483</x:v>
      </x:c>
      <x:c r="O815" s="133" t="n">
        <x:f>(L815*(1+'Assumptions'!$B$29)^('Assumptions'!$B$14/12)/J815)*(1-'Assumptions'!$B$42)-'Debt Schedule'!$F$9</x:f>
        <x:v>3030504.4700562144</x:v>
      </x:c>
      <x:c r="P815" s="132" t="n">
        <x:f>((O815+(L815-N815-'Assumptions'!$B$27-'Assumptions'!$B$28)*('Assumptions'!$B$14/12))/ABS('Monthly Cash Flow'!$S$5))^(1/('Assumptions'!$B$14/12))-1</x:f>
        <x:v>0.18305473584831078</x:v>
      </x:c>
      <x:c r="Q815" s="133" t="n">
        <x:f>-ABS('Monthly Cash Flow'!$S$5)+((L815-N815-'Assumptions'!$B$27-'Assumptions'!$B$28)*(1-(1+'Assumptions'!$B$43)^-('Assumptions'!$B$14/12))/'Assumptions'!$B$43)+(O815/(1+'Assumptions'!$B$43)^('Assumptions'!$B$14/12))</x:f>
        <x:v>564103.8010137267</x:v>
      </x:c>
    </x:row>
    <x:row r="816">
      <x:c r="A816" s="131" t="n">
        <x:f>809</x:f>
        <x:v>809</x:v>
      </x:c>
      <x:c r="B816" s="131" t="n">
        <x:f>MOD(ABS(SIN((A816+1)*12.9898+78.233)*43758.5453),1)</x:f>
        <x:v>0.41291627162354416</x:v>
      </x:c>
      <x:c r="C816" s="131" t="n">
        <x:f>MOD(ABS(SIN((A816+2)*12.9898+78.233)*43758.5453),1)</x:f>
        <x:v>0.3068373319110833</x:v>
      </x:c>
      <x:c r="D816" s="131" t="n">
        <x:f>MOD(ABS(SIN((A816+3)*12.9898+78.233)*43758.5453),1)</x:f>
        <x:v>0.40571370530233253</x:v>
      </x:c>
      <x:c r="E816" s="131" t="n">
        <x:f>MOD(ABS(SIN((A816+4)*12.9898+78.233)*43758.5453),1)</x:f>
        <x:v>0.4004605625013937</x:v>
      </x:c>
      <x:c r="F816" s="131" t="n">
        <x:f>MOD(ABS(SIN((A816+5)*12.9898+78.233)*43758.5453),1)</x:f>
        <x:v>0.7337314154356136</x:v>
      </x:c>
      <x:c r="G816" s="132" t="n">
        <x:f>IF(B816&lt;(('Assumptions'!$C$47-'Assumptions'!$B$47)/('Assumptions'!$D$47-'Assumptions'!$B$47)),'Assumptions'!$B$47+SQRT(B816*('Assumptions'!$D$47-'Assumptions'!$B$47)*('Assumptions'!$C$47-'Assumptions'!$B$47)),'Assumptions'!$D$47-SQRT((1-B816)*('Assumptions'!$D$47-'Assumptions'!$B$47)*('Assumptions'!$D$47-'Assumptions'!$C$47)))</x:f>
        <x:v>-0.00045106470200166615</x:v>
      </x:c>
      <x:c r="H816" s="132" t="n">
        <x:f>IF(C816&lt;(('Assumptions'!$C$48-'Assumptions'!$B$48)/('Assumptions'!$D$48-'Assumptions'!$B$48)),'Assumptions'!$B$48+SQRT(C816*('Assumptions'!$D$48-'Assumptions'!$B$48)*('Assumptions'!$C$48-'Assumptions'!$B$48)),'Assumptions'!$D$48-SQRT((1-C816)*('Assumptions'!$D$48-'Assumptions'!$B$48)*('Assumptions'!$D$48-'Assumptions'!$C$48)))</x:f>
        <x:v>0.06189858209236872</x:v>
      </x:c>
      <x:c r="I816" s="132" t="n">
        <x:f>IF(D816&lt;(('Assumptions'!$C$49-'Assumptions'!$B$49)/('Assumptions'!$D$49-'Assumptions'!$B$49)),'Assumptions'!$B$49+SQRT(D816*('Assumptions'!$D$49-'Assumptions'!$B$49)*('Assumptions'!$C$49-'Assumptions'!$B$49)),'Assumptions'!$D$49-SQRT((1-D816)*('Assumptions'!$D$49-'Assumptions'!$B$49)*('Assumptions'!$D$49-'Assumptions'!$C$49)))</x:f>
        <x:v>0.03670135055760984</x:v>
      </x:c>
      <x:c r="J816" s="132" t="n">
        <x:f>IF(E816&lt;(('Assumptions'!$C$50-'Assumptions'!$B$50)/('Assumptions'!$D$50-'Assumptions'!$B$50)),'Assumptions'!$B$50+SQRT(E816*('Assumptions'!$D$50-'Assumptions'!$B$50)*('Assumptions'!$C$50-'Assumptions'!$B$50)),'Assumptions'!$D$50-SQRT((1-E816)*('Assumptions'!$D$50-'Assumptions'!$B$50)*('Assumptions'!$D$50-'Assumptions'!$C$50)))</x:f>
        <x:v>0.0669922930086894</x:v>
      </x:c>
      <x:c r="K816" s="132" t="n">
        <x:f>IF(F816&lt;(('Assumptions'!$C$51-'Assumptions'!$B$51)/('Assumptions'!$D$51-'Assumptions'!$B$51)),'Assumptions'!$B$51+SQRT(F816*('Assumptions'!$D$51-'Assumptions'!$B$51)*('Assumptions'!$C$51-'Assumptions'!$B$51)),'Assumptions'!$D$51-SQRT((1-F816)*('Assumptions'!$D$51-'Assumptions'!$B$51)*('Assumptions'!$D$51-'Assumptions'!$C$51)))</x:f>
        <x:v>0.07368002843105996</x:v>
      </x:c>
      <x:c r="L816" s="133" t="n">
        <x:f>(('Assumptions'!$B$17*(1+G816)+'Assumptions'!$B$18)*(1-H816-'Assumptions'!$B$20)-SUM('Assumptions'!$B$21:$B$25)*(1+I816))-(('Assumptions'!$B$17*(1+G816)+'Assumptions'!$B$18)*(1-H816-'Assumptions'!$B$20)*'Assumptions'!$B$26)</x:f>
        <x:v>206020.3925224126</x:v>
      </x:c>
      <x:c r="M816" s="133" t="n">
        <x:f>'Assumptions'!$B$10*'Assumptions'!$B$33</x:f>
        <x:v>1950000</x:v>
      </x:c>
      <x:c r="N816" s="133" t="n">
        <x:f>-PMT(K816/12,'Assumptions'!$B$35*12,M816)*12</x:f>
        <x:v>161506.40890849484</x:v>
      </x:c>
      <x:c r="O816" s="133" t="n">
        <x:f>(L816*(1+'Assumptions'!$B$29)^('Assumptions'!$B$14/12)/J816)*(1-'Assumptions'!$B$42)-'Debt Schedule'!$F$9</x:f>
        <x:v>3351192.2604219876</x:v>
      </x:c>
      <x:c r="P816" s="132" t="n">
        <x:f>((O816+(L816-N816-'Assumptions'!$B$27-'Assumptions'!$B$28)*('Assumptions'!$B$14/12))/ABS('Monthly Cash Flow'!$S$5))^(1/('Assumptions'!$B$14/12))-1</x:f>
        <x:v>0.211162685055035</x:v>
      </x:c>
      <x:c r="Q816" s="133" t="n">
        <x:f>-ABS('Monthly Cash Flow'!$S$5)+((L816-N816-'Assumptions'!$B$27-'Assumptions'!$B$28)*(1-(1+'Assumptions'!$B$43)^-('Assumptions'!$B$14/12))/'Assumptions'!$B$43)+(O816/(1+'Assumptions'!$B$43)^('Assumptions'!$B$14/12))</x:f>
        <x:v>803438.2815277867</x:v>
      </x:c>
    </x:row>
    <x:row r="817">
      <x:c r="A817" s="131" t="n">
        <x:f>810</x:f>
        <x:v>810</x:v>
      </x:c>
      <x:c r="B817" s="131" t="n">
        <x:f>MOD(ABS(SIN((A817+1)*12.9898+78.233)*43758.5453),1)</x:f>
        <x:v>0.3068373319110833</x:v>
      </x:c>
      <x:c r="C817" s="131" t="n">
        <x:f>MOD(ABS(SIN((A817+2)*12.9898+78.233)*43758.5453),1)</x:f>
        <x:v>0.40571370530233253</x:v>
      </x:c>
      <x:c r="D817" s="131" t="n">
        <x:f>MOD(ABS(SIN((A817+3)*12.9898+78.233)*43758.5453),1)</x:f>
        <x:v>0.4004605625013937</x:v>
      </x:c>
      <x:c r="E817" s="131" t="n">
        <x:f>MOD(ABS(SIN((A817+4)*12.9898+78.233)*43758.5453),1)</x:f>
        <x:v>0.7337314154356136</x:v>
      </x:c>
      <x:c r="F817" s="131" t="n">
        <x:f>MOD(ABS(SIN((A817+5)*12.9898+78.233)*43758.5453),1)</x:f>
        <x:v>0.3090292582528491</x:v>
      </x:c>
      <x:c r="G817" s="132" t="n">
        <x:f>IF(B817&lt;(('Assumptions'!$C$47-'Assumptions'!$B$47)/('Assumptions'!$D$47-'Assumptions'!$B$47)),'Assumptions'!$B$47+SQRT(B817*('Assumptions'!$D$47-'Assumptions'!$B$47)*('Assumptions'!$C$47-'Assumptions'!$B$47)),'Assumptions'!$D$47-SQRT((1-B817)*('Assumptions'!$D$47-'Assumptions'!$B$47)*('Assumptions'!$D$47-'Assumptions'!$C$47)))</x:f>
        <x:v>-0.014185689038098082</x:v>
      </x:c>
      <x:c r="H817" s="132" t="n">
        <x:f>IF(C817&lt;(('Assumptions'!$C$48-'Assumptions'!$B$48)/('Assumptions'!$D$48-'Assumptions'!$B$48)),'Assumptions'!$B$48+SQRT(C817*('Assumptions'!$D$48-'Assumptions'!$B$48)*('Assumptions'!$C$48-'Assumptions'!$B$48)),'Assumptions'!$D$48-SQRT((1-C817)*('Assumptions'!$D$48-'Assumptions'!$B$48)*('Assumptions'!$D$48-'Assumptions'!$C$48)))</x:f>
        <x:v>0.06768320116778209</x:v>
      </x:c>
      <x:c r="I817" s="132" t="n">
        <x:f>IF(D817&lt;(('Assumptions'!$C$49-'Assumptions'!$B$49)/('Assumptions'!$D$49-'Assumptions'!$B$49)),'Assumptions'!$B$49+SQRT(D817*('Assumptions'!$D$49-'Assumptions'!$B$49)*('Assumptions'!$C$49-'Assumptions'!$B$49)),'Assumptions'!$D$49-SQRT((1-D817)*('Assumptions'!$D$49-'Assumptions'!$B$49)*('Assumptions'!$D$49-'Assumptions'!$C$49)))</x:f>
        <x:v>0.03620170541712896</x:v>
      </x:c>
      <x:c r="J817" s="132" t="n">
        <x:f>IF(E817&lt;(('Assumptions'!$C$50-'Assumptions'!$B$50)/('Assumptions'!$D$50-'Assumptions'!$B$50)),'Assumptions'!$B$50+SQRT(E817*('Assumptions'!$D$50-'Assumptions'!$B$50)*('Assumptions'!$C$50-'Assumptions'!$B$50)),'Assumptions'!$D$50-SQRT((1-E817)*('Assumptions'!$D$50-'Assumptions'!$B$50)*('Assumptions'!$D$50-'Assumptions'!$C$50)))</x:f>
        <x:v>0.07134621242410391</x:v>
      </x:c>
      <x:c r="K817" s="132" t="n">
        <x:f>IF(F817&lt;(('Assumptions'!$C$51-'Assumptions'!$B$51)/('Assumptions'!$D$51-'Assumptions'!$B$51)),'Assumptions'!$B$51+SQRT(F817*('Assumptions'!$D$51-'Assumptions'!$B$51)*('Assumptions'!$C$51-'Assumptions'!$B$51)),'Assumptions'!$D$51-SQRT((1-F817)*('Assumptions'!$D$51-'Assumptions'!$B$51)*('Assumptions'!$D$51-'Assumptions'!$C$51)))</x:f>
        <x:v>0.06671862495275373</x:v>
      </x:c>
      <x:c r="L817" s="133" t="n">
        <x:f>(('Assumptions'!$B$17*(1+G817)+'Assumptions'!$B$18)*(1-H817-'Assumptions'!$B$20)-SUM('Assumptions'!$B$21:$B$25)*(1+I817))-(('Assumptions'!$B$17*(1+G817)+'Assumptions'!$B$18)*(1-H817-'Assumptions'!$B$20)*'Assumptions'!$B$26)</x:f>
        <x:v>199607.17859861278</x:v>
      </x:c>
      <x:c r="M817" s="133" t="n">
        <x:f>'Assumptions'!$B$10*'Assumptions'!$B$33</x:f>
        <x:v>1950000</x:v>
      </x:c>
      <x:c r="N817" s="133" t="n">
        <x:f>-PMT(K817/12,'Assumptions'!$B$35*12,M817)*12</x:f>
        <x:v>150558.56291738834</x:v>
      </x:c>
      <x:c r="O817" s="133" t="n">
        <x:f>(L817*(1+'Assumptions'!$B$29)^('Assumptions'!$B$14/12)/J817)*(1-'Assumptions'!$B$42)-'Debt Schedule'!$F$9</x:f>
        <x:v>3048731.7290082625</x:v>
      </x:c>
      <x:c r="P817" s="132" t="n">
        <x:f>((O817+(L817-N817-'Assumptions'!$B$27-'Assumptions'!$B$28)*('Assumptions'!$B$14/12))/ABS('Monthly Cash Flow'!$S$5))^(1/('Assumptions'!$B$14/12))-1</x:f>
        <x:v>0.19037266016498822</x:v>
      </x:c>
      <x:c r="Q817" s="133" t="n">
        <x:f>-ABS('Monthly Cash Flow'!$S$5)+((L817-N817-'Assumptions'!$B$27-'Assumptions'!$B$28)*(1-(1+'Assumptions'!$B$43)^-('Assumptions'!$B$14/12))/'Assumptions'!$B$43)+(O817/(1+'Assumptions'!$B$43)^('Assumptions'!$B$14/12))</x:f>
        <x:v>632823.9114340828</x:v>
      </x:c>
    </x:row>
    <x:row r="818">
      <x:c r="A818" s="131" t="n">
        <x:f>811</x:f>
        <x:v>811</x:v>
      </x:c>
      <x:c r="B818" s="131" t="n">
        <x:f>MOD(ABS(SIN((A818+1)*12.9898+78.233)*43758.5453),1)</x:f>
        <x:v>0.40571370530233253</x:v>
      </x:c>
      <x:c r="C818" s="131" t="n">
        <x:f>MOD(ABS(SIN((A818+2)*12.9898+78.233)*43758.5453),1)</x:f>
        <x:v>0.4004605625013937</x:v>
      </x:c>
      <x:c r="D818" s="131" t="n">
        <x:f>MOD(ABS(SIN((A818+3)*12.9898+78.233)*43758.5453),1)</x:f>
        <x:v>0.7337314154356136</x:v>
      </x:c>
      <x:c r="E818" s="131" t="n">
        <x:f>MOD(ABS(SIN((A818+4)*12.9898+78.233)*43758.5453),1)</x:f>
        <x:v>0.3090292582528491</x:v>
      </x:c>
      <x:c r="F818" s="131" t="n">
        <x:f>MOD(ABS(SIN((A818+5)*12.9898+78.233)*43758.5453),1)</x:f>
        <x:v>0.54891871694781</x:v>
      </x:c>
      <x:c r="G818" s="132" t="n">
        <x:f>IF(B818&lt;(('Assumptions'!$C$47-'Assumptions'!$B$47)/('Assumptions'!$D$47-'Assumptions'!$B$47)),'Assumptions'!$B$47+SQRT(B818*('Assumptions'!$D$47-'Assumptions'!$B$47)*('Assumptions'!$C$47-'Assumptions'!$B$47)),'Assumptions'!$D$47-SQRT((1-B818)*('Assumptions'!$D$47-'Assumptions'!$B$47)*('Assumptions'!$D$47-'Assumptions'!$C$47)))</x:f>
        <x:v>-0.0013231084434862234</x:v>
      </x:c>
      <x:c r="H818" s="132" t="n">
        <x:f>IF(C818&lt;(('Assumptions'!$C$48-'Assumptions'!$B$48)/('Assumptions'!$D$48-'Assumptions'!$B$48)),'Assumptions'!$B$48+SQRT(C818*('Assumptions'!$D$48-'Assumptions'!$B$48)*('Assumptions'!$C$48-'Assumptions'!$B$48)),'Assumptions'!$D$48-SQRT((1-C818)*('Assumptions'!$D$48-'Assumptions'!$B$48)*('Assumptions'!$D$48-'Assumptions'!$C$48)))</x:f>
        <x:v>0.06736428529994536</x:v>
      </x:c>
      <x:c r="I818" s="132" t="n">
        <x:f>IF(D818&lt;(('Assumptions'!$C$49-'Assumptions'!$B$49)/('Assumptions'!$D$49-'Assumptions'!$B$49)),'Assumptions'!$B$49+SQRT(D818*('Assumptions'!$D$49-'Assumptions'!$B$49)*('Assumptions'!$C$49-'Assumptions'!$B$49)),'Assumptions'!$D$49-SQRT((1-D818)*('Assumptions'!$D$49-'Assumptions'!$B$49)*('Assumptions'!$D$49-'Assumptions'!$C$49)))</x:f>
        <x:v>0.07416200538918011</x:v>
      </x:c>
      <x:c r="J818" s="132" t="n">
        <x:f>IF(E818&lt;(('Assumptions'!$C$50-'Assumptions'!$B$50)/('Assumptions'!$D$50-'Assumptions'!$B$50)),'Assumptions'!$B$50+SQRT(E818*('Assumptions'!$D$50-'Assumptions'!$B$50)*('Assumptions'!$C$50-'Assumptions'!$B$50)),'Assumptions'!$D$50-SQRT((1-E818)*('Assumptions'!$D$50-'Assumptions'!$B$50)*('Assumptions'!$D$50-'Assumptions'!$C$50)))</x:f>
        <x:v>0.06583856001398869</x:v>
      </x:c>
      <x:c r="K818" s="132" t="n">
        <x:f>IF(F818&lt;(('Assumptions'!$C$51-'Assumptions'!$B$51)/('Assumptions'!$D$51-'Assumptions'!$B$51)),'Assumptions'!$B$51+SQRT(F818*('Assumptions'!$D$51-'Assumptions'!$B$51)*('Assumptions'!$C$51-'Assumptions'!$B$51)),'Assumptions'!$D$51-SQRT((1-F818)*('Assumptions'!$D$51-'Assumptions'!$B$51)*('Assumptions'!$D$51-'Assumptions'!$C$51)))</x:f>
        <x:v>0.07026626770065146</x:v>
      </x:c>
      <x:c r="L818" s="133" t="n">
        <x:f>(('Assumptions'!$B$17*(1+G818)+'Assumptions'!$B$18)*(1-H818-'Assumptions'!$B$20)-SUM('Assumptions'!$B$21:$B$25)*(1+I818))-(('Assumptions'!$B$17*(1+G818)+'Assumptions'!$B$18)*(1-H818-'Assumptions'!$B$20)*'Assumptions'!$B$26)</x:f>
        <x:v>199039.74527204488</x:v>
      </x:c>
      <x:c r="M818" s="133" t="n">
        <x:f>'Assumptions'!$B$10*'Assumptions'!$B$33</x:f>
        <x:v>1950000</x:v>
      </x:c>
      <x:c r="N818" s="133" t="n">
        <x:f>-PMT(K818/12,'Assumptions'!$B$35*12,M818)*12</x:f>
        <x:v>156099.45775624982</x:v>
      </x:c>
      <x:c r="O818" s="133" t="n">
        <x:f>(L818*(1+'Assumptions'!$B$29)^('Assumptions'!$B$14/12)/J818)*(1-'Assumptions'!$B$42)-'Debt Schedule'!$F$9</x:f>
        <x:v>3294378.2399876933</x:v>
      </x:c>
      <x:c r="P818" s="132" t="n">
        <x:f>((O818+(L818-N818-'Assumptions'!$B$27-'Assumptions'!$B$28)*('Assumptions'!$B$14/12))/ABS('Monthly Cash Flow'!$S$5))^(1/('Assumptions'!$B$14/12))-1</x:f>
        <x:v>0.2064825196482083</x:v>
      </x:c>
      <x:c r="Q818" s="133" t="n">
        <x:f>-ABS('Monthly Cash Flow'!$S$5)+((L818-N818-'Assumptions'!$B$27-'Assumptions'!$B$28)*(1-(1+'Assumptions'!$B$43)^-('Assumptions'!$B$14/12))/'Assumptions'!$B$43)+(O818/(1+'Assumptions'!$B$43)^('Assumptions'!$B$14/12))</x:f>
        <x:v>762195.6984435816</x:v>
      </x:c>
    </x:row>
    <x:row r="819">
      <x:c r="A819" s="131" t="n">
        <x:f>812</x:f>
        <x:v>812</x:v>
      </x:c>
      <x:c r="B819" s="131" t="n">
        <x:f>MOD(ABS(SIN((A819+1)*12.9898+78.233)*43758.5453),1)</x:f>
        <x:v>0.4004605625013937</x:v>
      </x:c>
      <x:c r="C819" s="131" t="n">
        <x:f>MOD(ABS(SIN((A819+2)*12.9898+78.233)*43758.5453),1)</x:f>
        <x:v>0.7337314154356136</x:v>
      </x:c>
      <x:c r="D819" s="131" t="n">
        <x:f>MOD(ABS(SIN((A819+3)*12.9898+78.233)*43758.5453),1)</x:f>
        <x:v>0.3090292582528491</x:v>
      </x:c>
      <x:c r="E819" s="131" t="n">
        <x:f>MOD(ABS(SIN((A819+4)*12.9898+78.233)*43758.5453),1)</x:f>
        <x:v>0.54891871694781</x:v>
      </x:c>
      <x:c r="F819" s="131" t="n">
        <x:f>MOD(ABS(SIN((A819+5)*12.9898+78.233)*43758.5453),1)</x:f>
        <x:v>0.19442696457781494</x:v>
      </x:c>
      <x:c r="G819" s="132" t="n">
        <x:f>IF(B819&lt;(('Assumptions'!$C$47-'Assumptions'!$B$47)/('Assumptions'!$D$47-'Assumptions'!$B$47)),'Assumptions'!$B$47+SQRT(B819*('Assumptions'!$D$47-'Assumptions'!$B$47)*('Assumptions'!$C$47-'Assumptions'!$B$47)),'Assumptions'!$D$47-SQRT((1-B819)*('Assumptions'!$D$47-'Assumptions'!$B$47)*('Assumptions'!$D$47-'Assumptions'!$C$47)))</x:f>
        <x:v>-0.0019640193600663214</x:v>
      </x:c>
      <x:c r="H819" s="132" t="n">
        <x:f>IF(C819&lt;(('Assumptions'!$C$48-'Assumptions'!$B$48)/('Assumptions'!$D$48-'Assumptions'!$B$48)),'Assumptions'!$B$48+SQRT(C819*('Assumptions'!$D$48-'Assumptions'!$B$48)*('Assumptions'!$C$48-'Assumptions'!$B$48)),'Assumptions'!$D$48-SQRT((1-C819)*('Assumptions'!$D$48-'Assumptions'!$B$48)*('Assumptions'!$D$48-'Assumptions'!$C$48)))</x:f>
        <x:v>0.09159376544114797</x:v>
      </x:c>
      <x:c r="I819" s="132" t="n">
        <x:f>IF(D819&lt;(('Assumptions'!$C$49-'Assumptions'!$B$49)/('Assumptions'!$D$49-'Assumptions'!$B$49)),'Assumptions'!$B$49+SQRT(D819*('Assumptions'!$D$49-'Assumptions'!$B$49)*('Assumptions'!$C$49-'Assumptions'!$B$49)),'Assumptions'!$D$49-SQRT((1-D819)*('Assumptions'!$D$49-'Assumptions'!$B$49)*('Assumptions'!$D$49-'Assumptions'!$C$49)))</x:f>
        <x:v>0.02777123842476263</x:v>
      </x:c>
      <x:c r="J819" s="132" t="n">
        <x:f>IF(E819&lt;(('Assumptions'!$C$50-'Assumptions'!$B$50)/('Assumptions'!$D$50-'Assumptions'!$B$50)),'Assumptions'!$B$50+SQRT(E819*('Assumptions'!$D$50-'Assumptions'!$B$50)*('Assumptions'!$C$50-'Assumptions'!$B$50)),'Assumptions'!$D$50-SQRT((1-E819)*('Assumptions'!$D$50-'Assumptions'!$B$50)*('Assumptions'!$D$50-'Assumptions'!$C$50)))</x:f>
        <x:v>0.06873649207136479</x:v>
      </x:c>
      <x:c r="K819" s="132" t="n">
        <x:f>IF(F819&lt;(('Assumptions'!$C$51-'Assumptions'!$B$51)/('Assumptions'!$D$51-'Assumptions'!$B$51)),'Assumptions'!$B$51+SQRT(F819*('Assumptions'!$D$51-'Assumptions'!$B$51)*('Assumptions'!$C$51-'Assumptions'!$B$51)),'Assumptions'!$D$51-SQRT((1-F819)*('Assumptions'!$D$51-'Assumptions'!$B$51)*('Assumptions'!$D$51-'Assumptions'!$C$51)))</x:f>
        <x:v>0.0648121416328528</x:v>
      </x:c>
      <x:c r="L819" s="133" t="n">
        <x:f>(('Assumptions'!$B$17*(1+G819)+'Assumptions'!$B$18)*(1-H819-'Assumptions'!$B$20)-SUM('Assumptions'!$B$21:$B$25)*(1+I819))-(('Assumptions'!$B$17*(1+G819)+'Assumptions'!$B$18)*(1-H819-'Assumptions'!$B$20)*'Assumptions'!$B$26)</x:f>
        <x:v>195904.67156578554</x:v>
      </x:c>
      <x:c r="M819" s="133" t="n">
        <x:f>'Assumptions'!$B$10*'Assumptions'!$B$33</x:f>
        <x:v>1950000</x:v>
      </x:c>
      <x:c r="N819" s="133" t="n">
        <x:f>-PMT(K819/12,'Assumptions'!$B$35*12,M819)*12</x:f>
        <x:v>147614.94027250237</x:v>
      </x:c>
      <x:c r="O819" s="133" t="n">
        <x:f>(L819*(1+'Assumptions'!$B$29)^('Assumptions'!$B$14/12)/J819)*(1-'Assumptions'!$B$42)-'Debt Schedule'!$F$9</x:f>
        <x:v>3105785.1214170135</x:v>
      </x:c>
      <x:c r="P819" s="132" t="n">
        <x:f>((O819+(L819-N819-'Assumptions'!$B$27-'Assumptions'!$B$28)*('Assumptions'!$B$14/12))/ABS('Monthly Cash Flow'!$S$5))^(1/('Assumptions'!$B$14/12))-1</x:f>
        <x:v>0.19444289044363483</x:v>
      </x:c>
      <x:c r="Q819" s="133" t="n">
        <x:f>-ABS('Monthly Cash Flow'!$S$5)+((L819-N819-'Assumptions'!$B$27-'Assumptions'!$B$28)*(1-(1+'Assumptions'!$B$43)^-('Assumptions'!$B$14/12))/'Assumptions'!$B$43)+(O819/(1+'Assumptions'!$B$43)^('Assumptions'!$B$14/12))</x:f>
        <x:v>665372.8104362194</x:v>
      </x:c>
    </x:row>
    <x:row r="820">
      <x:c r="A820" s="131" t="n">
        <x:f>813</x:f>
        <x:v>813</x:v>
      </x:c>
      <x:c r="B820" s="131" t="n">
        <x:f>MOD(ABS(SIN((A820+1)*12.9898+78.233)*43758.5453),1)</x:f>
        <x:v>0.7337314154356136</x:v>
      </x:c>
      <x:c r="C820" s="131" t="n">
        <x:f>MOD(ABS(SIN((A820+2)*12.9898+78.233)*43758.5453),1)</x:f>
        <x:v>0.3090292582528491</x:v>
      </x:c>
      <x:c r="D820" s="131" t="n">
        <x:f>MOD(ABS(SIN((A820+3)*12.9898+78.233)*43758.5453),1)</x:f>
        <x:v>0.54891871694781</x:v>
      </x:c>
      <x:c r="E820" s="131" t="n">
        <x:f>MOD(ABS(SIN((A820+4)*12.9898+78.233)*43758.5453),1)</x:f>
        <x:v>0.19442696457781494</x:v>
      </x:c>
      <x:c r="F820" s="131" t="n">
        <x:f>MOD(ABS(SIN((A820+5)*12.9898+78.233)*43758.5453),1)</x:f>
        <x:v>0.017058157973224297</x:v>
      </x:c>
      <x:c r="G820" s="132" t="n">
        <x:f>IF(B820&lt;(('Assumptions'!$C$47-'Assumptions'!$B$47)/('Assumptions'!$D$47-'Assumptions'!$B$47)),'Assumptions'!$B$47+SQRT(B820*('Assumptions'!$D$47-'Assumptions'!$B$47)*('Assumptions'!$C$47-'Assumptions'!$B$47)),'Assumptions'!$D$47-SQRT((1-B820)*('Assumptions'!$D$47-'Assumptions'!$B$47)*('Assumptions'!$D$47-'Assumptions'!$C$47)))</x:f>
        <x:v>0.03472904663611706</x:v>
      </x:c>
      <x:c r="H820" s="132" t="n">
        <x:f>IF(C820&lt;(('Assumptions'!$C$48-'Assumptions'!$B$48)/('Assumptions'!$D$48-'Assumptions'!$B$48)),'Assumptions'!$B$48+SQRT(C820*('Assumptions'!$D$48-'Assumptions'!$B$48)*('Assumptions'!$C$48-'Assumptions'!$B$48)),'Assumptions'!$D$48-SQRT((1-C820)*('Assumptions'!$D$48-'Assumptions'!$B$48)*('Assumptions'!$D$48-'Assumptions'!$C$48)))</x:f>
        <x:v>0.06202216643574324</x:v>
      </x:c>
      <x:c r="I820" s="132" t="n">
        <x:f>IF(D820&lt;(('Assumptions'!$C$49-'Assumptions'!$B$49)/('Assumptions'!$D$49-'Assumptions'!$B$49)),'Assumptions'!$B$49+SQRT(D820*('Assumptions'!$D$49-'Assumptions'!$B$49)*('Assumptions'!$C$49-'Assumptions'!$B$49)),'Assumptions'!$D$49-SQRT((1-D820)*('Assumptions'!$D$49-'Assumptions'!$B$49)*('Assumptions'!$D$49-'Assumptions'!$C$49)))</x:f>
        <x:v>0.05129156209357123</x:v>
      </x:c>
      <x:c r="J820" s="132" t="n">
        <x:f>IF(E820&lt;(('Assumptions'!$C$50-'Assumptions'!$B$50)/('Assumptions'!$D$50-'Assumptions'!$B$50)),'Assumptions'!$B$50+SQRT(E820*('Assumptions'!$D$50-'Assumptions'!$B$50)*('Assumptions'!$C$50-'Assumptions'!$B$50)),'Assumptions'!$D$50-SQRT((1-E820)*('Assumptions'!$D$50-'Assumptions'!$B$50)*('Assumptions'!$D$50-'Assumptions'!$C$50)))</x:f>
        <x:v>0.06411408096639347</x:v>
      </x:c>
      <x:c r="K820" s="132" t="n">
        <x:f>IF(F820&lt;(('Assumptions'!$C$51-'Assumptions'!$B$51)/('Assumptions'!$D$51-'Assumptions'!$B$51)),'Assumptions'!$B$51+SQRT(F820*('Assumptions'!$D$51-'Assumptions'!$B$51)*('Assumptions'!$C$51-'Assumptions'!$B$51)),'Assumptions'!$D$51-SQRT((1-F820)*('Assumptions'!$D$51-'Assumptions'!$B$51)*('Assumptions'!$D$51-'Assumptions'!$C$51)))</x:f>
        <x:v>0.05966587013521972</x:v>
      </x:c>
      <x:c r="L820" s="133" t="n">
        <x:f>(('Assumptions'!$B$17*(1+G820)+'Assumptions'!$B$18)*(1-H820-'Assumptions'!$B$20)-SUM('Assumptions'!$B$21:$B$25)*(1+I820))-(('Assumptions'!$B$17*(1+G820)+'Assumptions'!$B$18)*(1-H820-'Assumptions'!$B$20)*'Assumptions'!$B$26)</x:f>
        <x:v>215419.7820746849</x:v>
      </x:c>
      <x:c r="M820" s="133" t="n">
        <x:f>'Assumptions'!$B$10*'Assumptions'!$B$33</x:f>
        <x:v>1950000</x:v>
      </x:c>
      <x:c r="N820" s="133" t="n">
        <x:f>-PMT(K820/12,'Assumptions'!$B$35*12,M820)*12</x:f>
        <x:v>139792.543122571</x:v>
      </x:c>
      <x:c r="O820" s="133" t="n">
        <x:f>(L820*(1+'Assumptions'!$B$29)^('Assumptions'!$B$14/12)/J820)*(1-'Assumptions'!$B$42)-'Debt Schedule'!$F$9</x:f>
        <x:v>3661391.23894722</x:v>
      </x:c>
      <x:c r="P820" s="132" t="n">
        <x:f>((O820+(L820-N820-'Assumptions'!$B$27-'Assumptions'!$B$28)*('Assumptions'!$B$14/12))/ABS('Monthly Cash Flow'!$S$5))^(1/('Assumptions'!$B$14/12))-1</x:f>
        <x:v>0.24289701227879146</x:v>
      </x:c>
      <x:c r="Q820" s="133" t="n">
        <x:f>-ABS('Monthly Cash Flow'!$S$5)+((L820-N820-'Assumptions'!$B$27-'Assumptions'!$B$28)*(1-(1+'Assumptions'!$B$43)^-('Assumptions'!$B$14/12))/'Assumptions'!$B$43)+(O820/(1+'Assumptions'!$B$43)^('Assumptions'!$B$14/12))</x:f>
        <x:v>1113991.1583745333</x:v>
      </x:c>
    </x:row>
    <x:row r="821">
      <x:c r="A821" s="131" t="n">
        <x:f>814</x:f>
        <x:v>814</x:v>
      </x:c>
      <x:c r="B821" s="131" t="n">
        <x:f>MOD(ABS(SIN((A821+1)*12.9898+78.233)*43758.5453),1)</x:f>
        <x:v>0.3090292582528491</x:v>
      </x:c>
      <x:c r="C821" s="131" t="n">
        <x:f>MOD(ABS(SIN((A821+2)*12.9898+78.233)*43758.5453),1)</x:f>
        <x:v>0.54891871694781</x:v>
      </x:c>
      <x:c r="D821" s="131" t="n">
        <x:f>MOD(ABS(SIN((A821+3)*12.9898+78.233)*43758.5453),1)</x:f>
        <x:v>0.19442696457781494</x:v>
      </x:c>
      <x:c r="E821" s="131" t="n">
        <x:f>MOD(ABS(SIN((A821+4)*12.9898+78.233)*43758.5453),1)</x:f>
        <x:v>0.017058157973224297</x:v>
      </x:c>
      <x:c r="F821" s="131" t="n">
        <x:f>MOD(ABS(SIN((A821+5)*12.9898+78.233)*43758.5453),1)</x:f>
        <x:v>0.6038907718248083</x:v>
      </x:c>
      <x:c r="G821" s="132" t="n">
        <x:f>IF(B821&lt;(('Assumptions'!$C$47-'Assumptions'!$B$47)/('Assumptions'!$D$47-'Assumptions'!$B$47)),'Assumptions'!$B$47+SQRT(B821*('Assumptions'!$D$47-'Assumptions'!$B$47)*('Assumptions'!$C$47-'Assumptions'!$B$47)),'Assumptions'!$D$47-SQRT((1-B821)*('Assumptions'!$D$47-'Assumptions'!$B$47)*('Assumptions'!$D$47-'Assumptions'!$C$47)))</x:f>
        <x:v>-0.01387972249192193</x:v>
      </x:c>
      <x:c r="H821" s="132" t="n">
        <x:f>IF(C821&lt;(('Assumptions'!$C$48-'Assumptions'!$B$48)/('Assumptions'!$D$48-'Assumptions'!$B$48)),'Assumptions'!$B$48+SQRT(C821*('Assumptions'!$D$48-'Assumptions'!$B$48)*('Assumptions'!$C$48-'Assumptions'!$B$48)),'Assumptions'!$D$48-SQRT((1-C821)*('Assumptions'!$D$48-'Assumptions'!$B$48)*('Assumptions'!$D$48-'Assumptions'!$C$48)))</x:f>
        <x:v>0.07699591052273455</x:v>
      </x:c>
      <x:c r="I821" s="132" t="n">
        <x:f>IF(D821&lt;(('Assumptions'!$C$49-'Assumptions'!$B$49)/('Assumptions'!$D$49-'Assumptions'!$B$49)),'Assumptions'!$B$49+SQRT(D821*('Assumptions'!$D$49-'Assumptions'!$B$49)*('Assumptions'!$C$49-'Assumptions'!$B$49)),'Assumptions'!$D$49-SQRT((1-D821)*('Assumptions'!$D$49-'Assumptions'!$B$49)*('Assumptions'!$D$49-'Assumptions'!$C$49)))</x:f>
        <x:v>0.01582369711667099</x:v>
      </x:c>
      <x:c r="J821" s="132" t="n">
        <x:f>IF(E821&lt;(('Assumptions'!$C$50-'Assumptions'!$B$50)/('Assumptions'!$D$50-'Assumptions'!$B$50)),'Assumptions'!$B$50+SQRT(E821*('Assumptions'!$D$50-'Assumptions'!$B$50)*('Assumptions'!$C$50-'Assumptions'!$B$50)),'Assumptions'!$D$50-SQRT((1-E821)*('Assumptions'!$D$50-'Assumptions'!$B$50)*('Assumptions'!$D$50-'Assumptions'!$C$50)))</x:f>
        <x:v>0.059459103249952766</x:v>
      </x:c>
      <x:c r="K821" s="132" t="n">
        <x:f>IF(F821&lt;(('Assumptions'!$C$51-'Assumptions'!$B$51)/('Assumptions'!$D$51-'Assumptions'!$B$51)),'Assumptions'!$B$51+SQRT(F821*('Assumptions'!$D$51-'Assumptions'!$B$51)*('Assumptions'!$C$51-'Assumptions'!$B$51)),'Assumptions'!$D$51-SQRT((1-F821)*('Assumptions'!$D$51-'Assumptions'!$B$51)*('Assumptions'!$D$51-'Assumptions'!$C$51)))</x:f>
        <x:v>0.07119320580079101</x:v>
      </x:c>
      <x:c r="L821" s="133" t="n">
        <x:f>(('Assumptions'!$B$17*(1+G821)+'Assumptions'!$B$18)*(1-H821-'Assumptions'!$B$20)-SUM('Assumptions'!$B$21:$B$25)*(1+I821))-(('Assumptions'!$B$17*(1+G821)+'Assumptions'!$B$18)*(1-H821-'Assumptions'!$B$20)*'Assumptions'!$B$26)</x:f>
        <x:v>198937.61083517465</x:v>
      </x:c>
      <x:c r="M821" s="133" t="n">
        <x:f>'Assumptions'!$B$10*'Assumptions'!$B$33</x:f>
        <x:v>1950000</x:v>
      </x:c>
      <x:c r="N821" s="133" t="n">
        <x:f>-PMT(K821/12,'Assumptions'!$B$35*12,M821)*12</x:f>
        <x:v>157560.44346031442</x:v>
      </x:c>
      <x:c r="O821" s="133" t="n">
        <x:f>(L821*(1+'Assumptions'!$B$29)^('Assumptions'!$B$14/12)/J821)*(1-'Assumptions'!$B$42)-'Debt Schedule'!$F$9</x:f>
        <x:v>3645965.2082948107</x:v>
      </x:c>
      <x:c r="P821" s="132" t="n">
        <x:f>((O821+(L821-N821-'Assumptions'!$B$27-'Assumptions'!$B$28)*('Assumptions'!$B$14/12))/ABS('Monthly Cash Flow'!$S$5))^(1/('Assumptions'!$B$14/12))-1</x:f>
        <x:v>0.23056903212478463</x:v>
      </x:c>
      <x:c r="Q821" s="133" t="n">
        <x:f>-ABS('Monthly Cash Flow'!$S$5)+((L821-N821-'Assumptions'!$B$27-'Assumptions'!$B$28)*(1-(1+'Assumptions'!$B$43)^-('Assumptions'!$B$14/12))/'Assumptions'!$B$43)+(O821/(1+'Assumptions'!$B$43)^('Assumptions'!$B$14/12))</x:f>
        <x:v>974578.0888259425</x:v>
      </x:c>
    </x:row>
    <x:row r="822">
      <x:c r="A822" s="131" t="n">
        <x:f>815</x:f>
        <x:v>815</x:v>
      </x:c>
      <x:c r="B822" s="131" t="n">
        <x:f>MOD(ABS(SIN((A822+1)*12.9898+78.233)*43758.5453),1)</x:f>
        <x:v>0.54891871694781</x:v>
      </x:c>
      <x:c r="C822" s="131" t="n">
        <x:f>MOD(ABS(SIN((A822+2)*12.9898+78.233)*43758.5453),1)</x:f>
        <x:v>0.19442696457781494</x:v>
      </x:c>
      <x:c r="D822" s="131" t="n">
        <x:f>MOD(ABS(SIN((A822+3)*12.9898+78.233)*43758.5453),1)</x:f>
        <x:v>0.017058157973224297</x:v>
      </x:c>
      <x:c r="E822" s="131" t="n">
        <x:f>MOD(ABS(SIN((A822+4)*12.9898+78.233)*43758.5453),1)</x:f>
        <x:v>0.6038907718248083</x:v>
      </x:c>
      <x:c r="F822" s="131" t="n">
        <x:f>MOD(ABS(SIN((A822+5)*12.9898+78.233)*43758.5453),1)</x:f>
        <x:v>0.9583404905424686</x:v>
      </x:c>
      <x:c r="G822" s="132" t="n">
        <x:f>IF(B822&lt;(('Assumptions'!$C$47-'Assumptions'!$B$47)/('Assumptions'!$D$47-'Assumptions'!$B$47)),'Assumptions'!$B$47+SQRT(B822*('Assumptions'!$D$47-'Assumptions'!$B$47)*('Assumptions'!$C$47-'Assumptions'!$B$47)),'Assumptions'!$D$47-SQRT((1-B822)*('Assumptions'!$D$47-'Assumptions'!$B$47)*('Assumptions'!$D$47-'Assumptions'!$C$47)))</x:f>
        <x:v>0.014778261037303758</x:v>
      </x:c>
      <x:c r="H822" s="132" t="n">
        <x:f>IF(C822&lt;(('Assumptions'!$C$48-'Assumptions'!$B$48)/('Assumptions'!$D$48-'Assumptions'!$B$48)),'Assumptions'!$B$48+SQRT(C822*('Assumptions'!$D$48-'Assumptions'!$B$48)*('Assumptions'!$C$48-'Assumptions'!$B$48)),'Assumptions'!$D$48-SQRT((1-C822)*('Assumptions'!$D$48-'Assumptions'!$B$48)*('Assumptions'!$D$48-'Assumptions'!$C$48)))</x:f>
        <x:v>0.05533000164048138</x:v>
      </x:c>
      <x:c r="I822" s="132" t="n">
        <x:f>IF(D822&lt;(('Assumptions'!$C$49-'Assumptions'!$B$49)/('Assumptions'!$D$49-'Assumptions'!$B$49)),'Assumptions'!$B$49+SQRT(D822*('Assumptions'!$D$49-'Assumptions'!$B$49)*('Assumptions'!$C$49-'Assumptions'!$B$49)),'Assumptions'!$D$49-SQRT((1-D822)*('Assumptions'!$D$49-'Assumptions'!$B$49)*('Assumptions'!$D$49-'Assumptions'!$C$49)))</x:f>
        <x:v>-0.01642693453523404</x:v>
      </x:c>
      <x:c r="J822" s="132" t="n">
        <x:f>IF(E822&lt;(('Assumptions'!$C$50-'Assumptions'!$B$50)/('Assumptions'!$D$50-'Assumptions'!$B$50)),'Assumptions'!$B$50+SQRT(E822*('Assumptions'!$D$50-'Assumptions'!$B$50)*('Assumptions'!$C$50-'Assumptions'!$B$50)),'Assumptions'!$D$50-SQRT((1-E822)*('Assumptions'!$D$50-'Assumptions'!$B$50)*('Assumptions'!$D$50-'Assumptions'!$C$50)))</x:f>
        <x:v>0.06944510917042376</x:v>
      </x:c>
      <x:c r="K822" s="132" t="n">
        <x:f>IF(F822&lt;(('Assumptions'!$C$51-'Assumptions'!$B$51)/('Assumptions'!$D$51-'Assumptions'!$B$51)),'Assumptions'!$B$51+SQRT(F822*('Assumptions'!$D$51-'Assumptions'!$B$51)*('Assumptions'!$C$51-'Assumptions'!$B$51)),'Assumptions'!$D$51-SQRT((1-F822)*('Assumptions'!$D$51-'Assumptions'!$B$51)*('Assumptions'!$D$51-'Assumptions'!$C$51)))</x:f>
        <x:v>0.08052242934992233</x:v>
      </x:c>
      <x:c r="L822" s="133" t="n">
        <x:f>(('Assumptions'!$B$17*(1+G822)+'Assumptions'!$B$18)*(1-H822-'Assumptions'!$B$20)-SUM('Assumptions'!$B$21:$B$25)*(1+I822))-(('Assumptions'!$B$17*(1+G822)+'Assumptions'!$B$18)*(1-H822-'Assumptions'!$B$20)*'Assumptions'!$B$26)</x:f>
        <x:v>220016.54547519848</x:v>
      </x:c>
      <x:c r="M822" s="133" t="n">
        <x:f>'Assumptions'!$B$10*'Assumptions'!$B$33</x:f>
        <x:v>1950000</x:v>
      </x:c>
      <x:c r="N822" s="133" t="n">
        <x:f>-PMT(K822/12,'Assumptions'!$B$35*12,M822)*12</x:f>
        <x:v>172553.891506711</x:v>
      </x:c>
      <x:c r="O822" s="133" t="n">
        <x:f>(L822*(1+'Assumptions'!$B$29)^('Assumptions'!$B$14/12)/J822)*(1-'Assumptions'!$B$42)-'Debt Schedule'!$F$9</x:f>
        <x:v>3452452.0347844516</x:v>
      </x:c>
      <x:c r="P822" s="132" t="n">
        <x:f>((O822+(L822-N822-'Assumptions'!$B$27-'Assumptions'!$B$28)*('Assumptions'!$B$14/12))/ABS('Monthly Cash Flow'!$S$5))^(1/('Assumptions'!$B$14/12))-1</x:f>
        <x:v>0.21937934191177955</x:v>
      </x:c>
      <x:c r="Q822" s="133" t="n">
        <x:f>-ABS('Monthly Cash Flow'!$S$5)+((L822-N822-'Assumptions'!$B$27-'Assumptions'!$B$28)*(1-(1+'Assumptions'!$B$43)^-('Assumptions'!$B$14/12))/'Assumptions'!$B$43)+(O822/(1+'Assumptions'!$B$43)^('Assumptions'!$B$14/12))</x:f>
        <x:v>877490.415165049</x:v>
      </x:c>
    </x:row>
    <x:row r="823">
      <x:c r="A823" s="131" t="n">
        <x:f>816</x:f>
        <x:v>816</x:v>
      </x:c>
      <x:c r="B823" s="131" t="n">
        <x:f>MOD(ABS(SIN((A823+1)*12.9898+78.233)*43758.5453),1)</x:f>
        <x:v>0.19442696457781494</x:v>
      </x:c>
      <x:c r="C823" s="131" t="n">
        <x:f>MOD(ABS(SIN((A823+2)*12.9898+78.233)*43758.5453),1)</x:f>
        <x:v>0.017058157973224297</x:v>
      </x:c>
      <x:c r="D823" s="131" t="n">
        <x:f>MOD(ABS(SIN((A823+3)*12.9898+78.233)*43758.5453),1)</x:f>
        <x:v>0.6038907718248083</x:v>
      </x:c>
      <x:c r="E823" s="131" t="n">
        <x:f>MOD(ABS(SIN((A823+4)*12.9898+78.233)*43758.5453),1)</x:f>
        <x:v>0.9583404905424686</x:v>
      </x:c>
      <x:c r="F823" s="131" t="n">
        <x:f>MOD(ABS(SIN((A823+5)*12.9898+78.233)*43758.5453),1)</x:f>
        <x:v>0.09254218116257107</x:v>
      </x:c>
      <x:c r="G823" s="132" t="n">
        <x:f>IF(B823&lt;(('Assumptions'!$C$47-'Assumptions'!$B$47)/('Assumptions'!$D$47-'Assumptions'!$B$47)),'Assumptions'!$B$47+SQRT(B823*('Assumptions'!$D$47-'Assumptions'!$B$47)*('Assumptions'!$C$47-'Assumptions'!$B$47)),'Assumptions'!$D$47-SQRT((1-B823)*('Assumptions'!$D$47-'Assumptions'!$B$47)*('Assumptions'!$D$47-'Assumptions'!$C$47)))</x:f>
        <x:v>-0.031690065511175036</x:v>
      </x:c>
      <x:c r="H823" s="132" t="n">
        <x:f>IF(C823&lt;(('Assumptions'!$C$48-'Assumptions'!$B$48)/('Assumptions'!$D$48-'Assumptions'!$B$48)),'Assumptions'!$B$48+SQRT(C823*('Assumptions'!$D$48-'Assumptions'!$B$48)*('Assumptions'!$C$48-'Assumptions'!$B$48)),'Assumptions'!$D$48-SQRT((1-C823)*('Assumptions'!$D$48-'Assumptions'!$B$48)*('Assumptions'!$D$48-'Assumptions'!$C$48)))</x:f>
        <x:v>0.037502794233593255</x:v>
      </x:c>
      <x:c r="I823" s="132" t="n">
        <x:f>IF(D823&lt;(('Assumptions'!$C$49-'Assumptions'!$B$49)/('Assumptions'!$D$49-'Assumptions'!$B$49)),'Assumptions'!$B$49+SQRT(D823*('Assumptions'!$D$49-'Assumptions'!$B$49)*('Assumptions'!$C$49-'Assumptions'!$B$49)),'Assumptions'!$D$49-SQRT((1-D823)*('Assumptions'!$D$49-'Assumptions'!$B$49)*('Assumptions'!$D$49-'Assumptions'!$C$49)))</x:f>
        <x:v>0.057501571210186814</x:v>
      </x:c>
      <x:c r="J823" s="132" t="n">
        <x:f>IF(E823&lt;(('Assumptions'!$C$50-'Assumptions'!$B$50)/('Assumptions'!$D$50-'Assumptions'!$B$50)),'Assumptions'!$B$50+SQRT(E823*('Assumptions'!$D$50-'Assumptions'!$B$50)*('Assumptions'!$C$50-'Assumptions'!$B$50)),'Assumptions'!$D$50-SQRT((1-E823)*('Assumptions'!$D$50-'Assumptions'!$B$50)*('Assumptions'!$D$50-'Assumptions'!$C$50)))</x:f>
        <x:v>0.07657702804058655</x:v>
      </x:c>
      <x:c r="K823" s="132" t="n">
        <x:f>IF(F823&lt;(('Assumptions'!$C$51-'Assumptions'!$B$51)/('Assumptions'!$D$51-'Assumptions'!$B$51)),'Assumptions'!$B$51+SQRT(F823*('Assumptions'!$D$51-'Assumptions'!$B$51)*('Assumptions'!$C$51-'Assumptions'!$B$51)),'Assumptions'!$D$51-SQRT((1-F823)*('Assumptions'!$D$51-'Assumptions'!$B$51)*('Assumptions'!$D$51-'Assumptions'!$C$51)))</x:f>
        <x:v>0.06254471008282013</x:v>
      </x:c>
      <x:c r="L823" s="133" t="n">
        <x:f>(('Assumptions'!$B$17*(1+G823)+'Assumptions'!$B$18)*(1-H823-'Assumptions'!$B$20)-SUM('Assumptions'!$B$21:$B$25)*(1+I823))-(('Assumptions'!$B$17*(1+G823)+'Assumptions'!$B$18)*(1-H823-'Assumptions'!$B$20)*'Assumptions'!$B$26)</x:f>
        <x:v>201965.15613348794</x:v>
      </x:c>
      <x:c r="M823" s="133" t="n">
        <x:f>'Assumptions'!$B$10*'Assumptions'!$B$33</x:f>
        <x:v>1950000</x:v>
      </x:c>
      <x:c r="N823" s="133" t="n">
        <x:f>-PMT(K823/12,'Assumptions'!$B$35*12,M823)*12</x:f>
        <x:v>144145.8758441148</x:v>
      </x:c>
      <x:c r="O823" s="133" t="n">
        <x:f>(L823*(1+'Assumptions'!$B$29)^('Assumptions'!$B$14/12)/J823)*(1-'Assumptions'!$B$42)-'Debt Schedule'!$F$9</x:f>
        <x:v>2874034.118114467</x:v>
      </x:c>
      <x:c r="P823" s="132" t="n">
        <x:f>((O823+(L823-N823-'Assumptions'!$B$27-'Assumptions'!$B$28)*('Assumptions'!$B$14/12))/ABS('Monthly Cash Flow'!$S$5))^(1/('Assumptions'!$B$14/12))-1</x:f>
        <x:v>0.18012971386776977</x:v>
      </x:c>
      <x:c r="Q823" s="133" t="n">
        <x:f>-ABS('Monthly Cash Flow'!$S$5)+((L823-N823-'Assumptions'!$B$27-'Assumptions'!$B$28)*(1-(1+'Assumptions'!$B$43)^-('Assumptions'!$B$14/12))/'Assumptions'!$B$43)+(O823/(1+'Assumptions'!$B$43)^('Assumptions'!$B$14/12))</x:f>
        <x:v>557598.1590981227</x:v>
      </x:c>
    </x:row>
    <x:row r="824">
      <x:c r="A824" s="131" t="n">
        <x:f>817</x:f>
        <x:v>817</x:v>
      </x:c>
      <x:c r="B824" s="131" t="n">
        <x:f>MOD(ABS(SIN((A824+1)*12.9898+78.233)*43758.5453),1)</x:f>
        <x:v>0.017058157973224297</x:v>
      </x:c>
      <x:c r="C824" s="131" t="n">
        <x:f>MOD(ABS(SIN((A824+2)*12.9898+78.233)*43758.5453),1)</x:f>
        <x:v>0.6038907718248083</x:v>
      </x:c>
      <x:c r="D824" s="131" t="n">
        <x:f>MOD(ABS(SIN((A824+3)*12.9898+78.233)*43758.5453),1)</x:f>
        <x:v>0.9583404905424686</x:v>
      </x:c>
      <x:c r="E824" s="131" t="n">
        <x:f>MOD(ABS(SIN((A824+4)*12.9898+78.233)*43758.5453),1)</x:f>
        <x:v>0.09254218116257107</x:v>
      </x:c>
      <x:c r="F824" s="131" t="n">
        <x:f>MOD(ABS(SIN((A824+5)*12.9898+78.233)*43758.5453),1)</x:f>
        <x:v>0.8392213410988916</x:v>
      </x:c>
      <x:c r="G824" s="132" t="n">
        <x:f>IF(B824&lt;(('Assumptions'!$C$47-'Assumptions'!$B$47)/('Assumptions'!$D$47-'Assumptions'!$B$47)),'Assumptions'!$B$47+SQRT(B824*('Assumptions'!$D$47-'Assumptions'!$B$47)*('Assumptions'!$C$47-'Assumptions'!$B$47)),'Assumptions'!$D$47-SQRT((1-B824)*('Assumptions'!$D$47-'Assumptions'!$B$47)*('Assumptions'!$D$47-'Assumptions'!$C$47)))</x:f>
        <x:v>-0.07976646863848569</x:v>
      </x:c>
      <x:c r="H824" s="132" t="n">
        <x:f>IF(C824&lt;(('Assumptions'!$C$48-'Assumptions'!$B$48)/('Assumptions'!$D$48-'Assumptions'!$B$48)),'Assumptions'!$B$48+SQRT(C824*('Assumptions'!$D$48-'Assumptions'!$B$48)*('Assumptions'!$C$48-'Assumptions'!$B$48)),'Assumptions'!$D$48-SQRT((1-C824)*('Assumptions'!$D$48-'Assumptions'!$B$48)*('Assumptions'!$D$48-'Assumptions'!$C$48)))</x:f>
        <x:v>0.08095966456784238</x:v>
      </x:c>
      <x:c r="I824" s="132" t="n">
        <x:f>IF(D824&lt;(('Assumptions'!$C$49-'Assumptions'!$B$49)/('Assumptions'!$D$49-'Assumptions'!$B$49)),'Assumptions'!$B$49+SQRT(D824*('Assumptions'!$D$49-'Assumptions'!$B$49)*('Assumptions'!$C$49-'Assumptions'!$B$49)),'Assumptions'!$D$49-SQRT((1-D824)*('Assumptions'!$D$49-'Assumptions'!$B$49)*('Assumptions'!$D$49-'Assumptions'!$C$49)))</x:f>
        <x:v>0.1200025767059456</x:v>
      </x:c>
      <x:c r="J824" s="132" t="n">
        <x:f>IF(E824&lt;(('Assumptions'!$C$50-'Assumptions'!$B$50)/('Assumptions'!$D$50-'Assumptions'!$B$50)),'Assumptions'!$B$50+SQRT(E824*('Assumptions'!$D$50-'Assumptions'!$B$50)*('Assumptions'!$C$50-'Assumptions'!$B$50)),'Assumptions'!$D$50-SQRT((1-E824)*('Assumptions'!$D$50-'Assumptions'!$B$50)*('Assumptions'!$D$50-'Assumptions'!$C$50)))</x:f>
        <x:v>0.0620631119602283</x:v>
      </x:c>
      <x:c r="K824" s="132" t="n">
        <x:f>IF(F824&lt;(('Assumptions'!$C$51-'Assumptions'!$B$51)/('Assumptions'!$D$51-'Assumptions'!$B$51)),'Assumptions'!$B$51+SQRT(F824*('Assumptions'!$D$51-'Assumptions'!$B$51)*('Assumptions'!$C$51-'Assumptions'!$B$51)),'Assumptions'!$D$51-SQRT((1-F824)*('Assumptions'!$D$51-'Assumptions'!$B$51)*('Assumptions'!$D$51-'Assumptions'!$C$51)))</x:f>
        <x:v>0.07620370932744044</x:v>
      </x:c>
      <x:c r="L824" s="133" t="n">
        <x:f>(('Assumptions'!$B$17*(1+G824)+'Assumptions'!$B$18)*(1-H824-'Assumptions'!$B$20)-SUM('Assumptions'!$B$21:$B$25)*(1+I824))-(('Assumptions'!$B$17*(1+G824)+'Assumptions'!$B$18)*(1-H824-'Assumptions'!$B$20)*'Assumptions'!$B$26)</x:f>
        <x:v>163692.45228868592</x:v>
      </x:c>
      <x:c r="M824" s="133" t="n">
        <x:f>'Assumptions'!$B$10*'Assumptions'!$B$33</x:f>
        <x:v>1950000</x:v>
      </x:c>
      <x:c r="N824" s="133" t="n">
        <x:f>-PMT(K824/12,'Assumptions'!$B$35*12,M824)*12</x:f>
        <x:v>165549.2275854944</x:v>
      </x:c>
      <x:c r="O824" s="133" t="n">
        <x:f>(L824*(1+'Assumptions'!$B$29)^('Assumptions'!$B$14/12)/J824)*(1-'Assumptions'!$B$42)-'Debt Schedule'!$F$9</x:f>
        <x:v>2874147.7102431026</x:v>
      </x:c>
      <x:c r="P824" s="132" t="n">
        <x:f>((O824+(L824-N824-'Assumptions'!$B$27-'Assumptions'!$B$28)*('Assumptions'!$B$14/12))/ABS('Monthly Cash Flow'!$S$5))^(1/('Assumptions'!$B$14/12))-1</x:f>
        <x:v>0.15535272662155286</x:v>
      </x:c>
      <x:c r="Q824" s="133" t="n">
        <x:f>-ABS('Monthly Cash Flow'!$S$5)+((L824-N824-'Assumptions'!$B$27-'Assumptions'!$B$28)*(1-(1+'Assumptions'!$B$43)^-('Assumptions'!$B$14/12))/'Assumptions'!$B$43)+(O824/(1+'Assumptions'!$B$43)^('Assumptions'!$B$14/12))</x:f>
        <x:v>331449.48890634393</x:v>
      </x:c>
    </x:row>
    <x:row r="825">
      <x:c r="A825" s="131" t="n">
        <x:f>818</x:f>
        <x:v>818</x:v>
      </x:c>
      <x:c r="B825" s="131" t="n">
        <x:f>MOD(ABS(SIN((A825+1)*12.9898+78.233)*43758.5453),1)</x:f>
        <x:v>0.6038907718248083</x:v>
      </x:c>
      <x:c r="C825" s="131" t="n">
        <x:f>MOD(ABS(SIN((A825+2)*12.9898+78.233)*43758.5453),1)</x:f>
        <x:v>0.9583404905424686</x:v>
      </x:c>
      <x:c r="D825" s="131" t="n">
        <x:f>MOD(ABS(SIN((A825+3)*12.9898+78.233)*43758.5453),1)</x:f>
        <x:v>0.09254218116257107</x:v>
      </x:c>
      <x:c r="E825" s="131" t="n">
        <x:f>MOD(ABS(SIN((A825+4)*12.9898+78.233)*43758.5453),1)</x:f>
        <x:v>0.8392213410988916</x:v>
      </x:c>
      <x:c r="F825" s="131" t="n">
        <x:f>MOD(ABS(SIN((A825+5)*12.9898+78.233)*43758.5453),1)</x:f>
        <x:v>0.4844212289317511</x:v>
      </x:c>
      <x:c r="G825" s="132" t="n">
        <x:f>IF(B825&lt;(('Assumptions'!$C$47-'Assumptions'!$B$47)/('Assumptions'!$D$47-'Assumptions'!$B$47)),'Assumptions'!$B$47+SQRT(B825*('Assumptions'!$D$47-'Assumptions'!$B$47)*('Assumptions'!$C$47-'Assumptions'!$B$47)),'Assumptions'!$D$47-SQRT((1-B825)*('Assumptions'!$D$47-'Assumptions'!$B$47)*('Assumptions'!$D$47-'Assumptions'!$C$47)))</x:f>
        <x:v>0.02039002794371131</x:v>
      </x:c>
      <x:c r="H825" s="132" t="n">
        <x:f>IF(C825&lt;(('Assumptions'!$C$48-'Assumptions'!$B$48)/('Assumptions'!$D$48-'Assumptions'!$B$48)),'Assumptions'!$B$48+SQRT(C825*('Assumptions'!$D$48-'Assumptions'!$B$48)*('Assumptions'!$C$48-'Assumptions'!$B$48)),'Assumptions'!$D$48-SQRT((1-C825)*('Assumptions'!$D$48-'Assumptions'!$B$48)*('Assumptions'!$D$48-'Assumptions'!$C$48)))</x:f>
        <x:v>0.12085310251695394</x:v>
      </x:c>
      <x:c r="I825" s="132" t="n">
        <x:f>IF(D825&lt;(('Assumptions'!$C$49-'Assumptions'!$B$49)/('Assumptions'!$D$49-'Assumptions'!$B$49)),'Assumptions'!$B$49+SQRT(D825*('Assumptions'!$D$49-'Assumptions'!$B$49)*('Assumptions'!$C$49-'Assumptions'!$B$49)),'Assumptions'!$D$49-SQRT((1-D825)*('Assumptions'!$D$49-'Assumptions'!$B$49)*('Assumptions'!$D$49-'Assumptions'!$C$49)))</x:f>
        <x:v>0.001614167022962465</x:v>
      </x:c>
      <x:c r="J825" s="132" t="n">
        <x:f>IF(E825&lt;(('Assumptions'!$C$50-'Assumptions'!$B$50)/('Assumptions'!$D$50-'Assumptions'!$B$50)),'Assumptions'!$B$50+SQRT(E825*('Assumptions'!$D$50-'Assumptions'!$B$50)*('Assumptions'!$C$50-'Assumptions'!$B$50)),'Assumptions'!$D$50-SQRT((1-E825)*('Assumptions'!$D$50-'Assumptions'!$B$50)*('Assumptions'!$D$50-'Assumptions'!$C$50)))</x:f>
        <x:v>0.07327549274549156</x:v>
      </x:c>
      <x:c r="K825" s="132" t="n">
        <x:f>IF(F825&lt;(('Assumptions'!$C$51-'Assumptions'!$B$51)/('Assumptions'!$D$51-'Assumptions'!$B$51)),'Assumptions'!$B$51+SQRT(F825*('Assumptions'!$D$51-'Assumptions'!$B$51)*('Assumptions'!$C$51-'Assumptions'!$B$51)),'Assumptions'!$D$51-SQRT((1-F825)*('Assumptions'!$D$51-'Assumptions'!$B$51)*('Assumptions'!$D$51-'Assumptions'!$C$51)))</x:f>
        <x:v>0.0692481022230147</x:v>
      </x:c>
      <x:c r="L825" s="133" t="n">
        <x:f>(('Assumptions'!$B$17*(1+G825)+'Assumptions'!$B$18)*(1-H825-'Assumptions'!$B$20)-SUM('Assumptions'!$B$21:$B$25)*(1+I825))-(('Assumptions'!$B$17*(1+G825)+'Assumptions'!$B$18)*(1-H825-'Assumptions'!$B$20)*'Assumptions'!$B$26)</x:f>
        <x:v>195317.33995824048</x:v>
      </x:c>
      <x:c r="M825" s="133" t="n">
        <x:f>'Assumptions'!$B$10*'Assumptions'!$B$33</x:f>
        <x:v>1950000</x:v>
      </x:c>
      <x:c r="N825" s="133" t="n">
        <x:f>-PMT(K825/12,'Assumptions'!$B$35*12,M825)*12</x:f>
        <x:v>154500.94729441582</x:v>
      </x:c>
      <x:c r="O825" s="133" t="n">
        <x:f>(L825*(1+'Assumptions'!$B$29)^('Assumptions'!$B$14/12)/J825)*(1-'Assumptions'!$B$42)-'Debt Schedule'!$F$9</x:f>
        <x:v>2904664.8584895865</x:v>
      </x:c>
      <x:c r="P825" s="132" t="n">
        <x:f>((O825+(L825-N825-'Assumptions'!$B$27-'Assumptions'!$B$28)*('Assumptions'!$B$14/12))/ABS('Monthly Cash Flow'!$S$5))^(1/('Assumptions'!$B$14/12))-1</x:f>
        <x:v>0.1757656642871912</x:v>
      </x:c>
      <x:c r="Q825" s="133" t="n">
        <x:f>-ABS('Monthly Cash Flow'!$S$5)+((L825-N825-'Assumptions'!$B$27-'Assumptions'!$B$28)*(1-(1+'Assumptions'!$B$43)^-('Assumptions'!$B$14/12))/'Assumptions'!$B$43)+(O825/(1+'Assumptions'!$B$43)^('Assumptions'!$B$14/12))</x:f>
        <x:v>512163.1174854557</x:v>
      </x:c>
    </x:row>
    <x:row r="826">
      <x:c r="A826" s="131" t="n">
        <x:f>819</x:f>
        <x:v>819</x:v>
      </x:c>
      <x:c r="B826" s="131" t="n">
        <x:f>MOD(ABS(SIN((A826+1)*12.9898+78.233)*43758.5453),1)</x:f>
        <x:v>0.9583404905424686</x:v>
      </x:c>
      <x:c r="C826" s="131" t="n">
        <x:f>MOD(ABS(SIN((A826+2)*12.9898+78.233)*43758.5453),1)</x:f>
        <x:v>0.09254218116257107</x:v>
      </x:c>
      <x:c r="D826" s="131" t="n">
        <x:f>MOD(ABS(SIN((A826+3)*12.9898+78.233)*43758.5453),1)</x:f>
        <x:v>0.8392213410988916</x:v>
      </x:c>
      <x:c r="E826" s="131" t="n">
        <x:f>MOD(ABS(SIN((A826+4)*12.9898+78.233)*43758.5453),1)</x:f>
        <x:v>0.4844212289317511</x:v>
      </x:c>
      <x:c r="F826" s="131" t="n">
        <x:f>MOD(ABS(SIN((A826+5)*12.9898+78.233)*43758.5453),1)</x:f>
        <x:v>0.28325300839424017</x:v>
      </x:c>
      <x:c r="G826" s="132" t="n">
        <x:f>IF(B826&lt;(('Assumptions'!$C$47-'Assumptions'!$B$47)/('Assumptions'!$D$47-'Assumptions'!$B$47)),'Assumptions'!$B$47+SQRT(B826*('Assumptions'!$D$47-'Assumptions'!$B$47)*('Assumptions'!$C$47-'Assumptions'!$B$47)),'Assumptions'!$D$47-SQRT((1-B826)*('Assumptions'!$D$47-'Assumptions'!$B$47)*('Assumptions'!$D$47-'Assumptions'!$C$47)))</x:f>
        <x:v>0.07418232870066509</x:v>
      </x:c>
      <x:c r="H826" s="132" t="n">
        <x:f>IF(C826&lt;(('Assumptions'!$C$48-'Assumptions'!$B$48)/('Assumptions'!$D$48-'Assumptions'!$B$48)),'Assumptions'!$B$48+SQRT(C826*('Assumptions'!$D$48-'Assumptions'!$B$48)*('Assumptions'!$C$48-'Assumptions'!$B$48)),'Assumptions'!$D$48-SQRT((1-C826)*('Assumptions'!$D$48-'Assumptions'!$B$48)*('Assumptions'!$D$48-'Assumptions'!$C$48)))</x:f>
        <x:v>0.04747538834579891</x:v>
      </x:c>
      <x:c r="I826" s="132" t="n">
        <x:f>IF(D826&lt;(('Assumptions'!$C$49-'Assumptions'!$B$49)/('Assumptions'!$D$49-'Assumptions'!$B$49)),'Assumptions'!$B$49+SQRT(D826*('Assumptions'!$D$49-'Assumptions'!$B$49)*('Assumptions'!$C$49-'Assumptions'!$B$49)),'Assumptions'!$D$49-SQRT((1-D826)*('Assumptions'!$D$49-'Assumptions'!$B$49)*('Assumptions'!$D$49-'Assumptions'!$C$49)))</x:f>
        <x:v>0.09106937101757744</x:v>
      </x:c>
      <x:c r="J826" s="132" t="n">
        <x:f>IF(E826&lt;(('Assumptions'!$C$50-'Assumptions'!$B$50)/('Assumptions'!$D$50-'Assumptions'!$B$50)),'Assumptions'!$B$50+SQRT(E826*('Assumptions'!$D$50-'Assumptions'!$B$50)*('Assumptions'!$C$50-'Assumptions'!$B$50)),'Assumptions'!$D$50-SQRT((1-E826)*('Assumptions'!$D$50-'Assumptions'!$B$50)*('Assumptions'!$D$50-'Assumptions'!$C$50)))</x:f>
        <x:v>0.0679581343072203</x:v>
      </x:c>
      <x:c r="K826" s="132" t="n">
        <x:f>IF(F826&lt;(('Assumptions'!$C$51-'Assumptions'!$B$51)/('Assumptions'!$D$51-'Assumptions'!$B$51)),'Assumptions'!$B$51+SQRT(F826*('Assumptions'!$D$51-'Assumptions'!$B$51)*('Assumptions'!$C$51-'Assumptions'!$B$51)),'Assumptions'!$D$51-SQRT((1-F826)*('Assumptions'!$D$51-'Assumptions'!$B$51)*('Assumptions'!$D$51-'Assumptions'!$C$51)))</x:f>
        <x:v>0.0663257904636591</x:v>
      </x:c>
      <x:c r="L826" s="133" t="n">
        <x:f>(('Assumptions'!$B$17*(1+G826)+'Assumptions'!$B$18)*(1-H826-'Assumptions'!$B$20)-SUM('Assumptions'!$B$21:$B$25)*(1+I826))-(('Assumptions'!$B$17*(1+G826)+'Assumptions'!$B$18)*(1-H826-'Assumptions'!$B$20)*'Assumptions'!$B$26)</x:f>
        <x:v>228712.4828710104</x:v>
      </x:c>
      <x:c r="M826" s="133" t="n">
        <x:f>'Assumptions'!$B$10*'Assumptions'!$B$33</x:f>
        <x:v>1950000</x:v>
      </x:c>
      <x:c r="N826" s="133" t="n">
        <x:f>-PMT(K826/12,'Assumptions'!$B$35*12,M826)*12</x:f>
        <x:v>149950.04948298726</x:v>
      </x:c>
      <x:c r="O826" s="133" t="n">
        <x:f>(L826*(1+'Assumptions'!$B$29)^('Assumptions'!$B$14/12)/J826)*(1-'Assumptions'!$B$42)-'Debt Schedule'!$F$9</x:f>
        <x:v>3667434.7712779474</x:v>
      </x:c>
      <x:c r="P826" s="132" t="n">
        <x:f>((O826+(L826-N826-'Assumptions'!$B$27-'Assumptions'!$B$28)*('Assumptions'!$B$14/12))/ABS('Monthly Cash Flow'!$S$5))^(1/('Assumptions'!$B$14/12))-1</x:f>
        <x:v>0.24430000947974229</x:v>
      </x:c>
      <x:c r="Q826" s="133" t="n">
        <x:f>-ABS('Monthly Cash Flow'!$S$5)+((L826-N826-'Assumptions'!$B$27-'Assumptions'!$B$28)*(1-(1+'Assumptions'!$B$43)^-('Assumptions'!$B$14/12))/'Assumptions'!$B$43)+(O826/(1+'Assumptions'!$B$43)^('Assumptions'!$B$14/12))</x:f>
        <x:v>1129628.570052447</x:v>
      </x:c>
    </x:row>
    <x:row r="827">
      <x:c r="A827" s="131" t="n">
        <x:f>820</x:f>
        <x:v>820</x:v>
      </x:c>
      <x:c r="B827" s="131" t="n">
        <x:f>MOD(ABS(SIN((A827+1)*12.9898+78.233)*43758.5453),1)</x:f>
        <x:v>0.09254218116257107</x:v>
      </x:c>
      <x:c r="C827" s="131" t="n">
        <x:f>MOD(ABS(SIN((A827+2)*12.9898+78.233)*43758.5453),1)</x:f>
        <x:v>0.8392213410988916</x:v>
      </x:c>
      <x:c r="D827" s="131" t="n">
        <x:f>MOD(ABS(SIN((A827+3)*12.9898+78.233)*43758.5453),1)</x:f>
        <x:v>0.4844212289317511</x:v>
      </x:c>
      <x:c r="E827" s="131" t="n">
        <x:f>MOD(ABS(SIN((A827+4)*12.9898+78.233)*43758.5453),1)</x:f>
        <x:v>0.28325300839424017</x:v>
      </x:c>
      <x:c r="F827" s="131" t="n">
        <x:f>MOD(ABS(SIN((A827+5)*12.9898+78.233)*43758.5453),1)</x:f>
        <x:v>0.19728826262507937</x:v>
      </x:c>
      <x:c r="G827" s="132" t="n">
        <x:f>IF(B827&lt;(('Assumptions'!$C$47-'Assumptions'!$B$47)/('Assumptions'!$D$47-'Assumptions'!$B$47)),'Assumptions'!$B$47+SQRT(B827*('Assumptions'!$D$47-'Assumptions'!$B$47)*('Assumptions'!$C$47-'Assumptions'!$B$47)),'Assumptions'!$D$47-SQRT((1-B827)*('Assumptions'!$D$47-'Assumptions'!$B$47)*('Assumptions'!$D$47-'Assumptions'!$C$47)))</x:f>
        <x:v>-0.052872382323082515</x:v>
      </x:c>
      <x:c r="H827" s="132" t="n">
        <x:f>IF(C827&lt;(('Assumptions'!$C$48-'Assumptions'!$B$48)/('Assumptions'!$D$48-'Assumptions'!$B$48)),'Assumptions'!$B$48+SQRT(C827*('Assumptions'!$D$48-'Assumptions'!$B$48)*('Assumptions'!$C$48-'Assumptions'!$B$48)),'Assumptions'!$D$48-SQRT((1-C827)*('Assumptions'!$D$48-'Assumptions'!$B$48)*('Assumptions'!$D$48-'Assumptions'!$C$48)))</x:f>
        <x:v>0.1023854788900649</x:v>
      </x:c>
      <x:c r="I827" s="132" t="n">
        <x:f>IF(D827&lt;(('Assumptions'!$C$49-'Assumptions'!$B$49)/('Assumptions'!$D$49-'Assumptions'!$B$49)),'Assumptions'!$B$49+SQRT(D827*('Assumptions'!$D$49-'Assumptions'!$B$49)*('Assumptions'!$C$49-'Assumptions'!$B$49)),'Assumptions'!$D$49-SQRT((1-D827)*('Assumptions'!$D$49-'Assumptions'!$B$49)*('Assumptions'!$D$49-'Assumptions'!$C$49)))</x:f>
        <x:v>0.04447037640987164</x:v>
      </x:c>
      <x:c r="J827" s="132" t="n">
        <x:f>IF(E827&lt;(('Assumptions'!$C$50-'Assumptions'!$B$50)/('Assumptions'!$D$50-'Assumptions'!$B$50)),'Assumptions'!$B$50+SQRT(E827*('Assumptions'!$D$50-'Assumptions'!$B$50)*('Assumptions'!$C$50-'Assumptions'!$B$50)),'Assumptions'!$D$50-SQRT((1-E827)*('Assumptions'!$D$50-'Assumptions'!$B$50)*('Assumptions'!$D$50-'Assumptions'!$C$50)))</x:f>
        <x:v>0.06548322784897839</x:v>
      </x:c>
      <x:c r="K827" s="132" t="n">
        <x:f>IF(F827&lt;(('Assumptions'!$C$51-'Assumptions'!$B$51)/('Assumptions'!$D$51-'Assumptions'!$B$51)),'Assumptions'!$B$51+SQRT(F827*('Assumptions'!$D$51-'Assumptions'!$B$51)*('Assumptions'!$C$51-'Assumptions'!$B$51)),'Assumptions'!$D$51-SQRT((1-F827)*('Assumptions'!$D$51-'Assumptions'!$B$51)*('Assumptions'!$D$51-'Assumptions'!$C$51)))</x:f>
        <x:v>0.0648657499429384</x:v>
      </x:c>
      <x:c r="L827" s="133" t="n">
        <x:f>(('Assumptions'!$B$17*(1+G827)+'Assumptions'!$B$18)*(1-H827-'Assumptions'!$B$20)-SUM('Assumptions'!$B$21:$B$25)*(1+I827))-(('Assumptions'!$B$17*(1+G827)+'Assumptions'!$B$18)*(1-H827-'Assumptions'!$B$20)*'Assumptions'!$B$26)</x:f>
        <x:v>174275.18027724273</x:v>
      </x:c>
      <x:c r="M827" s="133" t="n">
        <x:f>'Assumptions'!$B$10*'Assumptions'!$B$33</x:f>
        <x:v>1950000</x:v>
      </x:c>
      <x:c r="N827" s="133" t="n">
        <x:f>-PMT(K827/12,'Assumptions'!$B$35*12,M827)*12</x:f>
        <x:v>147697.38024466645</x:v>
      </x:c>
      <x:c r="O827" s="133" t="n">
        <x:f>(L827*(1+'Assumptions'!$B$29)^('Assumptions'!$B$14/12)/J827)*(1-'Assumptions'!$B$42)-'Debt Schedule'!$F$9</x:f>
        <x:v>2900143.17605095</x:v>
      </x:c>
      <x:c r="P827" s="132" t="n">
        <x:f>((O827+(L827-N827-'Assumptions'!$B$27-'Assumptions'!$B$28)*('Assumptions'!$B$14/12))/ABS('Monthly Cash Flow'!$S$5))^(1/('Assumptions'!$B$14/12))-1</x:f>
        <x:v>0.16957988496047394</x:v>
      </x:c>
      <x:c r="Q827" s="133" t="n">
        <x:f>-ABS('Monthly Cash Flow'!$S$5)+((L827-N827-'Assumptions'!$B$27-'Assumptions'!$B$28)*(1-(1+'Assumptions'!$B$43)^-('Assumptions'!$B$14/12))/'Assumptions'!$B$43)+(O827/(1+'Assumptions'!$B$43)^('Assumptions'!$B$14/12))</x:f>
        <x:v>455380.0398816713</x:v>
      </x:c>
    </x:row>
    <x:row r="828">
      <x:c r="A828" s="131" t="n">
        <x:f>821</x:f>
        <x:v>821</x:v>
      </x:c>
      <x:c r="B828" s="131" t="n">
        <x:f>MOD(ABS(SIN((A828+1)*12.9898+78.233)*43758.5453),1)</x:f>
        <x:v>0.8392213410988916</x:v>
      </x:c>
      <x:c r="C828" s="131" t="n">
        <x:f>MOD(ABS(SIN((A828+2)*12.9898+78.233)*43758.5453),1)</x:f>
        <x:v>0.4844212289317511</x:v>
      </x:c>
      <x:c r="D828" s="131" t="n">
        <x:f>MOD(ABS(SIN((A828+3)*12.9898+78.233)*43758.5453),1)</x:f>
        <x:v>0.28325300839424017</x:v>
      </x:c>
      <x:c r="E828" s="131" t="n">
        <x:f>MOD(ABS(SIN((A828+4)*12.9898+78.233)*43758.5453),1)</x:f>
        <x:v>0.19728826262507937</x:v>
      </x:c>
      <x:c r="F828" s="131" t="n">
        <x:f>MOD(ABS(SIN((A828+5)*12.9898+78.233)*43758.5453),1)</x:f>
        <x:v>0.9611957357083156</x:v>
      </x:c>
      <x:c r="G828" s="132" t="n">
        <x:f>IF(B828&lt;(('Assumptions'!$C$47-'Assumptions'!$B$47)/('Assumptions'!$D$47-'Assumptions'!$B$47)),'Assumptions'!$B$47+SQRT(B828*('Assumptions'!$D$47-'Assumptions'!$B$47)*('Assumptions'!$C$47-'Assumptions'!$B$47)),'Assumptions'!$D$47-SQRT((1-B828)*('Assumptions'!$D$47-'Assumptions'!$B$47)*('Assumptions'!$D$47-'Assumptions'!$C$47)))</x:f>
        <x:v>0.049280590082122065</x:v>
      </x:c>
      <x:c r="H828" s="132" t="n">
        <x:f>IF(C828&lt;(('Assumptions'!$C$48-'Assumptions'!$B$48)/('Assumptions'!$D$48-'Assumptions'!$B$48)),'Assumptions'!$B$48+SQRT(C828*('Assumptions'!$D$48-'Assumptions'!$B$48)*('Assumptions'!$C$48-'Assumptions'!$B$48)),'Assumptions'!$D$48-SQRT((1-C828)*('Assumptions'!$D$48-'Assumptions'!$B$48)*('Assumptions'!$D$48-'Assumptions'!$C$48)))</x:f>
        <x:v>0.0726420518023256</x:v>
      </x:c>
      <x:c r="I828" s="132" t="n">
        <x:f>IF(D828&lt;(('Assumptions'!$C$49-'Assumptions'!$B$49)/('Assumptions'!$D$49-'Assumptions'!$B$49)),'Assumptions'!$B$49+SQRT(D828*('Assumptions'!$D$49-'Assumptions'!$B$49)*('Assumptions'!$C$49-'Assumptions'!$B$49)),'Assumptions'!$D$49-SQRT((1-D828)*('Assumptions'!$D$49-'Assumptions'!$B$49)*('Assumptions'!$D$49-'Assumptions'!$C$49)))</x:f>
        <x:v>0.02530942497131744</x:v>
      </x:c>
      <x:c r="J828" s="132" t="n">
        <x:f>IF(E828&lt;(('Assumptions'!$C$50-'Assumptions'!$B$50)/('Assumptions'!$D$50-'Assumptions'!$B$50)),'Assumptions'!$B$50+SQRT(E828*('Assumptions'!$D$50-'Assumptions'!$B$50)*('Assumptions'!$C$50-'Assumptions'!$B$50)),'Assumptions'!$D$50-SQRT((1-E828)*('Assumptions'!$D$50-'Assumptions'!$B$50)*('Assumptions'!$D$50-'Assumptions'!$C$50)))</x:f>
        <x:v>0.06416257150735682</x:v>
      </x:c>
      <x:c r="K828" s="132" t="n">
        <x:f>IF(F828&lt;(('Assumptions'!$C$51-'Assumptions'!$B$51)/('Assumptions'!$D$51-'Assumptions'!$B$51)),'Assumptions'!$B$51+SQRT(F828*('Assumptions'!$D$51-'Assumptions'!$B$51)*('Assumptions'!$C$51-'Assumptions'!$B$51)),'Assumptions'!$D$51-SQRT((1-F828)*('Assumptions'!$D$51-'Assumptions'!$B$51)*('Assumptions'!$D$51-'Assumptions'!$C$51)))</x:f>
        <x:v>0.08067859372537445</x:v>
      </x:c>
      <x:c r="L828" s="133" t="n">
        <x:f>(('Assumptions'!$B$17*(1+G828)+'Assumptions'!$B$18)*(1-H828-'Assumptions'!$B$20)-SUM('Assumptions'!$B$21:$B$25)*(1+I828))-(('Assumptions'!$B$17*(1+G828)+'Assumptions'!$B$18)*(1-H828-'Assumptions'!$B$20)*'Assumptions'!$B$26)</x:f>
        <x:v>219325.72910646687</x:v>
      </x:c>
      <x:c r="M828" s="133" t="n">
        <x:f>'Assumptions'!$B$10*'Assumptions'!$B$33</x:f>
        <x:v>1950000</x:v>
      </x:c>
      <x:c r="N828" s="133" t="n">
        <x:f>-PMT(K828/12,'Assumptions'!$B$35*12,M828)*12</x:f>
        <x:v>172809.15974183445</x:v>
      </x:c>
      <x:c r="O828" s="133" t="n">
        <x:f>(L828*(1+'Assumptions'!$B$29)^('Assumptions'!$B$14/12)/J828)*(1-'Assumptions'!$B$42)-'Debt Schedule'!$F$9</x:f>
        <x:v>3724961.5791640105</x:v>
      </x:c>
      <x:c r="P828" s="132" t="n">
        <x:f>((O828+(L828-N828-'Assumptions'!$B$27-'Assumptions'!$B$28)*('Assumptions'!$B$14/12))/ABS('Monthly Cash Flow'!$S$5))^(1/('Assumptions'!$B$14/12))-1</x:f>
        <x:v>0.23754333017406792</x:v>
      </x:c>
      <x:c r="Q828" s="133" t="n">
        <x:f>-ABS('Monthly Cash Flow'!$S$5)+((L828-N828-'Assumptions'!$B$27-'Assumptions'!$B$28)*(1-(1+'Assumptions'!$B$43)^-('Assumptions'!$B$14/12))/'Assumptions'!$B$43)+(O828/(1+'Assumptions'!$B$43)^('Assumptions'!$B$14/12))</x:f>
        <x:v>1043110.9970084175</x:v>
      </x:c>
    </x:row>
    <x:row r="829">
      <x:c r="A829" s="131" t="n">
        <x:f>822</x:f>
        <x:v>822</x:v>
      </x:c>
      <x:c r="B829" s="131" t="n">
        <x:f>MOD(ABS(SIN((A829+1)*12.9898+78.233)*43758.5453),1)</x:f>
        <x:v>0.4844212289317511</x:v>
      </x:c>
      <x:c r="C829" s="131" t="n">
        <x:f>MOD(ABS(SIN((A829+2)*12.9898+78.233)*43758.5453),1)</x:f>
        <x:v>0.28325300839424017</x:v>
      </x:c>
      <x:c r="D829" s="131" t="n">
        <x:f>MOD(ABS(SIN((A829+3)*12.9898+78.233)*43758.5453),1)</x:f>
        <x:v>0.19728826262507937</x:v>
      </x:c>
      <x:c r="E829" s="131" t="n">
        <x:f>MOD(ABS(SIN((A829+4)*12.9898+78.233)*43758.5453),1)</x:f>
        <x:v>0.9611957357083156</x:v>
      </x:c>
      <x:c r="F829" s="131" t="n">
        <x:f>MOD(ABS(SIN((A829+5)*12.9898+78.233)*43758.5453),1)</x:f>
        <x:v>0.8028339076918201</x:v>
      </x:c>
      <x:c r="G829" s="132" t="n">
        <x:f>IF(B829&lt;(('Assumptions'!$C$47-'Assumptions'!$B$47)/('Assumptions'!$D$47-'Assumptions'!$B$47)),'Assumptions'!$B$47+SQRT(B829*('Assumptions'!$D$47-'Assumptions'!$B$47)*('Assumptions'!$C$47-'Assumptions'!$B$47)),'Assumptions'!$D$47-SQRT((1-B829)*('Assumptions'!$D$47-'Assumptions'!$B$47)*('Assumptions'!$D$47-'Assumptions'!$C$47)))</x:f>
        <x:v>0.007824438298384043</x:v>
      </x:c>
      <x:c r="H829" s="132" t="n">
        <x:f>IF(C829&lt;(('Assumptions'!$C$48-'Assumptions'!$B$48)/('Assumptions'!$D$48-'Assumptions'!$B$48)),'Assumptions'!$B$48+SQRT(C829*('Assumptions'!$D$48-'Assumptions'!$B$48)*('Assumptions'!$C$48-'Assumptions'!$B$48)),'Assumptions'!$D$48-SQRT((1-C829)*('Assumptions'!$D$48-'Assumptions'!$B$48)*('Assumptions'!$D$48-'Assumptions'!$C$48)))</x:f>
        <x:v>0.06058102540242234</x:v>
      </x:c>
      <x:c r="I829" s="132" t="n">
        <x:f>IF(D829&lt;(('Assumptions'!$C$49-'Assumptions'!$B$49)/('Assumptions'!$D$49-'Assumptions'!$B$49)),'Assumptions'!$B$49+SQRT(D829*('Assumptions'!$D$49-'Assumptions'!$B$49)*('Assumptions'!$C$49-'Assumptions'!$B$49)),'Assumptions'!$D$49-SQRT((1-D829)*('Assumptions'!$D$49-'Assumptions'!$B$49)*('Assumptions'!$D$49-'Assumptions'!$C$49)))</x:f>
        <x:v>0.016159649439211055</x:v>
      </x:c>
      <x:c r="J829" s="132" t="n">
        <x:f>IF(E829&lt;(('Assumptions'!$C$50-'Assumptions'!$B$50)/('Assumptions'!$D$50-'Assumptions'!$B$50)),'Assumptions'!$B$50+SQRT(E829*('Assumptions'!$D$50-'Assumptions'!$B$50)*('Assumptions'!$C$50-'Assumptions'!$B$50)),'Assumptions'!$D$50-SQRT((1-E829)*('Assumptions'!$D$50-'Assumptions'!$B$50)*('Assumptions'!$D$50-'Assumptions'!$C$50)))</x:f>
        <x:v>0.07669641114361424</x:v>
      </x:c>
      <x:c r="K829" s="132" t="n">
        <x:f>IF(F829&lt;(('Assumptions'!$C$51-'Assumptions'!$B$51)/('Assumptions'!$D$51-'Assumptions'!$B$51)),'Assumptions'!$B$51+SQRT(F829*('Assumptions'!$D$51-'Assumptions'!$B$51)*('Assumptions'!$C$51-'Assumptions'!$B$51)),'Assumptions'!$D$51-SQRT((1-F829)*('Assumptions'!$D$51-'Assumptions'!$B$51)*('Assumptions'!$D$51-'Assumptions'!$C$51)))</x:f>
        <x:v>0.07525904614920534</x:v>
      </x:c>
      <x:c r="L829" s="133" t="n">
        <x:f>(('Assumptions'!$B$17*(1+G829)+'Assumptions'!$B$18)*(1-H829-'Assumptions'!$B$20)-SUM('Assumptions'!$B$21:$B$25)*(1+I829))-(('Assumptions'!$B$17*(1+G829)+'Assumptions'!$B$18)*(1-H829-'Assumptions'!$B$20)*'Assumptions'!$B$26)</x:f>
        <x:v>211744.70757141017</x:v>
      </x:c>
      <x:c r="M829" s="133" t="n">
        <x:f>'Assumptions'!$B$10*'Assumptions'!$B$33</x:f>
        <x:v>1950000</x:v>
      </x:c>
      <x:c r="N829" s="133" t="n">
        <x:f>-PMT(K829/12,'Assumptions'!$B$35*12,M829)*12</x:f>
        <x:v>164031.47000348783</x:v>
      </x:c>
      <x:c r="O829" s="133" t="n">
        <x:f>(L829*(1+'Assumptions'!$B$29)^('Assumptions'!$B$14/12)/J829)*(1-'Assumptions'!$B$42)-'Debt Schedule'!$F$9</x:f>
        <x:v>3008510.273502101</x:v>
      </x:c>
      <x:c r="P829" s="132" t="n">
        <x:f>((O829+(L829-N829-'Assumptions'!$B$27-'Assumptions'!$B$28)*('Assumptions'!$B$14/12))/ABS('Monthly Cash Flow'!$S$5))^(1/('Assumptions'!$B$14/12))-1</x:f>
        <x:v>0.18674185446262093</x:v>
      </x:c>
      <x:c r="Q829" s="133" t="n">
        <x:f>-ABS('Monthly Cash Flow'!$S$5)+((L829-N829-'Assumptions'!$B$27-'Assumptions'!$B$28)*(1-(1+'Assumptions'!$B$43)^-('Assumptions'!$B$14/12))/'Assumptions'!$B$43)+(O829/(1+'Assumptions'!$B$43)^('Assumptions'!$B$14/12))</x:f>
        <x:v>602787.418381769</x:v>
      </x:c>
    </x:row>
    <x:row r="830">
      <x:c r="A830" s="131" t="n">
        <x:f>823</x:f>
        <x:v>823</x:v>
      </x:c>
      <x:c r="B830" s="131" t="n">
        <x:f>MOD(ABS(SIN((A830+1)*12.9898+78.233)*43758.5453),1)</x:f>
        <x:v>0.28325300839424017</x:v>
      </x:c>
      <x:c r="C830" s="131" t="n">
        <x:f>MOD(ABS(SIN((A830+2)*12.9898+78.233)*43758.5453),1)</x:f>
        <x:v>0.19728826262507937</x:v>
      </x:c>
      <x:c r="D830" s="131" t="n">
        <x:f>MOD(ABS(SIN((A830+3)*12.9898+78.233)*43758.5453),1)</x:f>
        <x:v>0.9611957357083156</x:v>
      </x:c>
      <x:c r="E830" s="131" t="n">
        <x:f>MOD(ABS(SIN((A830+4)*12.9898+78.233)*43758.5453),1)</x:f>
        <x:v>0.8028339076918201</x:v>
      </x:c>
      <x:c r="F830" s="131" t="n">
        <x:f>MOD(ABS(SIN((A830+5)*12.9898+78.233)*43758.5453),1)</x:f>
        <x:v>0.9685868838278111</x:v>
      </x:c>
      <x:c r="G830" s="132" t="n">
        <x:f>IF(B830&lt;(('Assumptions'!$C$47-'Assumptions'!$B$47)/('Assumptions'!$D$47-'Assumptions'!$B$47)),'Assumptions'!$B$47+SQRT(B830*('Assumptions'!$D$47-'Assumptions'!$B$47)*('Assumptions'!$C$47-'Assumptions'!$B$47)),'Assumptions'!$D$47-SQRT((1-B830)*('Assumptions'!$D$47-'Assumptions'!$B$47)*('Assumptions'!$D$47-'Assumptions'!$C$47)))</x:f>
        <x:v>-0.017549577311806563</x:v>
      </x:c>
      <x:c r="H830" s="132" t="n">
        <x:f>IF(C830&lt;(('Assumptions'!$C$48-'Assumptions'!$B$48)/('Assumptions'!$D$48-'Assumptions'!$B$48)),'Assumptions'!$B$48+SQRT(C830*('Assumptions'!$D$48-'Assumptions'!$B$48)*('Assumptions'!$C$48-'Assumptions'!$B$48)),'Assumptions'!$D$48-SQRT((1-C830)*('Assumptions'!$D$48-'Assumptions'!$B$48)*('Assumptions'!$D$48-'Assumptions'!$C$48)))</x:f>
        <x:v>0.05551570627403368</x:v>
      </x:c>
      <x:c r="I830" s="132" t="n">
        <x:f>IF(D830&lt;(('Assumptions'!$C$49-'Assumptions'!$B$49)/('Assumptions'!$D$49-'Assumptions'!$B$49)),'Assumptions'!$B$49+SQRT(D830*('Assumptions'!$D$49-'Assumptions'!$B$49)*('Assumptions'!$C$49-'Assumptions'!$B$49)),'Assumptions'!$D$49-SQRT((1-D830)*('Assumptions'!$D$49-'Assumptions'!$B$49)*('Assumptions'!$D$49-'Assumptions'!$C$49)))</x:f>
        <x:v>0.12104879780215712</x:v>
      </x:c>
      <x:c r="J830" s="132" t="n">
        <x:f>IF(E830&lt;(('Assumptions'!$C$50-'Assumptions'!$B$50)/('Assumptions'!$D$50-'Assumptions'!$B$50)),'Assumptions'!$B$50+SQRT(E830*('Assumptions'!$D$50-'Assumptions'!$B$50)*('Assumptions'!$C$50-'Assumptions'!$B$50)),'Assumptions'!$D$50-SQRT((1-E830)*('Assumptions'!$D$50-'Assumptions'!$B$50)*('Assumptions'!$D$50-'Assumptions'!$C$50)))</x:f>
        <x:v>0.07255332534202846</x:v>
      </x:c>
      <x:c r="K830" s="132" t="n">
        <x:f>IF(F830&lt;(('Assumptions'!$C$51-'Assumptions'!$B$51)/('Assumptions'!$D$51-'Assumptions'!$B$51)),'Assumptions'!$B$51+SQRT(F830*('Assumptions'!$D$51-'Assumptions'!$B$51)*('Assumptions'!$C$51-'Assumptions'!$B$51)),'Assumptions'!$D$51-SQRT((1-F830)*('Assumptions'!$D$51-'Assumptions'!$B$51)*('Assumptions'!$D$51-'Assumptions'!$C$51)))</x:f>
        <x:v>0.08111186906626515</x:v>
      </x:c>
      <x:c r="L830" s="133" t="n">
        <x:f>(('Assumptions'!$B$17*(1+G830)+'Assumptions'!$B$18)*(1-H830-'Assumptions'!$B$20)-SUM('Assumptions'!$B$21:$B$25)*(1+I830))-(('Assumptions'!$B$17*(1+G830)+'Assumptions'!$B$18)*(1-H830-'Assumptions'!$B$20)*'Assumptions'!$B$26)</x:f>
        <x:v>192185.73959759378</x:v>
      </x:c>
      <x:c r="M830" s="133" t="n">
        <x:f>'Assumptions'!$B$10*'Assumptions'!$B$33</x:f>
        <x:v>1950000</x:v>
      </x:c>
      <x:c r="N830" s="133" t="n">
        <x:f>-PMT(K830/12,'Assumptions'!$B$35*12,M830)*12</x:f>
        <x:v>173518.10553408493</x:v>
      </x:c>
      <x:c r="O830" s="133" t="n">
        <x:f>(L830*(1+'Assumptions'!$B$29)^('Assumptions'!$B$14/12)/J830)*(1-'Assumptions'!$B$42)-'Debt Schedule'!$F$9</x:f>
        <x:v>2886541.5562476614</x:v>
      </x:c>
      <x:c r="P830" s="132" t="n">
        <x:f>((O830+(L830-N830-'Assumptions'!$B$27-'Assumptions'!$B$28)*('Assumptions'!$B$14/12))/ABS('Monthly Cash Flow'!$S$5))^(1/('Assumptions'!$B$14/12))-1</x:f>
        <x:v>0.16515791658279766</x:v>
      </x:c>
      <x:c r="Q830" s="133" t="n">
        <x:f>-ABS('Monthly Cash Flow'!$S$5)+((L830-N830-'Assumptions'!$B$27-'Assumptions'!$B$28)*(1-(1+'Assumptions'!$B$43)^-('Assumptions'!$B$14/12))/'Assumptions'!$B$43)+(O830/(1+'Assumptions'!$B$43)^('Assumptions'!$B$14/12))</x:f>
        <x:v>416948.75161829987</x:v>
      </x:c>
    </x:row>
    <x:row r="831">
      <x:c r="A831" s="131" t="n">
        <x:f>824</x:f>
        <x:v>824</x:v>
      </x:c>
      <x:c r="B831" s="131" t="n">
        <x:f>MOD(ABS(SIN((A831+1)*12.9898+78.233)*43758.5453),1)</x:f>
        <x:v>0.19728826262507937</x:v>
      </x:c>
      <x:c r="C831" s="131" t="n">
        <x:f>MOD(ABS(SIN((A831+2)*12.9898+78.233)*43758.5453),1)</x:f>
        <x:v>0.9611957357083156</x:v>
      </x:c>
      <x:c r="D831" s="131" t="n">
        <x:f>MOD(ABS(SIN((A831+3)*12.9898+78.233)*43758.5453),1)</x:f>
        <x:v>0.8028339076918201</x:v>
      </x:c>
      <x:c r="E831" s="131" t="n">
        <x:f>MOD(ABS(SIN((A831+4)*12.9898+78.233)*43758.5453),1)</x:f>
        <x:v>0.9685868838278111</x:v>
      </x:c>
      <x:c r="F831" s="131" t="n">
        <x:f>MOD(ABS(SIN((A831+5)*12.9898+78.233)*43758.5453),1)</x:f>
        <x:v>0.1823713641570066</x:v>
      </x:c>
      <x:c r="G831" s="132" t="n">
        <x:f>IF(B831&lt;(('Assumptions'!$C$47-'Assumptions'!$B$47)/('Assumptions'!$D$47-'Assumptions'!$B$47)),'Assumptions'!$B$47+SQRT(B831*('Assumptions'!$D$47-'Assumptions'!$B$47)*('Assumptions'!$C$47-'Assumptions'!$B$47)),'Assumptions'!$D$47-SQRT((1-B831)*('Assumptions'!$D$47-'Assumptions'!$B$47)*('Assumptions'!$D$47-'Assumptions'!$C$47)))</x:f>
        <x:v>-0.031189257357576036</x:v>
      </x:c>
      <x:c r="H831" s="132" t="n">
        <x:f>IF(C831&lt;(('Assumptions'!$C$48-'Assumptions'!$B$48)/('Assumptions'!$D$48-'Assumptions'!$B$48)),'Assumptions'!$B$48+SQRT(C831*('Assumptions'!$D$48-'Assumptions'!$B$48)*('Assumptions'!$C$48-'Assumptions'!$B$48)),'Assumptions'!$D$48-SQRT((1-C831)*('Assumptions'!$D$48-'Assumptions'!$B$48)*('Assumptions'!$D$48-'Assumptions'!$C$48)))</x:f>
        <x:v>0.12152088947576692</x:v>
      </x:c>
      <x:c r="I831" s="132" t="n">
        <x:f>IF(D831&lt;(('Assumptions'!$C$49-'Assumptions'!$B$49)/('Assumptions'!$D$49-'Assumptions'!$B$49)),'Assumptions'!$B$49+SQRT(D831*('Assumptions'!$D$49-'Assumptions'!$B$49)*('Assumptions'!$C$49-'Assumptions'!$B$49)),'Assumptions'!$D$49-SQRT((1-D831)*('Assumptions'!$D$49-'Assumptions'!$B$49)*('Assumptions'!$D$49-'Assumptions'!$C$49)))</x:f>
        <x:v>0.08474061298283068</x:v>
      </x:c>
      <x:c r="J831" s="132" t="n">
        <x:f>IF(E831&lt;(('Assumptions'!$C$50-'Assumptions'!$B$50)/('Assumptions'!$D$50-'Assumptions'!$B$50)),'Assumptions'!$B$50+SQRT(E831*('Assumptions'!$D$50-'Assumptions'!$B$50)*('Assumptions'!$C$50-'Assumptions'!$B$50)),'Assumptions'!$D$50-SQRT((1-E831)*('Assumptions'!$D$50-'Assumptions'!$B$50)*('Assumptions'!$D$50-'Assumptions'!$C$50)))</x:f>
        <x:v>0.07702763748452042</x:v>
      </x:c>
      <x:c r="K831" s="132" t="n">
        <x:f>IF(F831&lt;(('Assumptions'!$C$51-'Assumptions'!$B$51)/('Assumptions'!$D$51-'Assumptions'!$B$51)),'Assumptions'!$B$51+SQRT(F831*('Assumptions'!$D$51-'Assumptions'!$B$51)*('Assumptions'!$C$51-'Assumptions'!$B$51)),'Assumptions'!$D$51-SQRT((1-F831)*('Assumptions'!$D$51-'Assumptions'!$B$51)*('Assumptions'!$D$51-'Assumptions'!$C$51)))</x:f>
        <x:v>0.0645818165143681</x:v>
      </x:c>
      <x:c r="L831" s="133" t="n">
        <x:f>(('Assumptions'!$B$17*(1+G831)+'Assumptions'!$B$18)*(1-H831-'Assumptions'!$B$20)-SUM('Assumptions'!$B$21:$B$25)*(1+I831))-(('Assumptions'!$B$17*(1+G831)+'Assumptions'!$B$18)*(1-H831-'Assumptions'!$B$20)*'Assumptions'!$B$26)</x:f>
        <x:v>169115.03968180675</x:v>
      </x:c>
      <x:c r="M831" s="133" t="n">
        <x:f>'Assumptions'!$B$10*'Assumptions'!$B$33</x:f>
        <x:v>1950000</x:v>
      </x:c>
      <x:c r="N831" s="133" t="n">
        <x:f>-PMT(K831/12,'Assumptions'!$B$35*12,M831)*12</x:f>
        <x:v>147260.96156365657</x:v>
      </x:c>
      <x:c r="O831" s="133" t="n">
        <x:f>(L831*(1+'Assumptions'!$B$29)^('Assumptions'!$B$14/12)/J831)*(1-'Assumptions'!$B$42)-'Debt Schedule'!$F$9</x:f>
        <x:v>2392487.245240112</x:v>
      </x:c>
      <x:c r="P831" s="132" t="n">
        <x:f>((O831+(L831-N831-'Assumptions'!$B$27-'Assumptions'!$B$28)*('Assumptions'!$B$14/12))/ABS('Monthly Cash Flow'!$S$5))^(1/('Assumptions'!$B$14/12))-1</x:f>
        <x:v>0.12199651392239841</x:v>
      </x:c>
      <x:c r="Q831" s="133" t="n">
        <x:f>-ABS('Monthly Cash Flow'!$S$5)+((L831-N831-'Assumptions'!$B$27-'Assumptions'!$B$28)*(1-(1+'Assumptions'!$B$43)^-('Assumptions'!$B$14/12))/'Assumptions'!$B$43)+(O831/(1+'Assumptions'!$B$43)^('Assumptions'!$B$14/12))</x:f>
        <x:v>122259.02512820764</x:v>
      </x:c>
    </x:row>
    <x:row r="832">
      <x:c r="A832" s="131" t="n">
        <x:f>825</x:f>
        <x:v>825</x:v>
      </x:c>
      <x:c r="B832" s="131" t="n">
        <x:f>MOD(ABS(SIN((A832+1)*12.9898+78.233)*43758.5453),1)</x:f>
        <x:v>0.9611957357083156</x:v>
      </x:c>
      <x:c r="C832" s="131" t="n">
        <x:f>MOD(ABS(SIN((A832+2)*12.9898+78.233)*43758.5453),1)</x:f>
        <x:v>0.8028339076918201</x:v>
      </x:c>
      <x:c r="D832" s="131" t="n">
        <x:f>MOD(ABS(SIN((A832+3)*12.9898+78.233)*43758.5453),1)</x:f>
        <x:v>0.9685868838278111</x:v>
      </x:c>
      <x:c r="E832" s="131" t="n">
        <x:f>MOD(ABS(SIN((A832+4)*12.9898+78.233)*43758.5453),1)</x:f>
        <x:v>0.1823713641570066</x:v>
      </x:c>
      <x:c r="F832" s="131" t="n">
        <x:f>MOD(ABS(SIN((A832+5)*12.9898+78.233)*43758.5453),1)</x:f>
        <x:v>0.3297068467036297</x:v>
      </x:c>
      <x:c r="G832" s="132" t="n">
        <x:f>IF(B832&lt;(('Assumptions'!$C$47-'Assumptions'!$B$47)/('Assumptions'!$D$47-'Assumptions'!$B$47)),'Assumptions'!$B$47+SQRT(B832*('Assumptions'!$D$47-'Assumptions'!$B$47)*('Assumptions'!$C$47-'Assumptions'!$B$47)),'Assumptions'!$D$47-SQRT((1-B832)*('Assumptions'!$D$47-'Assumptions'!$B$47)*('Assumptions'!$D$47-'Assumptions'!$C$47)))</x:f>
        <x:v>0.07508277245223799</x:v>
      </x:c>
      <x:c r="H832" s="132" t="n">
        <x:f>IF(C832&lt;(('Assumptions'!$C$48-'Assumptions'!$B$48)/('Assumptions'!$D$48-'Assumptions'!$B$48)),'Assumptions'!$B$48+SQRT(C832*('Assumptions'!$D$48-'Assumptions'!$B$48)*('Assumptions'!$C$48-'Assumptions'!$B$48)),'Assumptions'!$D$48-SQRT((1-C832)*('Assumptions'!$D$48-'Assumptions'!$B$48)*('Assumptions'!$D$48-'Assumptions'!$C$48)))</x:f>
        <x:v>0.09834592922280005</x:v>
      </x:c>
      <x:c r="I832" s="132" t="n">
        <x:f>IF(D832&lt;(('Assumptions'!$C$49-'Assumptions'!$B$49)/('Assumptions'!$D$49-'Assumptions'!$B$49)),'Assumptions'!$B$49+SQRT(D832*('Assumptions'!$D$49-'Assumptions'!$B$49)*('Assumptions'!$C$49-'Assumptions'!$B$49)),'Assumptions'!$D$49-SQRT((1-D832)*('Assumptions'!$D$49-'Assumptions'!$B$49)*('Assumptions'!$D$49-'Assumptions'!$C$49)))</x:f>
        <x:v>0.12395152001902451</x:v>
      </x:c>
      <x:c r="J832" s="132" t="n">
        <x:f>IF(E832&lt;(('Assumptions'!$C$50-'Assumptions'!$B$50)/('Assumptions'!$D$50-'Assumptions'!$B$50)),'Assumptions'!$B$50+SQRT(E832*('Assumptions'!$D$50-'Assumptions'!$B$50)*('Assumptions'!$C$50-'Assumptions'!$B$50)),'Assumptions'!$D$50-SQRT((1-E832)*('Assumptions'!$D$50-'Assumptions'!$B$50)*('Assumptions'!$D$50-'Assumptions'!$C$50)))</x:f>
        <x:v>0.06390574405790042</x:v>
      </x:c>
      <x:c r="K832" s="132" t="n">
        <x:f>IF(F832&lt;(('Assumptions'!$C$51-'Assumptions'!$B$51)/('Assumptions'!$D$51-'Assumptions'!$B$51)),'Assumptions'!$B$51+SQRT(F832*('Assumptions'!$D$51-'Assumptions'!$B$51)*('Assumptions'!$C$51-'Assumptions'!$B$51)),'Assumptions'!$D$51-SQRT((1-F832)*('Assumptions'!$D$51-'Assumptions'!$B$51)*('Assumptions'!$D$51-'Assumptions'!$C$51)))</x:f>
        <x:v>0.06702204719813436</x:v>
      </x:c>
      <x:c r="L832" s="133" t="n">
        <x:f>(('Assumptions'!$B$17*(1+G832)+'Assumptions'!$B$18)*(1-H832-'Assumptions'!$B$20)-SUM('Assumptions'!$B$21:$B$25)*(1+I832))-(('Assumptions'!$B$17*(1+G832)+'Assumptions'!$B$18)*(1-H832-'Assumptions'!$B$20)*'Assumptions'!$B$26)</x:f>
        <x:v>205082.71799433994</x:v>
      </x:c>
      <x:c r="M832" s="133" t="n">
        <x:f>'Assumptions'!$B$10*'Assumptions'!$B$33</x:f>
        <x:v>1950000</x:v>
      </x:c>
      <x:c r="N832" s="133" t="n">
        <x:f>-PMT(K832/12,'Assumptions'!$B$35*12,M832)*12</x:f>
        <x:v>151029.26962392547</x:v>
      </x:c>
      <x:c r="O832" s="133" t="n">
        <x:f>(L832*(1+'Assumptions'!$B$29)^('Assumptions'!$B$14/12)/J832)*(1-'Assumptions'!$B$42)-'Debt Schedule'!$F$9</x:f>
        <x:v>3497060.5016642343</x:v>
      </x:c>
      <x:c r="P832" s="132" t="n">
        <x:f>((O832+(L832-N832-'Assumptions'!$B$27-'Assumptions'!$B$28)*('Assumptions'!$B$14/12))/ABS('Monthly Cash Flow'!$S$5))^(1/('Assumptions'!$B$14/12))-1</x:f>
        <x:v>0.22475209588757727</x:v>
      </x:c>
      <x:c r="Q832" s="133" t="n">
        <x:f>-ABS('Monthly Cash Flow'!$S$5)+((L832-N832-'Assumptions'!$B$27-'Assumptions'!$B$28)*(1-(1+'Assumptions'!$B$43)^-('Assumptions'!$B$14/12))/'Assumptions'!$B$43)+(O832/(1+'Assumptions'!$B$43)^('Assumptions'!$B$14/12))</x:f>
        <x:v>930173.0596584002</x:v>
      </x:c>
    </x:row>
    <x:row r="833">
      <x:c r="A833" s="131" t="n">
        <x:f>826</x:f>
        <x:v>826</x:v>
      </x:c>
      <x:c r="B833" s="131" t="n">
        <x:f>MOD(ABS(SIN((A833+1)*12.9898+78.233)*43758.5453),1)</x:f>
        <x:v>0.8028339076918201</x:v>
      </x:c>
      <x:c r="C833" s="131" t="n">
        <x:f>MOD(ABS(SIN((A833+2)*12.9898+78.233)*43758.5453),1)</x:f>
        <x:v>0.9685868838278111</x:v>
      </x:c>
      <x:c r="D833" s="131" t="n">
        <x:f>MOD(ABS(SIN((A833+3)*12.9898+78.233)*43758.5453),1)</x:f>
        <x:v>0.1823713641570066</x:v>
      </x:c>
      <x:c r="E833" s="131" t="n">
        <x:f>MOD(ABS(SIN((A833+4)*12.9898+78.233)*43758.5453),1)</x:f>
        <x:v>0.3297068467036297</x:v>
      </x:c>
      <x:c r="F833" s="131" t="n">
        <x:f>MOD(ABS(SIN((A833+5)*12.9898+78.233)*43758.5453),1)</x:f>
        <x:v>0.013854291875759372</x:v>
      </x:c>
      <x:c r="G833" s="132" t="n">
        <x:f>IF(B833&lt;(('Assumptions'!$C$47-'Assumptions'!$B$47)/('Assumptions'!$D$47-'Assumptions'!$B$47)),'Assumptions'!$B$47+SQRT(B833*('Assumptions'!$D$47-'Assumptions'!$B$47)*('Assumptions'!$C$47-'Assumptions'!$B$47)),'Assumptions'!$D$47-SQRT((1-B833)*('Assumptions'!$D$47-'Assumptions'!$B$47)*('Assumptions'!$D$47-'Assumptions'!$C$47)))</x:f>
        <x:v>0.04383366242195528</x:v>
      </x:c>
      <x:c r="H833" s="132" t="n">
        <x:f>IF(C833&lt;(('Assumptions'!$C$48-'Assumptions'!$B$48)/('Assumptions'!$D$48-'Assumptions'!$B$48)),'Assumptions'!$B$48+SQRT(C833*('Assumptions'!$D$48-'Assumptions'!$B$48)*('Assumptions'!$C$48-'Assumptions'!$B$48)),'Assumptions'!$D$48-SQRT((1-C833)*('Assumptions'!$D$48-'Assumptions'!$B$48)*('Assumptions'!$D$48-'Assumptions'!$C$48)))</x:f>
        <x:v>0.12337365276691054</x:v>
      </x:c>
      <x:c r="I833" s="132" t="n">
        <x:f>IF(D833&lt;(('Assumptions'!$C$49-'Assumptions'!$B$49)/('Assumptions'!$D$49-'Assumptions'!$B$49)),'Assumptions'!$B$49+SQRT(D833*('Assumptions'!$D$49-'Assumptions'!$B$49)*('Assumptions'!$C$49-'Assumptions'!$B$49)),'Assumptions'!$D$49-SQRT((1-D833)*('Assumptions'!$D$49-'Assumptions'!$B$49)*('Assumptions'!$D$49-'Assumptions'!$C$49)))</x:f>
        <x:v>0.014380296674263812</x:v>
      </x:c>
      <x:c r="J833" s="132" t="n">
        <x:f>IF(E833&lt;(('Assumptions'!$C$50-'Assumptions'!$B$50)/('Assumptions'!$D$50-'Assumptions'!$B$50)),'Assumptions'!$B$50+SQRT(E833*('Assumptions'!$D$50-'Assumptions'!$B$50)*('Assumptions'!$C$50-'Assumptions'!$B$50)),'Assumptions'!$D$50-SQRT((1-E833)*('Assumptions'!$D$50-'Assumptions'!$B$50)*('Assumptions'!$D$50-'Assumptions'!$C$50)))</x:f>
        <x:v>0.06611301576152724</x:v>
      </x:c>
      <x:c r="K833" s="132" t="n">
        <x:f>IF(F833&lt;(('Assumptions'!$C$51-'Assumptions'!$B$51)/('Assumptions'!$D$51-'Assumptions'!$B$51)),'Assumptions'!$B$51+SQRT(F833*('Assumptions'!$D$51-'Assumptions'!$B$51)*('Assumptions'!$C$51-'Assumptions'!$B$51)),'Assumptions'!$D$51-SQRT((1-F833)*('Assumptions'!$D$51-'Assumptions'!$B$51)*('Assumptions'!$D$51-'Assumptions'!$C$51)))</x:f>
        <x:v>0.05945190426656479</x:v>
      </x:c>
      <x:c r="L833" s="133" t="n">
        <x:f>(('Assumptions'!$B$17*(1+G833)+'Assumptions'!$B$18)*(1-H833-'Assumptions'!$B$20)-SUM('Assumptions'!$B$21:$B$25)*(1+I833))-(('Assumptions'!$B$17*(1+G833)+'Assumptions'!$B$18)*(1-H833-'Assumptions'!$B$20)*'Assumptions'!$B$26)</x:f>
        <x:v>199797.8992759893</x:v>
      </x:c>
      <x:c r="M833" s="133" t="n">
        <x:f>'Assumptions'!$B$10*'Assumptions'!$B$33</x:f>
        <x:v>1950000</x:v>
      </x:c>
      <x:c r="N833" s="133" t="n">
        <x:f>-PMT(K833/12,'Assumptions'!$B$35*12,M833)*12</x:f>
        <x:v>139471.3157386005</x:v>
      </x:c>
      <x:c r="O833" s="133" t="n">
        <x:f>(L833*(1+'Assumptions'!$B$29)^('Assumptions'!$B$14/12)/J833)*(1-'Assumptions'!$B$42)-'Debt Schedule'!$F$9</x:f>
        <x:v>3293198.634770797</x:v>
      </x:c>
      <x:c r="P833" s="132" t="n">
        <x:f>((O833+(L833-N833-'Assumptions'!$B$27-'Assumptions'!$B$28)*('Assumptions'!$B$14/12))/ABS('Monthly Cash Flow'!$S$5))^(1/('Assumptions'!$B$14/12))-1</x:f>
        <x:v>0.21267167888814797</x:v>
      </x:c>
      <x:c r="Q833" s="133" t="n">
        <x:f>-ABS('Monthly Cash Flow'!$S$5)+((L833-N833-'Assumptions'!$B$27-'Assumptions'!$B$28)*(1-(1+'Assumptions'!$B$43)^-('Assumptions'!$B$14/12))/'Assumptions'!$B$43)+(O833/(1+'Assumptions'!$B$43)^('Assumptions'!$B$14/12))</x:f>
        <x:v>827370.9973392952</x:v>
      </x:c>
    </x:row>
    <x:row r="834">
      <x:c r="A834" s="131" t="n">
        <x:f>827</x:f>
        <x:v>827</x:v>
      </x:c>
      <x:c r="B834" s="131" t="n">
        <x:f>MOD(ABS(SIN((A834+1)*12.9898+78.233)*43758.5453),1)</x:f>
        <x:v>0.9685868838278111</x:v>
      </x:c>
      <x:c r="C834" s="131" t="n">
        <x:f>MOD(ABS(SIN((A834+2)*12.9898+78.233)*43758.5453),1)</x:f>
        <x:v>0.1823713641570066</x:v>
      </x:c>
      <x:c r="D834" s="131" t="n">
        <x:f>MOD(ABS(SIN((A834+3)*12.9898+78.233)*43758.5453),1)</x:f>
        <x:v>0.3297068467036297</x:v>
      </x:c>
      <x:c r="E834" s="131" t="n">
        <x:f>MOD(ABS(SIN((A834+4)*12.9898+78.233)*43758.5453),1)</x:f>
        <x:v>0.013854291875759372</x:v>
      </x:c>
      <x:c r="F834" s="131" t="n">
        <x:f>MOD(ABS(SIN((A834+5)*12.9898+78.233)*43758.5453),1)</x:f>
        <x:v>0.2121388117193419</x:v>
      </x:c>
      <x:c r="G834" s="132" t="n">
        <x:f>IF(B834&lt;(('Assumptions'!$C$47-'Assumptions'!$B$47)/('Assumptions'!$D$47-'Assumptions'!$B$47)),'Assumptions'!$B$47+SQRT(B834*('Assumptions'!$D$47-'Assumptions'!$B$47)*('Assumptions'!$C$47-'Assumptions'!$B$47)),'Assumptions'!$D$47-SQRT((1-B834)*('Assumptions'!$D$47-'Assumptions'!$B$47)*('Assumptions'!$D$47-'Assumptions'!$C$47)))</x:f>
        <x:v>0.07758103796436994</x:v>
      </x:c>
      <x:c r="H834" s="132" t="n">
        <x:f>IF(C834&lt;(('Assumptions'!$C$48-'Assumptions'!$B$48)/('Assumptions'!$D$48-'Assumptions'!$B$48)),'Assumptions'!$B$48+SQRT(C834*('Assumptions'!$D$48-'Assumptions'!$B$48)*('Assumptions'!$C$48-'Assumptions'!$B$48)),'Assumptions'!$D$48-SQRT((1-C834)*('Assumptions'!$D$48-'Assumptions'!$B$48)*('Assumptions'!$D$48-'Assumptions'!$C$48)))</x:f>
        <x:v>0.05453213202553178</x:v>
      </x:c>
      <x:c r="I834" s="132" t="n">
        <x:f>IF(D834&lt;(('Assumptions'!$C$49-'Assumptions'!$B$49)/('Assumptions'!$D$49-'Assumptions'!$B$49)),'Assumptions'!$B$49+SQRT(D834*('Assumptions'!$D$49-'Assumptions'!$B$49)*('Assumptions'!$C$49-'Assumptions'!$B$49)),'Assumptions'!$D$49-SQRT((1-D834)*('Assumptions'!$D$49-'Assumptions'!$B$49)*('Assumptions'!$D$49-'Assumptions'!$C$49)))</x:f>
        <x:v>0.029672723621426908</x:v>
      </x:c>
      <x:c r="J834" s="132" t="n">
        <x:f>IF(E834&lt;(('Assumptions'!$C$50-'Assumptions'!$B$50)/('Assumptions'!$D$50-'Assumptions'!$B$50)),'Assumptions'!$B$50+SQRT(E834*('Assumptions'!$D$50-'Assumptions'!$B$50)*('Assumptions'!$C$50-'Assumptions'!$B$50)),'Assumptions'!$D$50-SQRT((1-E834)*('Assumptions'!$D$50-'Assumptions'!$B$50)*('Assumptions'!$D$50-'Assumptions'!$C$50)))</x:f>
        <x:v>0.05926556383969707</x:v>
      </x:c>
      <x:c r="K834" s="132" t="n">
        <x:f>IF(F834&lt;(('Assumptions'!$C$51-'Assumptions'!$B$51)/('Assumptions'!$D$51-'Assumptions'!$B$51)),'Assumptions'!$B$51+SQRT(F834*('Assumptions'!$D$51-'Assumptions'!$B$51)*('Assumptions'!$C$51-'Assumptions'!$B$51)),'Assumptions'!$D$51-SQRT((1-F834)*('Assumptions'!$D$51-'Assumptions'!$B$51)*('Assumptions'!$D$51-'Assumptions'!$C$51)))</x:f>
        <x:v>0.06513794299682965</x:v>
      </x:c>
      <x:c r="L834" s="133" t="n">
        <x:f>(('Assumptions'!$B$17*(1+G834)+'Assumptions'!$B$18)*(1-H834-'Assumptions'!$B$20)-SUM('Assumptions'!$B$21:$B$25)*(1+I834))-(('Assumptions'!$B$17*(1+G834)+'Assumptions'!$B$18)*(1-H834-'Assumptions'!$B$20)*'Assumptions'!$B$26)</x:f>
        <x:v>234805.58751720563</x:v>
      </x:c>
      <x:c r="M834" s="133" t="n">
        <x:f>'Assumptions'!$B$10*'Assumptions'!$B$33</x:f>
        <x:v>1950000</x:v>
      </x:c>
      <x:c r="N834" s="133" t="n">
        <x:f>-PMT(K834/12,'Assumptions'!$B$35*12,M834)*12</x:f>
        <x:v>148116.26215166302</x:v>
      </x:c>
      <x:c r="O834" s="133" t="n">
        <x:f>(L834*(1+'Assumptions'!$B$29)^('Assumptions'!$B$14/12)/J834)*(1-'Assumptions'!$B$42)-'Debt Schedule'!$F$9</x:f>
        <x:v>4317377.10274715</x:v>
      </x:c>
      <x:c r="P834" s="132" t="n">
        <x:f>((O834+(L834-N834-'Assumptions'!$B$27-'Assumptions'!$B$28)*('Assumptions'!$B$14/12))/ABS('Monthly Cash Flow'!$S$5))^(1/('Assumptions'!$B$14/12))-1</x:f>
        <x:v>0.2858715624722452</x:v>
      </x:c>
      <x:c r="Q834" s="133" t="n">
        <x:f>-ABS('Monthly Cash Flow'!$S$5)+((L834-N834-'Assumptions'!$B$27-'Assumptions'!$B$28)*(1-(1+'Assumptions'!$B$43)^-('Assumptions'!$B$14/12))/'Assumptions'!$B$43)+(O834/(1+'Assumptions'!$B$43)^('Assumptions'!$B$14/12))</x:f>
        <x:v>1563240.7796513669</x:v>
      </x:c>
    </x:row>
    <x:row r="835">
      <x:c r="A835" s="131" t="n">
        <x:f>828</x:f>
        <x:v>828</x:v>
      </x:c>
      <x:c r="B835" s="131" t="n">
        <x:f>MOD(ABS(SIN((A835+1)*12.9898+78.233)*43758.5453),1)</x:f>
        <x:v>0.1823713641570066</x:v>
      </x:c>
      <x:c r="C835" s="131" t="n">
        <x:f>MOD(ABS(SIN((A835+2)*12.9898+78.233)*43758.5453),1)</x:f>
        <x:v>0.3297068467036297</x:v>
      </x:c>
      <x:c r="D835" s="131" t="n">
        <x:f>MOD(ABS(SIN((A835+3)*12.9898+78.233)*43758.5453),1)</x:f>
        <x:v>0.013854291875759372</x:v>
      </x:c>
      <x:c r="E835" s="131" t="n">
        <x:f>MOD(ABS(SIN((A835+4)*12.9898+78.233)*43758.5453),1)</x:f>
        <x:v>0.2121388117193419</x:v>
      </x:c>
      <x:c r="F835" s="131" t="n">
        <x:f>MOD(ABS(SIN((A835+5)*12.9898+78.233)*43758.5453),1)</x:f>
        <x:v>0.39452357834306895</x:v>
      </x:c>
      <x:c r="G835" s="132" t="n">
        <x:f>IF(B835&lt;(('Assumptions'!$C$47-'Assumptions'!$B$47)/('Assumptions'!$D$47-'Assumptions'!$B$47)),'Assumptions'!$B$47+SQRT(B835*('Assumptions'!$D$47-'Assumptions'!$B$47)*('Assumptions'!$C$47-'Assumptions'!$B$47)),'Assumptions'!$D$47-SQRT((1-B835)*('Assumptions'!$D$47-'Assumptions'!$B$47)*('Assumptions'!$D$47-'Assumptions'!$C$47)))</x:f>
        <x:v>-0.033841759849825515</x:v>
      </x:c>
      <x:c r="H835" s="132" t="n">
        <x:f>IF(C835&lt;(('Assumptions'!$C$48-'Assumptions'!$B$48)/('Assumptions'!$D$48-'Assumptions'!$B$48)),'Assumptions'!$B$48+SQRT(C835*('Assumptions'!$D$48-'Assumptions'!$B$48)*('Assumptions'!$C$48-'Assumptions'!$B$48)),'Assumptions'!$D$48-SQRT((1-C835)*('Assumptions'!$D$48-'Assumptions'!$B$48)*('Assumptions'!$D$48-'Assumptions'!$C$48)))</x:f>
        <x:v>0.06319778812424698</x:v>
      </x:c>
      <x:c r="I835" s="132" t="n">
        <x:f>IF(D835&lt;(('Assumptions'!$C$49-'Assumptions'!$B$49)/('Assumptions'!$D$49-'Assumptions'!$B$49)),'Assumptions'!$B$49+SQRT(D835*('Assumptions'!$D$49-'Assumptions'!$B$49)*('Assumptions'!$C$49-'Assumptions'!$B$49)),'Assumptions'!$D$49-SQRT((1-D835)*('Assumptions'!$D$49-'Assumptions'!$B$49)*('Assumptions'!$D$49-'Assumptions'!$C$49)))</x:f>
        <x:v>-0.017767814902553133</x:v>
      </x:c>
      <x:c r="J835" s="132" t="n">
        <x:f>IF(E835&lt;(('Assumptions'!$C$50-'Assumptions'!$B$50)/('Assumptions'!$D$50-'Assumptions'!$B$50)),'Assumptions'!$B$50+SQRT(E835*('Assumptions'!$D$50-'Assumptions'!$B$50)*('Assumptions'!$C$50-'Assumptions'!$B$50)),'Assumptions'!$D$50-SQRT((1-E835)*('Assumptions'!$D$50-'Assumptions'!$B$50)*('Assumptions'!$D$50-'Assumptions'!$C$50)))</x:f>
        <x:v>0.06440877938834726</x:v>
      </x:c>
      <x:c r="K835" s="132" t="n">
        <x:f>IF(F835&lt;(('Assumptions'!$C$51-'Assumptions'!$B$51)/('Assumptions'!$D$51-'Assumptions'!$B$51)),'Assumptions'!$B$51+SQRT(F835*('Assumptions'!$D$51-'Assumptions'!$B$51)*('Assumptions'!$C$51-'Assumptions'!$B$51)),'Assumptions'!$D$51-SQRT((1-F835)*('Assumptions'!$D$51-'Assumptions'!$B$51)*('Assumptions'!$D$51-'Assumptions'!$C$51)))</x:f>
        <x:v>0.06792998160743821</x:v>
      </x:c>
      <x:c r="L835" s="133" t="n">
        <x:f>(('Assumptions'!$B$17*(1+G835)+'Assumptions'!$B$18)*(1-H835-'Assumptions'!$B$20)-SUM('Assumptions'!$B$21:$B$25)*(1+I835))-(('Assumptions'!$B$17*(1+G835)+'Assumptions'!$B$18)*(1-H835-'Assumptions'!$B$20)*'Assumptions'!$B$26)</x:f>
        <x:v>201717.11938297318</x:v>
      </x:c>
      <x:c r="M835" s="133" t="n">
        <x:f>'Assumptions'!$B$10*'Assumptions'!$B$33</x:f>
        <x:v>1950000</x:v>
      </x:c>
      <x:c r="N835" s="133" t="n">
        <x:f>-PMT(K835/12,'Assumptions'!$B$35*12,M835)*12</x:f>
        <x:v>152441.37196628944</x:v>
      </x:c>
      <x:c r="O835" s="133" t="n">
        <x:f>(L835*(1+'Assumptions'!$B$29)^('Assumptions'!$B$14/12)/J835)*(1-'Assumptions'!$B$42)-'Debt Schedule'!$F$9</x:f>
        <x:v>3412806.5043309587</x:v>
      </x:c>
      <x:c r="P835" s="132" t="n">
        <x:f>((O835+(L835-N835-'Assumptions'!$B$27-'Assumptions'!$B$28)*('Assumptions'!$B$14/12))/ABS('Monthly Cash Flow'!$S$5))^(1/('Assumptions'!$B$14/12))-1</x:f>
        <x:v>0.21723477993399576</x:v>
      </x:c>
      <x:c r="Q835" s="133" t="n">
        <x:f>-ABS('Monthly Cash Flow'!$S$5)+((L835-N835-'Assumptions'!$B$27-'Assumptions'!$B$28)*(1-(1+'Assumptions'!$B$43)^-('Assumptions'!$B$14/12))/'Assumptions'!$B$43)+(O835/(1+'Assumptions'!$B$43)^('Assumptions'!$B$14/12))</x:f>
        <x:v>859746.710597608</x:v>
      </x:c>
    </x:row>
    <x:row r="836">
      <x:c r="A836" s="131" t="n">
        <x:f>829</x:f>
        <x:v>829</x:v>
      </x:c>
      <x:c r="B836" s="131" t="n">
        <x:f>MOD(ABS(SIN((A836+1)*12.9898+78.233)*43758.5453),1)</x:f>
        <x:v>0.3297068467036297</x:v>
      </x:c>
      <x:c r="C836" s="131" t="n">
        <x:f>MOD(ABS(SIN((A836+2)*12.9898+78.233)*43758.5453),1)</x:f>
        <x:v>0.013854291875759372</x:v>
      </x:c>
      <x:c r="D836" s="131" t="n">
        <x:f>MOD(ABS(SIN((A836+3)*12.9898+78.233)*43758.5453),1)</x:f>
        <x:v>0.2121388117193419</x:v>
      </x:c>
      <x:c r="E836" s="131" t="n">
        <x:f>MOD(ABS(SIN((A836+4)*12.9898+78.233)*43758.5453),1)</x:f>
        <x:v>0.39452357834306895</x:v>
      </x:c>
      <x:c r="F836" s="131" t="n">
        <x:f>MOD(ABS(SIN((A836+5)*12.9898+78.233)*43758.5453),1)</x:f>
        <x:v>0.9206569046218647</x:v>
      </x:c>
      <x:c r="G836" s="132" t="n">
        <x:f>IF(B836&lt;(('Assumptions'!$C$47-'Assumptions'!$B$47)/('Assumptions'!$D$47-'Assumptions'!$B$47)),'Assumptions'!$B$47+SQRT(B836*('Assumptions'!$D$47-'Assumptions'!$B$47)*('Assumptions'!$C$47-'Assumptions'!$B$47)),'Assumptions'!$D$47-SQRT((1-B836)*('Assumptions'!$D$47-'Assumptions'!$B$47)*('Assumptions'!$D$47-'Assumptions'!$C$47)))</x:f>
        <x:v>-0.01104515571995468</x:v>
      </x:c>
      <x:c r="H836" s="132" t="n">
        <x:f>IF(C836&lt;(('Assumptions'!$C$48-'Assumptions'!$B$48)/('Assumptions'!$D$48-'Assumptions'!$B$48)),'Assumptions'!$B$48+SQRT(C836*('Assumptions'!$D$48-'Assumptions'!$B$48)*('Assumptions'!$C$48-'Assumptions'!$B$48)),'Assumptions'!$D$48-SQRT((1-C836)*('Assumptions'!$D$48-'Assumptions'!$B$48)*('Assumptions'!$D$48-'Assumptions'!$C$48)))</x:f>
        <x:v>0.036761594722401356</x:v>
      </x:c>
      <x:c r="I836" s="132" t="n">
        <x:f>IF(D836&lt;(('Assumptions'!$C$49-'Assumptions'!$B$49)/('Assumptions'!$D$49-'Assumptions'!$B$49)),'Assumptions'!$B$49+SQRT(D836*('Assumptions'!$D$49-'Assumptions'!$B$49)*('Assumptions'!$C$49-'Assumptions'!$B$49)),'Assumptions'!$D$49-SQRT((1-D836)*('Assumptions'!$D$49-'Assumptions'!$B$49)*('Assumptions'!$D$49-'Assumptions'!$C$49)))</x:f>
        <x:v>0.017865427675608336</x:v>
      </x:c>
      <x:c r="J836" s="132" t="n">
        <x:f>IF(E836&lt;(('Assumptions'!$C$50-'Assumptions'!$B$50)/('Assumptions'!$D$50-'Assumptions'!$B$50)),'Assumptions'!$B$50+SQRT(E836*('Assumptions'!$D$50-'Assumptions'!$B$50)*('Assumptions'!$C$50-'Assumptions'!$B$50)),'Assumptions'!$D$50-SQRT((1-E836)*('Assumptions'!$D$50-'Assumptions'!$B$50)*('Assumptions'!$D$50-'Assumptions'!$C$50)))</x:f>
        <x:v>0.06692166679134805</x:v>
      </x:c>
      <x:c r="K836" s="132" t="n">
        <x:f>IF(F836&lt;(('Assumptions'!$C$51-'Assumptions'!$B$51)/('Assumptions'!$D$51-'Assumptions'!$B$51)),'Assumptions'!$B$51+SQRT(F836*('Assumptions'!$D$51-'Assumptions'!$B$51)*('Assumptions'!$C$51-'Assumptions'!$B$51)),'Assumptions'!$D$51-SQRT((1-F836)*('Assumptions'!$D$51-'Assumptions'!$B$51)*('Assumptions'!$D$51-'Assumptions'!$C$51)))</x:f>
        <x:v>0.0788206906008254</x:v>
      </x:c>
      <x:c r="L836" s="133" t="n">
        <x:f>(('Assumptions'!$B$17*(1+G836)+'Assumptions'!$B$18)*(1-H836-'Assumptions'!$B$20)-SUM('Assumptions'!$B$21:$B$25)*(1+I836))-(('Assumptions'!$B$17*(1+G836)+'Assumptions'!$B$18)*(1-H836-'Assumptions'!$B$20)*'Assumptions'!$B$26)</x:f>
        <x:v>214021.40143456997</x:v>
      </x:c>
      <x:c r="M836" s="133" t="n">
        <x:f>'Assumptions'!$B$10*'Assumptions'!$B$33</x:f>
        <x:v>1950000</x:v>
      </x:c>
      <x:c r="N836" s="133" t="n">
        <x:f>-PMT(K836/12,'Assumptions'!$B$35*12,M836)*12</x:f>
        <x:v>169781.06745480123</x:v>
      </x:c>
      <x:c r="O836" s="133" t="n">
        <x:f>(L836*(1+'Assumptions'!$B$29)^('Assumptions'!$B$14/12)/J836)*(1-'Assumptions'!$B$42)-'Debt Schedule'!$F$9</x:f>
        <x:v>3485013.2324692034</x:v>
      </x:c>
      <x:c r="P836" s="132" t="n">
        <x:f>((O836+(L836-N836-'Assumptions'!$B$27-'Assumptions'!$B$28)*('Assumptions'!$B$14/12))/ABS('Monthly Cash Flow'!$S$5))^(1/('Assumptions'!$B$14/12))-1</x:f>
        <x:v>0.22052673064753892</x:v>
      </x:c>
      <x:c r="Q836" s="133" t="n">
        <x:f>-ABS('Monthly Cash Flow'!$S$5)+((L836-N836-'Assumptions'!$B$27-'Assumptions'!$B$28)*(1-(1+'Assumptions'!$B$43)^-('Assumptions'!$B$14/12))/'Assumptions'!$B$43)+(O836/(1+'Assumptions'!$B$43)^('Assumptions'!$B$14/12))</x:f>
        <x:v>885493.2291318204</x:v>
      </x:c>
    </x:row>
    <x:row r="837">
      <x:c r="A837" s="131" t="n">
        <x:f>830</x:f>
        <x:v>830</x:v>
      </x:c>
      <x:c r="B837" s="131" t="n">
        <x:f>MOD(ABS(SIN((A837+1)*12.9898+78.233)*43758.5453),1)</x:f>
        <x:v>0.013854291875759372</x:v>
      </x:c>
      <x:c r="C837" s="131" t="n">
        <x:f>MOD(ABS(SIN((A837+2)*12.9898+78.233)*43758.5453),1)</x:f>
        <x:v>0.2121388117193419</x:v>
      </x:c>
      <x:c r="D837" s="131" t="n">
        <x:f>MOD(ABS(SIN((A837+3)*12.9898+78.233)*43758.5453),1)</x:f>
        <x:v>0.39452357834306895</x:v>
      </x:c>
      <x:c r="E837" s="131" t="n">
        <x:f>MOD(ABS(SIN((A837+4)*12.9898+78.233)*43758.5453),1)</x:f>
        <x:v>0.9206569046218647</x:v>
      </x:c>
      <x:c r="F837" s="131" t="n">
        <x:f>MOD(ABS(SIN((A837+5)*12.9898+78.233)*43758.5453),1)</x:f>
        <x:v>0.46701163183752215</x:v>
      </x:c>
      <x:c r="G837" s="132" t="n">
        <x:f>IF(B837&lt;(('Assumptions'!$C$47-'Assumptions'!$B$47)/('Assumptions'!$D$47-'Assumptions'!$B$47)),'Assumptions'!$B$47+SQRT(B837*('Assumptions'!$D$47-'Assumptions'!$B$47)*('Assumptions'!$C$47-'Assumptions'!$B$47)),'Assumptions'!$D$47-SQRT((1-B837)*('Assumptions'!$D$47-'Assumptions'!$B$47)*('Assumptions'!$D$47-'Assumptions'!$C$47)))</x:f>
        <x:v>-0.08176533507249928</x:v>
      </x:c>
      <x:c r="H837" s="132" t="n">
        <x:f>IF(C837&lt;(('Assumptions'!$C$48-'Assumptions'!$B$48)/('Assumptions'!$D$48-'Assumptions'!$B$48)),'Assumptions'!$B$48+SQRT(C837*('Assumptions'!$D$48-'Assumptions'!$B$48)*('Assumptions'!$C$48-'Assumptions'!$B$48)),'Assumptions'!$D$48-SQRT((1-C837)*('Assumptions'!$D$48-'Assumptions'!$B$48)*('Assumptions'!$D$48-'Assumptions'!$C$48)))</x:f>
        <x:v>0.056458610671647674</x:v>
      </x:c>
      <x:c r="I837" s="132" t="n">
        <x:f>IF(D837&lt;(('Assumptions'!$C$49-'Assumptions'!$B$49)/('Assumptions'!$D$49-'Assumptions'!$B$49)),'Assumptions'!$B$49+SQRT(D837*('Assumptions'!$D$49-'Assumptions'!$B$49)*('Assumptions'!$C$49-'Assumptions'!$B$49)),'Assumptions'!$D$49-SQRT((1-D837)*('Assumptions'!$D$49-'Assumptions'!$B$49)*('Assumptions'!$D$49-'Assumptions'!$C$49)))</x:f>
        <x:v>0.03563964538447027</x:v>
      </x:c>
      <x:c r="J837" s="132" t="n">
        <x:f>IF(E837&lt;(('Assumptions'!$C$50-'Assumptions'!$B$50)/('Assumptions'!$D$50-'Assumptions'!$B$50)),'Assumptions'!$B$50+SQRT(E837*('Assumptions'!$D$50-'Assumptions'!$B$50)*('Assumptions'!$C$50-'Assumptions'!$B$50)),'Assumptions'!$D$50-SQRT((1-E837)*('Assumptions'!$D$50-'Assumptions'!$B$50)*('Assumptions'!$D$50-'Assumptions'!$C$50)))</x:f>
        <x:v>0.07527609847952982</x:v>
      </x:c>
      <x:c r="K837" s="132" t="n">
        <x:f>IF(F837&lt;(('Assumptions'!$C$51-'Assumptions'!$B$51)/('Assumptions'!$D$51-'Assumptions'!$B$51)),'Assumptions'!$B$51+SQRT(F837*('Assumptions'!$D$51-'Assumptions'!$B$51)*('Assumptions'!$C$51-'Assumptions'!$B$51)),'Assumptions'!$D$51-SQRT((1-F837)*('Assumptions'!$D$51-'Assumptions'!$B$51)*('Assumptions'!$D$51-'Assumptions'!$C$51)))</x:f>
        <x:v>0.06898436226127125</x:v>
      </x:c>
      <x:c r="L837" s="133" t="n">
        <x:f>(('Assumptions'!$B$17*(1+G837)+'Assumptions'!$B$18)*(1-H837-'Assumptions'!$B$20)-SUM('Assumptions'!$B$21:$B$25)*(1+I837))-(('Assumptions'!$B$17*(1+G837)+'Assumptions'!$B$18)*(1-H837-'Assumptions'!$B$20)*'Assumptions'!$B$26)</x:f>
        <x:v>181892.7982929724</x:v>
      </x:c>
      <x:c r="M837" s="133" t="n">
        <x:f>'Assumptions'!$B$10*'Assumptions'!$B$33</x:f>
        <x:v>1950000</x:v>
      </x:c>
      <x:c r="N837" s="133" t="n">
        <x:f>-PMT(K837/12,'Assumptions'!$B$35*12,M837)*12</x:f>
        <x:v>154087.9562898001</x:v>
      </x:c>
      <x:c r="O837" s="133" t="n">
        <x:f>(L837*(1+'Assumptions'!$B$29)^('Assumptions'!$B$14/12)/J837)*(1-'Assumptions'!$B$42)-'Debt Schedule'!$F$9</x:f>
        <x:v>2633130.476269935</x:v>
      </x:c>
      <x:c r="P837" s="132" t="n">
        <x:f>((O837+(L837-N837-'Assumptions'!$B$27-'Assumptions'!$B$28)*('Assumptions'!$B$14/12))/ABS('Monthly Cash Flow'!$S$5))^(1/('Assumptions'!$B$14/12))-1</x:f>
        <x:v>0.14719964951993836</x:v>
      </x:c>
      <x:c r="Q837" s="133" t="n">
        <x:f>-ABS('Monthly Cash Flow'!$S$5)+((L837-N837-'Assumptions'!$B$27-'Assumptions'!$B$28)*(1-(1+'Assumptions'!$B$43)^-('Assumptions'!$B$14/12))/'Assumptions'!$B$43)+(O837/(1+'Assumptions'!$B$43)^('Assumptions'!$B$14/12))</x:f>
        <x:v>294237.6155276906</x:v>
      </x:c>
    </x:row>
    <x:row r="838">
      <x:c r="A838" s="131" t="n">
        <x:f>831</x:f>
        <x:v>831</x:v>
      </x:c>
      <x:c r="B838" s="131" t="n">
        <x:f>MOD(ABS(SIN((A838+1)*12.9898+78.233)*43758.5453),1)</x:f>
        <x:v>0.2121388117193419</x:v>
      </x:c>
      <x:c r="C838" s="131" t="n">
        <x:f>MOD(ABS(SIN((A838+2)*12.9898+78.233)*43758.5453),1)</x:f>
        <x:v>0.39452357834306895</x:v>
      </x:c>
      <x:c r="D838" s="131" t="n">
        <x:f>MOD(ABS(SIN((A838+3)*12.9898+78.233)*43758.5453),1)</x:f>
        <x:v>0.9206569046218647</x:v>
      </x:c>
      <x:c r="E838" s="131" t="n">
        <x:f>MOD(ABS(SIN((A838+4)*12.9898+78.233)*43758.5453),1)</x:f>
        <x:v>0.46701163183752215</x:v>
      </x:c>
      <x:c r="F838" s="131" t="n">
        <x:f>MOD(ABS(SIN((A838+5)*12.9898+78.233)*43758.5453),1)</x:f>
        <x:v>0.6059640076491632</x:v>
      </x:c>
      <x:c r="G838" s="132" t="n">
        <x:f>IF(B838&lt;(('Assumptions'!$C$47-'Assumptions'!$B$47)/('Assumptions'!$D$47-'Assumptions'!$B$47)),'Assumptions'!$B$47+SQRT(B838*('Assumptions'!$D$47-'Assumptions'!$B$47)*('Assumptions'!$C$47-'Assumptions'!$B$47)),'Assumptions'!$D$47-SQRT((1-B838)*('Assumptions'!$D$47-'Assumptions'!$B$47)*('Assumptions'!$D$47-'Assumptions'!$C$47)))</x:f>
        <x:v>-0.028646433296826673</x:v>
      </x:c>
      <x:c r="H838" s="132" t="n">
        <x:f>IF(C838&lt;(('Assumptions'!$C$48-'Assumptions'!$B$48)/('Assumptions'!$D$48-'Assumptions'!$B$48)),'Assumptions'!$B$48+SQRT(C838*('Assumptions'!$D$48-'Assumptions'!$B$48)*('Assumptions'!$C$48-'Assumptions'!$B$48)),'Assumptions'!$D$48-SQRT((1-C838)*('Assumptions'!$D$48-'Assumptions'!$B$48)*('Assumptions'!$D$48-'Assumptions'!$C$48)))</x:f>
        <x:v>0.06700553095897613</x:v>
      </x:c>
      <x:c r="I838" s="132" t="n">
        <x:f>IF(D838&lt;(('Assumptions'!$C$49-'Assumptions'!$B$49)/('Assumptions'!$D$49-'Assumptions'!$B$49)),'Assumptions'!$B$49+SQRT(D838*('Assumptions'!$D$49-'Assumptions'!$B$49)*('Assumptions'!$C$49-'Assumptions'!$B$49)),'Assumptions'!$D$49-SQRT((1-D838)*('Assumptions'!$D$49-'Assumptions'!$B$49)*('Assumptions'!$D$49-'Assumptions'!$C$49)))</x:f>
        <x:v>0.10860180124488841</x:v>
      </x:c>
      <x:c r="J838" s="132" t="n">
        <x:f>IF(E838&lt;(('Assumptions'!$C$50-'Assumptions'!$B$50)/('Assumptions'!$D$50-'Assumptions'!$B$50)),'Assumptions'!$B$50+SQRT(E838*('Assumptions'!$D$50-'Assumptions'!$B$50)*('Assumptions'!$C$50-'Assumptions'!$B$50)),'Assumptions'!$D$50-SQRT((1-E838)*('Assumptions'!$D$50-'Assumptions'!$B$50)*('Assumptions'!$D$50-'Assumptions'!$C$50)))</x:f>
        <x:v>0.06775651281106168</x:v>
      </x:c>
      <x:c r="K838" s="132" t="n">
        <x:f>IF(F838&lt;(('Assumptions'!$C$51-'Assumptions'!$B$51)/('Assumptions'!$D$51-'Assumptions'!$B$51)),'Assumptions'!$B$51+SQRT(F838*('Assumptions'!$D$51-'Assumptions'!$B$51)*('Assumptions'!$C$51-'Assumptions'!$B$51)),'Assumptions'!$D$51-SQRT((1-F838)*('Assumptions'!$D$51-'Assumptions'!$B$51)*('Assumptions'!$D$51-'Assumptions'!$C$51)))</x:f>
        <x:v>0.07122938558673433</x:v>
      </x:c>
      <x:c r="L838" s="133" t="n">
        <x:f>(('Assumptions'!$B$17*(1+G838)+'Assumptions'!$B$18)*(1-H838-'Assumptions'!$B$20)-SUM('Assumptions'!$B$21:$B$25)*(1+I838))-(('Assumptions'!$B$17*(1+G838)+'Assumptions'!$B$18)*(1-H838-'Assumptions'!$B$20)*'Assumptions'!$B$26)</x:f>
        <x:v>186114.56934475672</x:v>
      </x:c>
      <x:c r="M838" s="133" t="n">
        <x:f>'Assumptions'!$B$10*'Assumptions'!$B$33</x:f>
        <x:v>1950000</x:v>
      </x:c>
      <x:c r="N838" s="133" t="n">
        <x:f>-PMT(K838/12,'Assumptions'!$B$35*12,M838)*12</x:f>
        <x:v>157617.57726177038</x:v>
      </x:c>
      <x:c r="O838" s="133" t="n">
        <x:f>(L838*(1+'Assumptions'!$B$29)^('Assumptions'!$B$14/12)/J838)*(1-'Assumptions'!$B$42)-'Debt Schedule'!$F$9</x:f>
        <x:v>2993252.1461217</x:v>
      </x:c>
      <x:c r="P838" s="132" t="n">
        <x:f>((O838+(L838-N838-'Assumptions'!$B$27-'Assumptions'!$B$28)*('Assumptions'!$B$14/12))/ABS('Monthly Cash Flow'!$S$5))^(1/('Assumptions'!$B$14/12))-1</x:f>
        <x:v>0.17793959818886806</x:v>
      </x:c>
      <x:c r="Q838" s="133" t="n">
        <x:f>-ABS('Monthly Cash Flow'!$S$5)+((L838-N838-'Assumptions'!$B$27-'Assumptions'!$B$28)*(1-(1+'Assumptions'!$B$43)^-('Assumptions'!$B$14/12))/'Assumptions'!$B$43)+(O838/(1+'Assumptions'!$B$43)^('Assumptions'!$B$14/12))</x:f>
        <x:v>520468.6325993249</x:v>
      </x:c>
    </x:row>
    <x:row r="839">
      <x:c r="A839" s="131" t="n">
        <x:f>832</x:f>
        <x:v>832</x:v>
      </x:c>
      <x:c r="B839" s="131" t="n">
        <x:f>MOD(ABS(SIN((A839+1)*12.9898+78.233)*43758.5453),1)</x:f>
        <x:v>0.39452357834306895</x:v>
      </x:c>
      <x:c r="C839" s="131" t="n">
        <x:f>MOD(ABS(SIN((A839+2)*12.9898+78.233)*43758.5453),1)</x:f>
        <x:v>0.9206569046218647</x:v>
      </x:c>
      <x:c r="D839" s="131" t="n">
        <x:f>MOD(ABS(SIN((A839+3)*12.9898+78.233)*43758.5453),1)</x:f>
        <x:v>0.46701163183752215</x:v>
      </x:c>
      <x:c r="E839" s="131" t="n">
        <x:f>MOD(ABS(SIN((A839+4)*12.9898+78.233)*43758.5453),1)</x:f>
        <x:v>0.6059640076491632</x:v>
      </x:c>
      <x:c r="F839" s="131" t="n">
        <x:f>MOD(ABS(SIN((A839+5)*12.9898+78.233)*43758.5453),1)</x:f>
        <x:v>0.8395335597961093</x:v>
      </x:c>
      <x:c r="G839" s="132" t="n">
        <x:f>IF(B839&lt;(('Assumptions'!$C$47-'Assumptions'!$B$47)/('Assumptions'!$D$47-'Assumptions'!$B$47)),'Assumptions'!$B$47+SQRT(B839*('Assumptions'!$D$47-'Assumptions'!$B$47)*('Assumptions'!$C$47-'Assumptions'!$B$47)),'Assumptions'!$D$47-SQRT((1-B839)*('Assumptions'!$D$47-'Assumptions'!$B$47)*('Assumptions'!$D$47-'Assumptions'!$C$47)))</x:f>
        <x:v>-0.0026934437962495006</x:v>
      </x:c>
      <x:c r="H839" s="132" t="n">
        <x:f>IF(C839&lt;(('Assumptions'!$C$48-'Assumptions'!$B$48)/('Assumptions'!$D$48-'Assumptions'!$B$48)),'Assumptions'!$B$48+SQRT(C839*('Assumptions'!$D$48-'Assumptions'!$B$48)*('Assumptions'!$C$48-'Assumptions'!$B$48)),'Assumptions'!$D$48-SQRT((1-C839)*('Assumptions'!$D$48-'Assumptions'!$B$48)*('Assumptions'!$D$48-'Assumptions'!$C$48)))</x:f>
        <x:v>0.11357616153304766</x:v>
      </x:c>
      <x:c r="I839" s="132" t="n">
        <x:f>IF(D839&lt;(('Assumptions'!$C$49-'Assumptions'!$B$49)/('Assumptions'!$D$49-'Assumptions'!$B$49)),'Assumptions'!$B$49+SQRT(D839*('Assumptions'!$D$49-'Assumptions'!$B$49)*('Assumptions'!$C$49-'Assumptions'!$B$49)),'Assumptions'!$D$49-SQRT((1-D839)*('Assumptions'!$D$49-'Assumptions'!$B$49)*('Assumptions'!$D$49-'Assumptions'!$C$49)))</x:f>
        <x:v>0.042703454145487416</x:v>
      </x:c>
      <x:c r="J839" s="132" t="n">
        <x:f>IF(E839&lt;(('Assumptions'!$C$50-'Assumptions'!$B$50)/('Assumptions'!$D$50-'Assumptions'!$B$50)),'Assumptions'!$B$50+SQRT(E839*('Assumptions'!$D$50-'Assumptions'!$B$50)*('Assumptions'!$C$50-'Assumptions'!$B$50)),'Assumptions'!$D$50-SQRT((1-E839)*('Assumptions'!$D$50-'Assumptions'!$B$50)*('Assumptions'!$D$50-'Assumptions'!$C$50)))</x:f>
        <x:v>0.06947276755986301</x:v>
      </x:c>
      <x:c r="K839" s="132" t="n">
        <x:f>IF(F839&lt;(('Assumptions'!$C$51-'Assumptions'!$B$51)/('Assumptions'!$D$51-'Assumptions'!$B$51)),'Assumptions'!$B$51+SQRT(F839*('Assumptions'!$D$51-'Assumptions'!$B$51)*('Assumptions'!$C$51-'Assumptions'!$B$51)),'Assumptions'!$D$51-SQRT((1-F839)*('Assumptions'!$D$51-'Assumptions'!$B$51)*('Assumptions'!$D$51-'Assumptions'!$C$51)))</x:f>
        <x:v>0.0762122543079512</x:v>
      </x:c>
      <x:c r="L839" s="133" t="n">
        <x:f>(('Assumptions'!$B$17*(1+G839)+'Assumptions'!$B$18)*(1-H839-'Assumptions'!$B$20)-SUM('Assumptions'!$B$21:$B$25)*(1+I839))-(('Assumptions'!$B$17*(1+G839)+'Assumptions'!$B$18)*(1-H839-'Assumptions'!$B$20)*'Assumptions'!$B$26)</x:f>
        <x:v>185840.22449058754</x:v>
      </x:c>
      <x:c r="M839" s="133" t="n">
        <x:f>'Assumptions'!$B$10*'Assumptions'!$B$33</x:f>
        <x:v>1950000</x:v>
      </x:c>
      <x:c r="N839" s="133" t="n">
        <x:f>-PMT(K839/12,'Assumptions'!$B$35*12,M839)*12</x:f>
        <x:v>165562.98056280048</x:v>
      </x:c>
      <x:c r="O839" s="133" t="n">
        <x:f>(L839*(1+'Assumptions'!$B$29)^('Assumptions'!$B$14/12)/J839)*(1-'Assumptions'!$B$42)-'Debt Schedule'!$F$9</x:f>
        <x:v>2915003.6204716815</x:v>
      </x:c>
      <x:c r="P839" s="132" t="n">
        <x:f>((O839+(L839-N839-'Assumptions'!$B$27-'Assumptions'!$B$28)*('Assumptions'!$B$14/12))/ABS('Monthly Cash Flow'!$S$5))^(1/('Assumptions'!$B$14/12))-1</x:f>
        <x:v>0.1682025310070283</x:v>
      </x:c>
      <x:c r="Q839" s="133" t="n">
        <x:f>-ABS('Monthly Cash Flow'!$S$5)+((L839-N839-'Assumptions'!$B$27-'Assumptions'!$B$28)*(1-(1+'Assumptions'!$B$43)^-('Assumptions'!$B$14/12))/'Assumptions'!$B$43)+(O839/(1+'Assumptions'!$B$43)^('Assumptions'!$B$14/12))</x:f>
        <x:v>440723.14197068824</x:v>
      </x:c>
    </x:row>
    <x:row r="840">
      <x:c r="A840" s="131" t="n">
        <x:f>833</x:f>
        <x:v>833</x:v>
      </x:c>
      <x:c r="B840" s="131" t="n">
        <x:f>MOD(ABS(SIN((A840+1)*12.9898+78.233)*43758.5453),1)</x:f>
        <x:v>0.9206569046218647</x:v>
      </x:c>
      <x:c r="C840" s="131" t="n">
        <x:f>MOD(ABS(SIN((A840+2)*12.9898+78.233)*43758.5453),1)</x:f>
        <x:v>0.46701163183752215</x:v>
      </x:c>
      <x:c r="D840" s="131" t="n">
        <x:f>MOD(ABS(SIN((A840+3)*12.9898+78.233)*43758.5453),1)</x:f>
        <x:v>0.6059640076491632</x:v>
      </x:c>
      <x:c r="E840" s="131" t="n">
        <x:f>MOD(ABS(SIN((A840+4)*12.9898+78.233)*43758.5453),1)</x:f>
        <x:v>0.8395335597961093</x:v>
      </x:c>
      <x:c r="F840" s="131" t="n">
        <x:f>MOD(ABS(SIN((A840+5)*12.9898+78.233)*43758.5453),1)</x:f>
        <x:v>0.07875388416505302</x:v>
      </x:c>
      <x:c r="G840" s="132" t="n">
        <x:f>IF(B840&lt;(('Assumptions'!$C$47-'Assumptions'!$B$47)/('Assumptions'!$D$47-'Assumptions'!$B$47)),'Assumptions'!$B$47+SQRT(B840*('Assumptions'!$D$47-'Assumptions'!$B$47)*('Assumptions'!$C$47-'Assumptions'!$B$47)),'Assumptions'!$D$47-SQRT((1-B840)*('Assumptions'!$D$47-'Assumptions'!$B$47)*('Assumptions'!$D$47-'Assumptions'!$C$47)))</x:f>
        <x:v>0.0643701034796596</x:v>
      </x:c>
      <x:c r="H840" s="132" t="n">
        <x:f>IF(C840&lt;(('Assumptions'!$C$48-'Assumptions'!$B$48)/('Assumptions'!$D$48-'Assumptions'!$B$48)),'Assumptions'!$B$48+SQRT(C840*('Assumptions'!$D$48-'Assumptions'!$B$48)*('Assumptions'!$C$48-'Assumptions'!$B$48)),'Assumptions'!$D$48-SQRT((1-C840)*('Assumptions'!$D$48-'Assumptions'!$B$48)*('Assumptions'!$D$48-'Assumptions'!$C$48)))</x:f>
        <x:v>0.07151425228684581</x:v>
      </x:c>
      <x:c r="I840" s="132" t="n">
        <x:f>IF(D840&lt;(('Assumptions'!$C$49-'Assumptions'!$B$49)/('Assumptions'!$D$49-'Assumptions'!$B$49)),'Assumptions'!$B$49+SQRT(D840*('Assumptions'!$D$49-'Assumptions'!$B$49)*('Assumptions'!$C$49-'Assumptions'!$B$49)),'Assumptions'!$D$49-SQRT((1-D840)*('Assumptions'!$D$49-'Assumptions'!$B$49)*('Assumptions'!$D$49-'Assumptions'!$C$49)))</x:f>
        <x:v>0.05774395719098897</x:v>
      </x:c>
      <x:c r="J840" s="132" t="n">
        <x:f>IF(E840&lt;(('Assumptions'!$C$50-'Assumptions'!$B$50)/('Assumptions'!$D$50-'Assumptions'!$B$50)),'Assumptions'!$B$50+SQRT(E840*('Assumptions'!$D$50-'Assumptions'!$B$50)*('Assumptions'!$C$50-'Assumptions'!$B$50)),'Assumptions'!$D$50-SQRT((1-E840)*('Assumptions'!$D$50-'Assumptions'!$B$50)*('Assumptions'!$D$50-'Assumptions'!$C$50)))</x:f>
        <x:v>0.07328202513346885</x:v>
      </x:c>
      <x:c r="K840" s="132" t="n">
        <x:f>IF(F840&lt;(('Assumptions'!$C$51-'Assumptions'!$B$51)/('Assumptions'!$D$51-'Assumptions'!$B$51)),'Assumptions'!$B$51+SQRT(F840*('Assumptions'!$D$51-'Assumptions'!$B$51)*('Assumptions'!$C$51-'Assumptions'!$B$51)),'Assumptions'!$D$51-SQRT((1-F840)*('Assumptions'!$D$51-'Assumptions'!$B$51)*('Assumptions'!$D$51-'Assumptions'!$C$51)))</x:f>
        <x:v>0.06215374238064266</x:v>
      </x:c>
      <x:c r="L840" s="133" t="n">
        <x:f>(('Assumptions'!$B$17*(1+G840)+'Assumptions'!$B$18)*(1-H840-'Assumptions'!$B$20)-SUM('Assumptions'!$B$21:$B$25)*(1+I840))-(('Assumptions'!$B$17*(1+G840)+'Assumptions'!$B$18)*(1-H840-'Assumptions'!$B$20)*'Assumptions'!$B$26)</x:f>
        <x:v>220457.28614324617</x:v>
      </x:c>
      <x:c r="M840" s="133" t="n">
        <x:f>'Assumptions'!$B$10*'Assumptions'!$B$33</x:f>
        <x:v>1950000</x:v>
      </x:c>
      <x:c r="N840" s="133" t="n">
        <x:f>-PMT(K840/12,'Assumptions'!$B$35*12,M840)*12</x:f>
        <x:v>143551.27095682683</x:v>
      </x:c>
      <x:c r="O840" s="133" t="n">
        <x:f>(L840*(1+'Assumptions'!$B$29)^('Assumptions'!$B$14/12)/J840)*(1-'Assumptions'!$B$42)-'Debt Schedule'!$F$9</x:f>
        <x:v>3278241.7093397006</x:v>
      </x:c>
      <x:c r="P840" s="132" t="n">
        <x:f>((O840+(L840-N840-'Assumptions'!$B$27-'Assumptions'!$B$28)*('Assumptions'!$B$14/12))/ABS('Monthly Cash Flow'!$S$5))^(1/('Assumptions'!$B$14/12))-1</x:f>
        <x:v>0.21748708538654649</x:v>
      </x:c>
      <x:c r="Q840" s="133" t="n">
        <x:f>-ABS('Monthly Cash Flow'!$S$5)+((L840-N840-'Assumptions'!$B$27-'Assumptions'!$B$28)*(1-(1+'Assumptions'!$B$43)^-('Assumptions'!$B$14/12))/'Assumptions'!$B$43)+(O840/(1+'Assumptions'!$B$43)^('Assumptions'!$B$14/12))</x:f>
        <x:v>880933.0135511784</x:v>
      </x:c>
    </x:row>
    <x:row r="841">
      <x:c r="A841" s="131" t="n">
        <x:f>834</x:f>
        <x:v>834</x:v>
      </x:c>
      <x:c r="B841" s="131" t="n">
        <x:f>MOD(ABS(SIN((A841+1)*12.9898+78.233)*43758.5453),1)</x:f>
        <x:v>0.46701163183752215</x:v>
      </x:c>
      <x:c r="C841" s="131" t="n">
        <x:f>MOD(ABS(SIN((A841+2)*12.9898+78.233)*43758.5453),1)</x:f>
        <x:v>0.6059640076491632</x:v>
      </x:c>
      <x:c r="D841" s="131" t="n">
        <x:f>MOD(ABS(SIN((A841+3)*12.9898+78.233)*43758.5453),1)</x:f>
        <x:v>0.8395335597961093</x:v>
      </x:c>
      <x:c r="E841" s="131" t="n">
        <x:f>MOD(ABS(SIN((A841+4)*12.9898+78.233)*43758.5453),1)</x:f>
        <x:v>0.07875388416505302</x:v>
      </x:c>
      <x:c r="F841" s="131" t="n">
        <x:f>MOD(ABS(SIN((A841+5)*12.9898+78.233)*43758.5453),1)</x:f>
        <x:v>0.5464838695447725</x:v>
      </x:c>
      <x:c r="G841" s="132" t="n">
        <x:f>IF(B841&lt;(('Assumptions'!$C$47-'Assumptions'!$B$47)/('Assumptions'!$D$47-'Assumptions'!$B$47)),'Assumptions'!$B$47+SQRT(B841*('Assumptions'!$D$47-'Assumptions'!$B$47)*('Assumptions'!$C$47-'Assumptions'!$B$47)),'Assumptions'!$D$47-SQRT((1-B841)*('Assumptions'!$D$47-'Assumptions'!$B$47)*('Assumptions'!$D$47-'Assumptions'!$C$47)))</x:f>
        <x:v>0.005869160590327396</x:v>
      </x:c>
      <x:c r="H841" s="132" t="n">
        <x:f>IF(C841&lt;(('Assumptions'!$C$48-'Assumptions'!$B$48)/('Assumptions'!$D$48-'Assumptions'!$B$48)),'Assumptions'!$B$48+SQRT(C841*('Assumptions'!$D$48-'Assumptions'!$B$48)*('Assumptions'!$C$48-'Assumptions'!$B$48)),'Assumptions'!$D$48-SQRT((1-C841)*('Assumptions'!$D$48-'Assumptions'!$B$48)*('Assumptions'!$D$48-'Assumptions'!$C$48)))</x:f>
        <x:v>0.08111437584021577</x:v>
      </x:c>
      <x:c r="I841" s="132" t="n">
        <x:f>IF(D841&lt;(('Assumptions'!$C$49-'Assumptions'!$B$49)/('Assumptions'!$D$49-'Assumptions'!$B$49)),'Assumptions'!$B$49+SQRT(D841*('Assumptions'!$D$49-'Assumptions'!$B$49)*('Assumptions'!$C$49-'Assumptions'!$B$49)),'Assumptions'!$D$49-SQRT((1-D841)*('Assumptions'!$D$49-'Assumptions'!$B$49)*('Assumptions'!$D$49-'Assumptions'!$C$49)))</x:f>
        <x:v>0.09112661799757008</x:v>
      </x:c>
      <x:c r="J841" s="132" t="n">
        <x:f>IF(E841&lt;(('Assumptions'!$C$50-'Assumptions'!$B$50)/('Assumptions'!$D$50-'Assumptions'!$B$50)),'Assumptions'!$B$50+SQRT(E841*('Assumptions'!$D$50-'Assumptions'!$B$50)*('Assumptions'!$C$50-'Assumptions'!$B$50)),'Assumptions'!$D$50-SQRT((1-E841)*('Assumptions'!$D$50-'Assumptions'!$B$50)*('Assumptions'!$D$50-'Assumptions'!$C$50)))</x:f>
        <x:v>0.06170946836751827</x:v>
      </x:c>
      <x:c r="K841" s="132" t="n">
        <x:f>IF(F841&lt;(('Assumptions'!$C$51-'Assumptions'!$B$51)/('Assumptions'!$D$51-'Assumptions'!$B$51)),'Assumptions'!$B$51+SQRT(F841*('Assumptions'!$D$51-'Assumptions'!$B$51)*('Assumptions'!$C$51-'Assumptions'!$B$51)),'Assumptions'!$D$51-SQRT((1-F841)*('Assumptions'!$D$51-'Assumptions'!$B$51)*('Assumptions'!$D$51-'Assumptions'!$C$51)))</x:f>
        <x:v>0.07022655633301504</x:v>
      </x:c>
      <x:c r="L841" s="133" t="n">
        <x:f>(('Assumptions'!$B$17*(1+G841)+'Assumptions'!$B$18)*(1-H841-'Assumptions'!$B$20)-SUM('Assumptions'!$B$21:$B$25)*(1+I841))-(('Assumptions'!$B$17*(1+G841)+'Assumptions'!$B$18)*(1-H841-'Assumptions'!$B$20)*'Assumptions'!$B$26)</x:f>
        <x:v>194178.02857664015</x:v>
      </x:c>
      <x:c r="M841" s="133" t="n">
        <x:f>'Assumptions'!$B$10*'Assumptions'!$B$33</x:f>
        <x:v>1950000</x:v>
      </x:c>
      <x:c r="N841" s="133" t="n">
        <x:f>-PMT(K841/12,'Assumptions'!$B$35*12,M841)*12</x:f>
        <x:v>156036.98794074426</x:v>
      </x:c>
      <x:c r="O841" s="133" t="n">
        <x:f>(L841*(1+'Assumptions'!$B$29)^('Assumptions'!$B$14/12)/J841)*(1-'Assumptions'!$B$42)-'Debt Schedule'!$F$9</x:f>
        <x:v>3428958.7427284815</x:v>
      </x:c>
      <x:c r="P841" s="132" t="n">
        <x:f>((O841+(L841-N841-'Assumptions'!$B$27-'Assumptions'!$B$28)*('Assumptions'!$B$14/12))/ABS('Monthly Cash Flow'!$S$5))^(1/('Assumptions'!$B$14/12))-1</x:f>
        <x:v>0.21444059231670098</x:v>
      </x:c>
      <x:c r="Q841" s="133" t="n">
        <x:f>-ABS('Monthly Cash Flow'!$S$5)+((L841-N841-'Assumptions'!$B$27-'Assumptions'!$B$28)*(1-(1+'Assumptions'!$B$43)^-('Assumptions'!$B$14/12))/'Assumptions'!$B$43)+(O841/(1+'Assumptions'!$B$43)^('Assumptions'!$B$14/12))</x:f>
        <x:v>827566.6806879116</x:v>
      </x:c>
    </x:row>
    <x:row r="842">
      <x:c r="A842" s="131" t="n">
        <x:f>835</x:f>
        <x:v>835</x:v>
      </x:c>
      <x:c r="B842" s="131" t="n">
        <x:f>MOD(ABS(SIN((A842+1)*12.9898+78.233)*43758.5453),1)</x:f>
        <x:v>0.6059640076491632</x:v>
      </x:c>
      <x:c r="C842" s="131" t="n">
        <x:f>MOD(ABS(SIN((A842+2)*12.9898+78.233)*43758.5453),1)</x:f>
        <x:v>0.8395335597961093</x:v>
      </x:c>
      <x:c r="D842" s="131" t="n">
        <x:f>MOD(ABS(SIN((A842+3)*12.9898+78.233)*43758.5453),1)</x:f>
        <x:v>0.07875388416505302</x:v>
      </x:c>
      <x:c r="E842" s="131" t="n">
        <x:f>MOD(ABS(SIN((A842+4)*12.9898+78.233)*43758.5453),1)</x:f>
        <x:v>0.5464838695447725</x:v>
      </x:c>
      <x:c r="F842" s="131" t="n">
        <x:f>MOD(ABS(SIN((A842+5)*12.9898+78.233)*43758.5453),1)</x:f>
        <x:v>0.6619991626448609</x:v>
      </x:c>
      <x:c r="G842" s="132" t="n">
        <x:f>IF(B842&lt;(('Assumptions'!$C$47-'Assumptions'!$B$47)/('Assumptions'!$D$47-'Assumptions'!$B$47)),'Assumptions'!$B$47+SQRT(B842*('Assumptions'!$D$47-'Assumptions'!$B$47)*('Assumptions'!$C$47-'Assumptions'!$B$47)),'Assumptions'!$D$47-SQRT((1-B842)*('Assumptions'!$D$47-'Assumptions'!$B$47)*('Assumptions'!$D$47-'Assumptions'!$C$47)))</x:f>
        <x:v>0.020598640580822627</x:v>
      </x:c>
      <x:c r="H842" s="132" t="n">
        <x:f>IF(C842&lt;(('Assumptions'!$C$48-'Assumptions'!$B$48)/('Assumptions'!$D$48-'Assumptions'!$B$48)),'Assumptions'!$B$48+SQRT(C842*('Assumptions'!$D$48-'Assumptions'!$B$48)*('Assumptions'!$C$48-'Assumptions'!$B$48)),'Assumptions'!$D$48-SQRT((1-C842)*('Assumptions'!$D$48-'Assumptions'!$B$48)*('Assumptions'!$D$48-'Assumptions'!$C$48)))</x:f>
        <x:v>0.10242201876371966</x:v>
      </x:c>
      <x:c r="I842" s="132" t="n">
        <x:f>IF(D842&lt;(('Assumptions'!$C$49-'Assumptions'!$B$49)/('Assumptions'!$D$49-'Assumptions'!$B$49)),'Assumptions'!$B$49+SQRT(D842*('Assumptions'!$D$49-'Assumptions'!$B$49)*('Assumptions'!$C$49-'Assumptions'!$B$49)),'Assumptions'!$D$49-SQRT((1-D842)*('Assumptions'!$D$49-'Assumptions'!$B$49)*('Assumptions'!$D$49-'Assumptions'!$C$49)))</x:f>
        <x:v>-0.0008359476584173485</x:v>
      </x:c>
      <x:c r="J842" s="132" t="n">
        <x:f>IF(E842&lt;(('Assumptions'!$C$50-'Assumptions'!$B$50)/('Assumptions'!$D$50-'Assumptions'!$B$50)),'Assumptions'!$B$50+SQRT(E842*('Assumptions'!$D$50-'Assumptions'!$B$50)*('Assumptions'!$C$50-'Assumptions'!$B$50)),'Assumptions'!$D$50-SQRT((1-E842)*('Assumptions'!$D$50-'Assumptions'!$B$50)*('Assumptions'!$D$50-'Assumptions'!$C$50)))</x:f>
        <x:v>0.0687061338908887</x:v>
      </x:c>
      <x:c r="K842" s="132" t="n">
        <x:f>IF(F842&lt;(('Assumptions'!$C$51-'Assumptions'!$B$51)/('Assumptions'!$D$51-'Assumptions'!$B$51)),'Assumptions'!$B$51+SQRT(F842*('Assumptions'!$D$51-'Assumptions'!$B$51)*('Assumptions'!$C$51-'Assumptions'!$B$51)),'Assumptions'!$D$51-SQRT((1-F842)*('Assumptions'!$D$51-'Assumptions'!$B$51)*('Assumptions'!$D$51-'Assumptions'!$C$51)))</x:f>
        <x:v>0.07224606323611565</x:v>
      </x:c>
      <x:c r="L842" s="133" t="n">
        <x:f>(('Assumptions'!$B$17*(1+G842)+'Assumptions'!$B$18)*(1-H842-'Assumptions'!$B$20)-SUM('Assumptions'!$B$21:$B$25)*(1+I842))-(('Assumptions'!$B$17*(1+G842)+'Assumptions'!$B$18)*(1-H842-'Assumptions'!$B$20)*'Assumptions'!$B$26)</x:f>
        <x:v>202508.1974147895</x:v>
      </x:c>
      <x:c r="M842" s="133" t="n">
        <x:f>'Assumptions'!$B$10*'Assumptions'!$B$33</x:f>
        <x:v>1950000</x:v>
      </x:c>
      <x:c r="N842" s="133" t="n">
        <x:f>-PMT(K842/12,'Assumptions'!$B$35*12,M842)*12</x:f>
        <x:v>159226.41014270348</x:v>
      </x:c>
      <x:c r="O842" s="133" t="n">
        <x:f>(L842*(1+'Assumptions'!$B$29)^('Assumptions'!$B$14/12)/J842)*(1-'Assumptions'!$B$42)-'Debt Schedule'!$F$9</x:f>
        <x:v>3211893.0350654586</x:v>
      </x:c>
      <x:c r="P842" s="132" t="n">
        <x:f>((O842+(L842-N842-'Assumptions'!$B$27-'Assumptions'!$B$28)*('Assumptions'!$B$14/12))/ABS('Monthly Cash Flow'!$S$5))^(1/('Assumptions'!$B$14/12))-1</x:f>
        <x:v>0.20053387617658447</x:v>
      </x:c>
      <x:c r="Q842" s="133" t="n">
        <x:f>-ABS('Monthly Cash Flow'!$S$5)+((L842-N842-'Assumptions'!$B$27-'Assumptions'!$B$28)*(1-(1+'Assumptions'!$B$43)^-('Assumptions'!$B$14/12))/'Assumptions'!$B$43)+(O842/(1+'Assumptions'!$B$43)^('Assumptions'!$B$14/12))</x:f>
        <x:v>712273.4286283662</x:v>
      </x:c>
    </x:row>
    <x:row r="843">
      <x:c r="A843" s="131" t="n">
        <x:f>836</x:f>
        <x:v>836</x:v>
      </x:c>
      <x:c r="B843" s="131" t="n">
        <x:f>MOD(ABS(SIN((A843+1)*12.9898+78.233)*43758.5453),1)</x:f>
        <x:v>0.8395335597961093</x:v>
      </x:c>
      <x:c r="C843" s="131" t="n">
        <x:f>MOD(ABS(SIN((A843+2)*12.9898+78.233)*43758.5453),1)</x:f>
        <x:v>0.07875388416505302</x:v>
      </x:c>
      <x:c r="D843" s="131" t="n">
        <x:f>MOD(ABS(SIN((A843+3)*12.9898+78.233)*43758.5453),1)</x:f>
        <x:v>0.5464838695447725</x:v>
      </x:c>
      <x:c r="E843" s="131" t="n">
        <x:f>MOD(ABS(SIN((A843+4)*12.9898+78.233)*43758.5453),1)</x:f>
        <x:v>0.6619991626448609</x:v>
      </x:c>
      <x:c r="F843" s="131" t="n">
        <x:f>MOD(ABS(SIN((A843+5)*12.9898+78.233)*43758.5453),1)</x:f>
        <x:v>0.8594762236461975</x:v>
      </x:c>
      <x:c r="G843" s="132" t="n">
        <x:f>IF(B843&lt;(('Assumptions'!$C$47-'Assumptions'!$B$47)/('Assumptions'!$D$47-'Assumptions'!$B$47)),'Assumptions'!$B$47+SQRT(B843*('Assumptions'!$D$47-'Assumptions'!$B$47)*('Assumptions'!$C$47-'Assumptions'!$B$47)),'Assumptions'!$D$47-SQRT((1-B843)*('Assumptions'!$D$47-'Assumptions'!$B$47)*('Assumptions'!$D$47-'Assumptions'!$C$47)))</x:f>
        <x:v>0.049329860437707</x:v>
      </x:c>
      <x:c r="H843" s="132" t="n">
        <x:f>IF(C843&lt;(('Assumptions'!$C$48-'Assumptions'!$B$48)/('Assumptions'!$D$48-'Assumptions'!$B$48)),'Assumptions'!$B$48+SQRT(C843*('Assumptions'!$D$48-'Assumptions'!$B$48)*('Assumptions'!$C$48-'Assumptions'!$B$48)),'Assumptions'!$D$48-SQRT((1-C843)*('Assumptions'!$D$48-'Assumptions'!$B$48)*('Assumptions'!$D$48-'Assumptions'!$C$48)))</x:f>
        <x:v>0.04612103649721924</x:v>
      </x:c>
      <x:c r="I843" s="132" t="n">
        <x:f>IF(D843&lt;(('Assumptions'!$C$49-'Assumptions'!$B$49)/('Assumptions'!$D$49-'Assumptions'!$B$49)),'Assumptions'!$B$49+SQRT(D843*('Assumptions'!$D$49-'Assumptions'!$B$49)*('Assumptions'!$C$49-'Assumptions'!$B$49)),'Assumptions'!$D$49-SQRT((1-D843)*('Assumptions'!$D$49-'Assumptions'!$B$49)*('Assumptions'!$D$49-'Assumptions'!$C$49)))</x:f>
        <x:v>0.05102551632954626</x:v>
      </x:c>
      <x:c r="J843" s="132" t="n">
        <x:f>IF(E843&lt;(('Assumptions'!$C$50-'Assumptions'!$B$50)/('Assumptions'!$D$50-'Assumptions'!$B$50)),'Assumptions'!$B$50+SQRT(E843*('Assumptions'!$D$50-'Assumptions'!$B$50)*('Assumptions'!$C$50-'Assumptions'!$B$50)),'Assumptions'!$D$50-SQRT((1-E843)*('Assumptions'!$D$50-'Assumptions'!$B$50)*('Assumptions'!$D$50-'Assumptions'!$C$50)))</x:f>
        <x:v>0.0702499879227699</x:v>
      </x:c>
      <x:c r="K843" s="132" t="n">
        <x:f>IF(F843&lt;(('Assumptions'!$C$51-'Assumptions'!$B$51)/('Assumptions'!$D$51-'Assumptions'!$B$51)),'Assumptions'!$B$51+SQRT(F843*('Assumptions'!$D$51-'Assumptions'!$B$51)*('Assumptions'!$C$51-'Assumptions'!$B$51)),'Assumptions'!$D$51-SQRT((1-F843)*('Assumptions'!$D$51-'Assumptions'!$B$51)*('Assumptions'!$D$51-'Assumptions'!$C$51)))</x:f>
        <x:v>0.0767764321994485</x:v>
      </x:c>
      <x:c r="L843" s="133" t="n">
        <x:f>(('Assumptions'!$B$17*(1+G843)+'Assumptions'!$B$18)*(1-H843-'Assumptions'!$B$20)-SUM('Assumptions'!$B$21:$B$25)*(1+I843))-(('Assumptions'!$B$17*(1+G843)+'Assumptions'!$B$18)*(1-H843-'Assumptions'!$B$20)*'Assumptions'!$B$26)</x:f>
        <x:v>226177.20912007958</x:v>
      </x:c>
      <x:c r="M843" s="133" t="n">
        <x:f>'Assumptions'!$B$10*'Assumptions'!$B$33</x:f>
        <x:v>1950000</x:v>
      </x:c>
      <x:c r="N843" s="133" t="n">
        <x:f>-PMT(K843/12,'Assumptions'!$B$35*12,M843)*12</x:f>
        <x:v>166471.96190659775</x:v>
      </x:c>
      <x:c r="O843" s="133" t="n">
        <x:f>(L843*(1+'Assumptions'!$B$29)^('Assumptions'!$B$14/12)/J843)*(1-'Assumptions'!$B$42)-'Debt Schedule'!$F$9</x:f>
        <x:v>3508460.279275354</x:v>
      </x:c>
      <x:c r="P843" s="132" t="n">
        <x:f>((O843+(L843-N843-'Assumptions'!$B$27-'Assumptions'!$B$28)*('Assumptions'!$B$14/12))/ABS('Monthly Cash Flow'!$S$5))^(1/('Assumptions'!$B$14/12))-1</x:f>
        <x:v>0.22746323442233685</x:v>
      </x:c>
      <x:c r="Q843" s="133" t="n">
        <x:f>-ABS('Monthly Cash Flow'!$S$5)+((L843-N843-'Assumptions'!$B$27-'Assumptions'!$B$28)*(1-(1+'Assumptions'!$B$43)^-('Assumptions'!$B$14/12))/'Assumptions'!$B$43)+(O843/(1+'Assumptions'!$B$43)^('Assumptions'!$B$14/12))</x:f>
        <x:v>958676.1889329345</x:v>
      </x:c>
    </x:row>
    <x:row r="844">
      <x:c r="A844" s="131" t="n">
        <x:f>837</x:f>
        <x:v>837</x:v>
      </x:c>
      <x:c r="B844" s="131" t="n">
        <x:f>MOD(ABS(SIN((A844+1)*12.9898+78.233)*43758.5453),1)</x:f>
        <x:v>0.07875388416505302</x:v>
      </x:c>
      <x:c r="C844" s="131" t="n">
        <x:f>MOD(ABS(SIN((A844+2)*12.9898+78.233)*43758.5453),1)</x:f>
        <x:v>0.5464838695447725</x:v>
      </x:c>
      <x:c r="D844" s="131" t="n">
        <x:f>MOD(ABS(SIN((A844+3)*12.9898+78.233)*43758.5453),1)</x:f>
        <x:v>0.6619991626448609</x:v>
      </x:c>
      <x:c r="E844" s="131" t="n">
        <x:f>MOD(ABS(SIN((A844+4)*12.9898+78.233)*43758.5453),1)</x:f>
        <x:v>0.8594762236461975</x:v>
      </x:c>
      <x:c r="F844" s="131" t="n">
        <x:f>MOD(ABS(SIN((A844+5)*12.9898+78.233)*43758.5453),1)</x:f>
        <x:v>0.9859995236838586</x:v>
      </x:c>
      <x:c r="G844" s="132" t="n">
        <x:f>IF(B844&lt;(('Assumptions'!$C$47-'Assumptions'!$B$47)/('Assumptions'!$D$47-'Assumptions'!$B$47)),'Assumptions'!$B$47+SQRT(B844*('Assumptions'!$D$47-'Assumptions'!$B$47)*('Assumptions'!$C$47-'Assumptions'!$B$47)),'Assumptions'!$D$47-SQRT((1-B844)*('Assumptions'!$D$47-'Assumptions'!$B$47)*('Assumptions'!$D$47-'Assumptions'!$C$47)))</x:f>
        <x:v>-0.05652479764323951</x:v>
      </x:c>
      <x:c r="H844" s="132" t="n">
        <x:f>IF(C844&lt;(('Assumptions'!$C$48-'Assumptions'!$B$48)/('Assumptions'!$D$48-'Assumptions'!$B$48)),'Assumptions'!$B$48+SQRT(C844*('Assumptions'!$D$48-'Assumptions'!$B$48)*('Assumptions'!$C$48-'Assumptions'!$B$48)),'Assumptions'!$D$48-SQRT((1-C844)*('Assumptions'!$D$48-'Assumptions'!$B$48)*('Assumptions'!$D$48-'Assumptions'!$C$48)))</x:f>
        <x:v>0.07682609757181372</x:v>
      </x:c>
      <x:c r="I844" s="132" t="n">
        <x:f>IF(D844&lt;(('Assumptions'!$C$49-'Assumptions'!$B$49)/('Assumptions'!$D$49-'Assumptions'!$B$49)),'Assumptions'!$B$49+SQRT(D844*('Assumptions'!$D$49-'Assumptions'!$B$49)*('Assumptions'!$C$49-'Assumptions'!$B$49)),'Assumptions'!$D$49-SQRT((1-D844)*('Assumptions'!$D$49-'Assumptions'!$B$49)*('Assumptions'!$D$49-'Assumptions'!$C$49)))</x:f>
        <x:v>0.06455517518965233</x:v>
      </x:c>
      <x:c r="J844" s="132" t="n">
        <x:f>IF(E844&lt;(('Assumptions'!$C$50-'Assumptions'!$B$50)/('Assumptions'!$D$50-'Assumptions'!$B$50)),'Assumptions'!$B$50+SQRT(E844*('Assumptions'!$D$50-'Assumptions'!$B$50)*('Assumptions'!$C$50-'Assumptions'!$B$50)),'Assumptions'!$D$50-SQRT((1-E844)*('Assumptions'!$D$50-'Assumptions'!$B$50)*('Assumptions'!$D$50-'Assumptions'!$C$50)))</x:f>
        <x:v>0.07371332265027805</x:v>
      </x:c>
      <x:c r="K844" s="132" t="n">
        <x:f>IF(F844&lt;(('Assumptions'!$C$51-'Assumptions'!$B$51)/('Assumptions'!$D$51-'Assumptions'!$B$51)),'Assumptions'!$B$51+SQRT(F844*('Assumptions'!$D$51-'Assumptions'!$B$51)*('Assumptions'!$C$51-'Assumptions'!$B$51)),'Assumptions'!$D$51-SQRT((1-F844)*('Assumptions'!$D$51-'Assumptions'!$B$51)*('Assumptions'!$D$51-'Assumptions'!$C$51)))</x:f>
        <x:v>0.082404286374204</x:v>
      </x:c>
      <x:c r="L844" s="133" t="n">
        <x:f>(('Assumptions'!$B$17*(1+G844)+'Assumptions'!$B$18)*(1-H844-'Assumptions'!$B$20)-SUM('Assumptions'!$B$21:$B$25)*(1+I844))-(('Assumptions'!$B$17*(1+G844)+'Assumptions'!$B$18)*(1-H844-'Assumptions'!$B$20)*'Assumptions'!$B$26)</x:f>
        <x:v>179399.76879071037</x:v>
      </x:c>
      <x:c r="M844" s="133" t="n">
        <x:f>'Assumptions'!$B$10*'Assumptions'!$B$33</x:f>
        <x:v>1950000</x:v>
      </x:c>
      <x:c r="N844" s="133" t="n">
        <x:f>-PMT(K844/12,'Assumptions'!$B$35*12,M844)*12</x:f>
        <x:v>175638.95704020493</x:v>
      </x:c>
      <x:c r="O844" s="133" t="n">
        <x:f>(L844*(1+'Assumptions'!$B$29)^('Assumptions'!$B$14/12)/J844)*(1-'Assumptions'!$B$42)-'Debt Schedule'!$F$9</x:f>
        <x:v>2652099.835036785</x:v>
      </x:c>
      <x:c r="P844" s="132" t="n">
        <x:f>((O844+(L844-N844-'Assumptions'!$B$27-'Assumptions'!$B$28)*('Assumptions'!$B$14/12))/ABS('Monthly Cash Flow'!$S$5))^(1/('Assumptions'!$B$14/12))-1</x:f>
        <x:v>0.13802226720650568</x:v>
      </x:c>
      <x:c r="Q844" s="133" t="n">
        <x:f>-ABS('Monthly Cash Flow'!$S$5)+((L844-N844-'Assumptions'!$B$27-'Assumptions'!$B$28)*(1-(1+'Assumptions'!$B$43)^-('Assumptions'!$B$14/12))/'Assumptions'!$B$43)+(O844/(1+'Assumptions'!$B$43)^('Assumptions'!$B$14/12))</x:f>
        <x:v>214870.30310572102</x:v>
      </x:c>
    </x:row>
    <x:row r="845">
      <x:c r="A845" s="131" t="n">
        <x:f>838</x:f>
        <x:v>838</x:v>
      </x:c>
      <x:c r="B845" s="131" t="n">
        <x:f>MOD(ABS(SIN((A845+1)*12.9898+78.233)*43758.5453),1)</x:f>
        <x:v>0.5464838695447725</x:v>
      </x:c>
      <x:c r="C845" s="131" t="n">
        <x:f>MOD(ABS(SIN((A845+2)*12.9898+78.233)*43758.5453),1)</x:f>
        <x:v>0.6619991626448609</x:v>
      </x:c>
      <x:c r="D845" s="131" t="n">
        <x:f>MOD(ABS(SIN((A845+3)*12.9898+78.233)*43758.5453),1)</x:f>
        <x:v>0.8594762236461975</x:v>
      </x:c>
      <x:c r="E845" s="131" t="n">
        <x:f>MOD(ABS(SIN((A845+4)*12.9898+78.233)*43758.5453),1)</x:f>
        <x:v>0.9859995236838586</x:v>
      </x:c>
      <x:c r="F845" s="131" t="n">
        <x:f>MOD(ABS(SIN((A845+5)*12.9898+78.233)*43758.5453),1)</x:f>
        <x:v>0.7557759992268984</x:v>
      </x:c>
      <x:c r="G845" s="132" t="n">
        <x:f>IF(B845&lt;(('Assumptions'!$C$47-'Assumptions'!$B$47)/('Assumptions'!$D$47-'Assumptions'!$B$47)),'Assumptions'!$B$47+SQRT(B845*('Assumptions'!$D$47-'Assumptions'!$B$47)*('Assumptions'!$C$47-'Assumptions'!$B$47)),'Assumptions'!$D$47-SQRT((1-B845)*('Assumptions'!$D$47-'Assumptions'!$B$47)*('Assumptions'!$D$47-'Assumptions'!$C$47)))</x:f>
        <x:v>0.014523416247833515</x:v>
      </x:c>
      <x:c r="H845" s="132" t="n">
        <x:f>IF(C845&lt;(('Assumptions'!$C$48-'Assumptions'!$B$48)/('Assumptions'!$D$48-'Assumptions'!$B$48)),'Assumptions'!$B$48+SQRT(C845*('Assumptions'!$D$48-'Assumptions'!$B$48)*('Assumptions'!$C$48-'Assumptions'!$B$48)),'Assumptions'!$D$48-SQRT((1-C845)*('Assumptions'!$D$48-'Assumptions'!$B$48)*('Assumptions'!$D$48-'Assumptions'!$C$48)))</x:f>
        <x:v>0.0854618723393879</x:v>
      </x:c>
      <x:c r="I845" s="132" t="n">
        <x:f>IF(D845&lt;(('Assumptions'!$C$49-'Assumptions'!$B$49)/('Assumptions'!$D$49-'Assumptions'!$B$49)),'Assumptions'!$B$49+SQRT(D845*('Assumptions'!$D$49-'Assumptions'!$B$49)*('Assumptions'!$C$49-'Assumptions'!$B$49)),'Assumptions'!$D$49-SQRT((1-D845)*('Assumptions'!$D$49-'Assumptions'!$B$49)*('Assumptions'!$D$49-'Assumptions'!$C$49)))</x:f>
        <x:v>0.09490632006080793</x:v>
      </x:c>
      <x:c r="J845" s="132" t="n">
        <x:f>IF(E845&lt;(('Assumptions'!$C$50-'Assumptions'!$B$50)/('Assumptions'!$D$50-'Assumptions'!$B$50)),'Assumptions'!$B$50+SQRT(E845*('Assumptions'!$D$50-'Assumptions'!$B$50)*('Assumptions'!$C$50-'Assumptions'!$B$50)),'Assumptions'!$D$50-SQRT((1-E845)*('Assumptions'!$D$50-'Assumptions'!$B$50)*('Assumptions'!$D$50-'Assumptions'!$C$50)))</x:f>
        <x:v>0.07801565276125504</x:v>
      </x:c>
      <x:c r="K845" s="132" t="n">
        <x:f>IF(F845&lt;(('Assumptions'!$C$51-'Assumptions'!$B$51)/('Assumptions'!$D$51-'Assumptions'!$B$51)),'Assumptions'!$B$51+SQRT(F845*('Assumptions'!$D$51-'Assumptions'!$B$51)*('Assumptions'!$C$51-'Assumptions'!$B$51)),'Assumptions'!$D$51-SQRT((1-F845)*('Assumptions'!$D$51-'Assumptions'!$B$51)*('Assumptions'!$D$51-'Assumptions'!$C$51)))</x:f>
        <x:v>0.07415874544289015</x:v>
      </x:c>
      <x:c r="L845" s="133" t="n">
        <x:f>(('Assumptions'!$B$17*(1+G845)+'Assumptions'!$B$18)*(1-H845-'Assumptions'!$B$20)-SUM('Assumptions'!$B$21:$B$25)*(1+I845))-(('Assumptions'!$B$17*(1+G845)+'Assumptions'!$B$18)*(1-H845-'Assumptions'!$B$20)*'Assumptions'!$B$26)</x:f>
        <x:v>194820.7410183828</x:v>
      </x:c>
      <x:c r="M845" s="133" t="n">
        <x:f>'Assumptions'!$B$10*'Assumptions'!$B$33</x:f>
        <x:v>1950000</x:v>
      </x:c>
      <x:c r="N845" s="133" t="n">
        <x:f>-PMT(K845/12,'Assumptions'!$B$35*12,M845)*12</x:f>
        <x:v>162270.3564704134</x:v>
      </x:c>
      <x:c r="O845" s="133" t="n">
        <x:f>(L845*(1+'Assumptions'!$B$29)^('Assumptions'!$B$14/12)/J845)*(1-'Assumptions'!$B$42)-'Debt Schedule'!$F$9</x:f>
        <x:v>2721243.604745543</x:v>
      </x:c>
      <x:c r="P845" s="132" t="n">
        <x:f>((O845+(L845-N845-'Assumptions'!$B$27-'Assumptions'!$B$28)*('Assumptions'!$B$14/12))/ABS('Monthly Cash Flow'!$S$5))^(1/('Assumptions'!$B$14/12))-1</x:f>
        <x:v>0.1570068937688398</x:v>
      </x:c>
      <x:c r="Q845" s="133" t="n">
        <x:f>-ABS('Monthly Cash Flow'!$S$5)+((L845-N845-'Assumptions'!$B$27-'Assumptions'!$B$28)*(1-(1+'Assumptions'!$B$43)^-('Assumptions'!$B$14/12))/'Assumptions'!$B$43)+(O845/(1+'Assumptions'!$B$43)^('Assumptions'!$B$14/12))</x:f>
        <x:v>366938.2757321284</x:v>
      </x:c>
    </x:row>
    <x:row r="846">
      <x:c r="A846" s="131" t="n">
        <x:f>839</x:f>
        <x:v>839</x:v>
      </x:c>
      <x:c r="B846" s="131" t="n">
        <x:f>MOD(ABS(SIN((A846+1)*12.9898+78.233)*43758.5453),1)</x:f>
        <x:v>0.6619991626448609</x:v>
      </x:c>
      <x:c r="C846" s="131" t="n">
        <x:f>MOD(ABS(SIN((A846+2)*12.9898+78.233)*43758.5453),1)</x:f>
        <x:v>0.8594762236461975</x:v>
      </x:c>
      <x:c r="D846" s="131" t="n">
        <x:f>MOD(ABS(SIN((A846+3)*12.9898+78.233)*43758.5453),1)</x:f>
        <x:v>0.9859995236838586</x:v>
      </x:c>
      <x:c r="E846" s="131" t="n">
        <x:f>MOD(ABS(SIN((A846+4)*12.9898+78.233)*43758.5453),1)</x:f>
        <x:v>0.7557759992268984</x:v>
      </x:c>
      <x:c r="F846" s="131" t="n">
        <x:f>MOD(ABS(SIN((A846+5)*12.9898+78.233)*43758.5453),1)</x:f>
        <x:v>0.27683452022029087</x:v>
      </x:c>
      <x:c r="G846" s="132" t="n">
        <x:f>IF(B846&lt;(('Assumptions'!$C$47-'Assumptions'!$B$47)/('Assumptions'!$D$47-'Assumptions'!$B$47)),'Assumptions'!$B$47+SQRT(B846*('Assumptions'!$D$47-'Assumptions'!$B$47)*('Assumptions'!$C$47-'Assumptions'!$B$47)),'Assumptions'!$D$47-SQRT((1-B846)*('Assumptions'!$D$47-'Assumptions'!$B$47)*('Assumptions'!$D$47-'Assumptions'!$C$47)))</x:f>
        <x:v>0.02646080366442516</x:v>
      </x:c>
      <x:c r="H846" s="132" t="n">
        <x:f>IF(C846&lt;(('Assumptions'!$C$48-'Assumptions'!$B$48)/('Assumptions'!$D$48-'Assumptions'!$B$48)),'Assumptions'!$B$48+SQRT(C846*('Assumptions'!$D$48-'Assumptions'!$B$48)*('Assumptions'!$C$48-'Assumptions'!$B$48)),'Assumptions'!$D$48-SQRT((1-C846)*('Assumptions'!$D$48-'Assumptions'!$B$48)*('Assumptions'!$D$48-'Assumptions'!$C$48)))</x:f>
        <x:v>0.10483454490677731</x:v>
      </x:c>
      <x:c r="I846" s="132" t="n">
        <x:f>IF(D846&lt;(('Assumptions'!$C$49-'Assumptions'!$B$49)/('Assumptions'!$D$49-'Assumptions'!$B$49)),'Assumptions'!$B$49+SQRT(D846*('Assumptions'!$D$49-'Assumptions'!$B$49)*('Assumptions'!$C$49-'Assumptions'!$B$49)),'Assumptions'!$D$49-SQRT((1-D846)*('Assumptions'!$D$49-'Assumptions'!$B$49)*('Assumptions'!$D$49-'Assumptions'!$C$49)))</x:f>
        <x:v>0.13261005208666066</x:v>
      </x:c>
      <x:c r="J846" s="132" t="n">
        <x:f>IF(E846&lt;(('Assumptions'!$C$50-'Assumptions'!$B$50)/('Assumptions'!$D$50-'Assumptions'!$B$50)),'Assumptions'!$B$50+SQRT(E846*('Assumptions'!$D$50-'Assumptions'!$B$50)*('Assumptions'!$C$50-'Assumptions'!$B$50)),'Assumptions'!$D$50-SQRT((1-E846)*('Assumptions'!$D$50-'Assumptions'!$B$50)*('Assumptions'!$D$50-'Assumptions'!$C$50)))</x:f>
        <x:v>0.07171217759496291</x:v>
      </x:c>
      <x:c r="K846" s="132" t="n">
        <x:f>IF(F846&lt;(('Assumptions'!$C$51-'Assumptions'!$B$51)/('Assumptions'!$D$51-'Assumptions'!$B$51)),'Assumptions'!$B$51+SQRT(F846*('Assumptions'!$D$51-'Assumptions'!$B$51)*('Assumptions'!$C$51-'Assumptions'!$B$51)),'Assumptions'!$D$51-SQRT((1-F846)*('Assumptions'!$D$51-'Assumptions'!$B$51)*('Assumptions'!$D$51-'Assumptions'!$C$51)))</x:f>
        <x:v>0.06622522166254703</x:v>
      </x:c>
      <x:c r="L846" s="133" t="n">
        <x:f>(('Assumptions'!$B$17*(1+G846)+'Assumptions'!$B$18)*(1-H846-'Assumptions'!$B$20)-SUM('Assumptions'!$B$21:$B$25)*(1+I846))-(('Assumptions'!$B$17*(1+G846)+'Assumptions'!$B$18)*(1-H846-'Assumptions'!$B$20)*'Assumptions'!$B$26)</x:f>
        <x:v>186594.68240952498</x:v>
      </x:c>
      <x:c r="M846" s="133" t="n">
        <x:f>'Assumptions'!$B$10*'Assumptions'!$B$33</x:f>
        <x:v>1950000</x:v>
      </x:c>
      <x:c r="N846" s="133" t="n">
        <x:f>-PMT(K846/12,'Assumptions'!$B$35*12,M846)*12</x:f>
        <x:v>149794.42903629277</x:v>
      </x:c>
      <x:c r="O846" s="133" t="n">
        <x:f>(L846*(1+'Assumptions'!$B$29)^('Assumptions'!$B$14/12)/J846)*(1-'Assumptions'!$B$42)-'Debt Schedule'!$F$9</x:f>
        <x:v>2835439.138452695</x:v>
      </x:c>
      <x:c r="P846" s="132" t="n">
        <x:f>((O846+(L846-N846-'Assumptions'!$B$27-'Assumptions'!$B$28)*('Assumptions'!$B$14/12))/ABS('Monthly Cash Flow'!$S$5))^(1/('Assumptions'!$B$14/12))-1</x:f>
        <x:v>0.16845548853114933</x:v>
      </x:c>
      <x:c r="Q846" s="133" t="n">
        <x:f>-ABS('Monthly Cash Flow'!$S$5)+((L846-N846-'Assumptions'!$B$27-'Assumptions'!$B$28)*(1-(1+'Assumptions'!$B$43)^-('Assumptions'!$B$14/12))/'Assumptions'!$B$43)+(O846/(1+'Assumptions'!$B$43)^('Assumptions'!$B$14/12))</x:f>
        <x:v>453955.06412354717</x:v>
      </x:c>
    </x:row>
    <x:row r="847">
      <x:c r="A847" s="131" t="n">
        <x:f>840</x:f>
        <x:v>840</x:v>
      </x:c>
      <x:c r="B847" s="131" t="n">
        <x:f>MOD(ABS(SIN((A847+1)*12.9898+78.233)*43758.5453),1)</x:f>
        <x:v>0.8594762236461975</x:v>
      </x:c>
      <x:c r="C847" s="131" t="n">
        <x:f>MOD(ABS(SIN((A847+2)*12.9898+78.233)*43758.5453),1)</x:f>
        <x:v>0.9859995236838586</x:v>
      </x:c>
      <x:c r="D847" s="131" t="n">
        <x:f>MOD(ABS(SIN((A847+3)*12.9898+78.233)*43758.5453),1)</x:f>
        <x:v>0.7557759992268984</x:v>
      </x:c>
      <x:c r="E847" s="131" t="n">
        <x:f>MOD(ABS(SIN((A847+4)*12.9898+78.233)*43758.5453),1)</x:f>
        <x:v>0.27683452022029087</x:v>
      </x:c>
      <x:c r="F847" s="131" t="n">
        <x:f>MOD(ABS(SIN((A847+5)*12.9898+78.233)*43758.5453),1)</x:f>
        <x:v>0.16200001543256803</x:v>
      </x:c>
      <x:c r="G847" s="132" t="n">
        <x:f>IF(B847&lt;(('Assumptions'!$C$47-'Assumptions'!$B$47)/('Assumptions'!$D$47-'Assumptions'!$B$47)),'Assumptions'!$B$47+SQRT(B847*('Assumptions'!$D$47-'Assumptions'!$B$47)*('Assumptions'!$C$47-'Assumptions'!$B$47)),'Assumptions'!$D$47-SQRT((1-B847)*('Assumptions'!$D$47-'Assumptions'!$B$47)*('Assumptions'!$D$47-'Assumptions'!$C$47)))</x:f>
        <x:v>0.052582910025383886</x:v>
      </x:c>
      <x:c r="H847" s="132" t="n">
        <x:f>IF(C847&lt;(('Assumptions'!$C$48-'Assumptions'!$B$48)/('Assumptions'!$D$48-'Assumptions'!$B$48)),'Assumptions'!$B$48+SQRT(C847*('Assumptions'!$D$48-'Assumptions'!$B$48)*('Assumptions'!$C$48-'Assumptions'!$B$48)),'Assumptions'!$D$48-SQRT((1-C847)*('Assumptions'!$D$48-'Assumptions'!$B$48)*('Assumptions'!$D$48-'Assumptions'!$C$48)))</x:f>
        <x:v>0.1289002616435321</x:v>
      </x:c>
      <x:c r="I847" s="132" t="n">
        <x:f>IF(D847&lt;(('Assumptions'!$C$49-'Assumptions'!$B$49)/('Assumptions'!$D$49-'Assumptions'!$B$49)),'Assumptions'!$B$49+SQRT(D847*('Assumptions'!$D$49-'Assumptions'!$B$49)*('Assumptions'!$C$49-'Assumptions'!$B$49)),'Assumptions'!$D$49-SQRT((1-D847)*('Assumptions'!$D$49-'Assumptions'!$B$49)*('Assumptions'!$D$49-'Assumptions'!$C$49)))</x:f>
        <x:v>0.07736916345863147</x:v>
      </x:c>
      <x:c r="J847" s="132" t="n">
        <x:f>IF(E847&lt;(('Assumptions'!$C$50-'Assumptions'!$B$50)/('Assumptions'!$D$50-'Assumptions'!$B$50)),'Assumptions'!$B$50+SQRT(E847*('Assumptions'!$D$50-'Assumptions'!$B$50)*('Assumptions'!$C$50-'Assumptions'!$B$50)),'Assumptions'!$D$50-SQRT((1-E847)*('Assumptions'!$D$50-'Assumptions'!$B$50)*('Assumptions'!$D$50-'Assumptions'!$C$50)))</x:f>
        <x:v>0.06539225994564077</x:v>
      </x:c>
      <x:c r="K847" s="132" t="n">
        <x:f>IF(F847&lt;(('Assumptions'!$C$51-'Assumptions'!$B$51)/('Assumptions'!$D$51-'Assumptions'!$B$51)),'Assumptions'!$B$51+SQRT(F847*('Assumptions'!$D$51-'Assumptions'!$B$51)*('Assumptions'!$C$51-'Assumptions'!$B$51)),'Assumptions'!$D$51-SQRT((1-F847)*('Assumptions'!$D$51-'Assumptions'!$B$51)*('Assumptions'!$D$51-'Assumptions'!$C$51)))</x:f>
        <x:v>0.0641745789563055</x:v>
      </x:c>
      <x:c r="L847" s="133" t="n">
        <x:f>(('Assumptions'!$B$17*(1+G847)+'Assumptions'!$B$18)*(1-H847-'Assumptions'!$B$20)-SUM('Assumptions'!$B$21:$B$25)*(1+I847))-(('Assumptions'!$B$17*(1+G847)+'Assumptions'!$B$18)*(1-H847-'Assumptions'!$B$20)*'Assumptions'!$B$26)</x:f>
        <x:v>192375.82580942995</x:v>
      </x:c>
      <x:c r="M847" s="133" t="n">
        <x:f>'Assumptions'!$B$10*'Assumptions'!$B$33</x:f>
        <x:v>1950000</x:v>
      </x:c>
      <x:c r="N847" s="133" t="n">
        <x:f>-PMT(K847/12,'Assumptions'!$B$35*12,M847)*12</x:f>
        <x:v>146635.96804766534</x:v>
      </x:c>
      <x:c r="O847" s="133" t="n">
        <x:f>(L847*(1+'Assumptions'!$B$29)^('Assumptions'!$B$14/12)/J847)*(1-'Assumptions'!$B$42)-'Debt Schedule'!$F$9</x:f>
        <x:v>3205812.570390058</x:v>
      </x:c>
      <x:c r="P847" s="132" t="n">
        <x:f>((O847+(L847-N847-'Assumptions'!$B$27-'Assumptions'!$B$28)*('Assumptions'!$B$14/12))/ABS('Monthly Cash Flow'!$S$5))^(1/('Assumptions'!$B$14/12))-1</x:f>
        <x:v>0.20099538511040205</x:v>
      </x:c>
      <x:c r="Q847" s="133" t="n">
        <x:f>-ABS('Monthly Cash Flow'!$S$5)+((L847-N847-'Assumptions'!$B$27-'Assumptions'!$B$28)*(1-(1+'Assumptions'!$B$43)^-('Assumptions'!$B$14/12))/'Assumptions'!$B$43)+(O847/(1+'Assumptions'!$B$43)^('Assumptions'!$B$14/12))</x:f>
        <x:v>717815.9595478489</x:v>
      </x:c>
    </x:row>
    <x:row r="848">
      <x:c r="A848" s="131" t="n">
        <x:f>841</x:f>
        <x:v>841</x:v>
      </x:c>
      <x:c r="B848" s="131" t="n">
        <x:f>MOD(ABS(SIN((A848+1)*12.9898+78.233)*43758.5453),1)</x:f>
        <x:v>0.9859995236838586</x:v>
      </x:c>
      <x:c r="C848" s="131" t="n">
        <x:f>MOD(ABS(SIN((A848+2)*12.9898+78.233)*43758.5453),1)</x:f>
        <x:v>0.7557759992268984</x:v>
      </x:c>
      <x:c r="D848" s="131" t="n">
        <x:f>MOD(ABS(SIN((A848+3)*12.9898+78.233)*43758.5453),1)</x:f>
        <x:v>0.27683452022029087</x:v>
      </x:c>
      <x:c r="E848" s="131" t="n">
        <x:f>MOD(ABS(SIN((A848+4)*12.9898+78.233)*43758.5453),1)</x:f>
        <x:v>0.16200001543256803</x:v>
      </x:c>
      <x:c r="F848" s="131" t="n">
        <x:f>MOD(ABS(SIN((A848+5)*12.9898+78.233)*43758.5453),1)</x:f>
        <x:v>0.15783678792104183</x:v>
      </x:c>
      <x:c r="G848" s="132" t="n">
        <x:f>IF(B848&lt;(('Assumptions'!$C$47-'Assumptions'!$B$47)/('Assumptions'!$D$47-'Assumptions'!$B$47)),'Assumptions'!$B$47+SQRT(B848*('Assumptions'!$D$47-'Assumptions'!$B$47)*('Assumptions'!$C$47-'Assumptions'!$B$47)),'Assumptions'!$D$47-SQRT((1-B848)*('Assumptions'!$D$47-'Assumptions'!$B$47)*('Assumptions'!$D$47-'Assumptions'!$C$47)))</x:f>
        <x:v>0.08503311585338275</x:v>
      </x:c>
      <x:c r="H848" s="132" t="n">
        <x:f>IF(C848&lt;(('Assumptions'!$C$48-'Assumptions'!$B$48)/('Assumptions'!$D$48-'Assumptions'!$B$48)),'Assumptions'!$B$48+SQRT(C848*('Assumptions'!$D$48-'Assumptions'!$B$48)*('Assumptions'!$C$48-'Assumptions'!$B$48)),'Assumptions'!$D$48-SQRT((1-C848)*('Assumptions'!$D$48-'Assumptions'!$B$48)*('Assumptions'!$D$48-'Assumptions'!$C$48)))</x:f>
        <x:v>0.09364084549084944</x:v>
      </x:c>
      <x:c r="I848" s="132" t="n">
        <x:f>IF(D848&lt;(('Assumptions'!$C$49-'Assumptions'!$B$49)/('Assumptions'!$D$49-'Assumptions'!$B$49)),'Assumptions'!$B$49+SQRT(D848*('Assumptions'!$D$49-'Assumptions'!$B$49)*('Assumptions'!$C$49-'Assumptions'!$B$49)),'Assumptions'!$D$49-SQRT((1-D848)*('Assumptions'!$D$49-'Assumptions'!$B$49)*('Assumptions'!$D$49-'Assumptions'!$C$49)))</x:f>
        <x:v>0.02467918084956231</x:v>
      </x:c>
      <x:c r="J848" s="132" t="n">
        <x:f>IF(E848&lt;(('Assumptions'!$C$50-'Assumptions'!$B$50)/('Assumptions'!$D$50-'Assumptions'!$B$50)),'Assumptions'!$B$50+SQRT(E848*('Assumptions'!$D$50-'Assumptions'!$B$50)*('Assumptions'!$C$50-'Assumptions'!$B$50)),'Assumptions'!$D$50-SQRT((1-E848)*('Assumptions'!$D$50-'Assumptions'!$B$50)*('Assumptions'!$D$50-'Assumptions'!$C$50)))</x:f>
        <x:v>0.06353738382681835</x:v>
      </x:c>
      <x:c r="K848" s="132" t="n">
        <x:f>IF(F848&lt;(('Assumptions'!$C$51-'Assumptions'!$B$51)/('Assumptions'!$D$51-'Assumptions'!$B$51)),'Assumptions'!$B$51+SQRT(F848*('Assumptions'!$D$51-'Assumptions'!$B$51)*('Assumptions'!$C$51-'Assumptions'!$B$51)),'Assumptions'!$D$51-SQRT((1-F848)*('Assumptions'!$D$51-'Assumptions'!$B$51)*('Assumptions'!$D$51-'Assumptions'!$C$51)))</x:f>
        <x:v>0.06408825596636064</x:v>
      </x:c>
      <x:c r="L848" s="133" t="n">
        <x:f>(('Assumptions'!$B$17*(1+G848)+'Assumptions'!$B$18)*(1-H848-'Assumptions'!$B$20)-SUM('Assumptions'!$B$21:$B$25)*(1+I848))-(('Assumptions'!$B$17*(1+G848)+'Assumptions'!$B$18)*(1-H848-'Assumptions'!$B$20)*'Assumptions'!$B$26)</x:f>
        <x:v>222502.93841024244</x:v>
      </x:c>
      <x:c r="M848" s="133" t="n">
        <x:f>'Assumptions'!$B$10*'Assumptions'!$B$33</x:f>
        <x:v>1950000</x:v>
      </x:c>
      <x:c r="N848" s="133" t="n">
        <x:f>-PMT(K848/12,'Assumptions'!$B$35*12,M848)*12</x:f>
        <x:v>146503.63096853526</x:v>
      </x:c>
      <x:c r="O848" s="133" t="n">
        <x:f>(L848*(1+'Assumptions'!$B$29)^('Assumptions'!$B$14/12)/J848)*(1-'Assumptions'!$B$42)-'Debt Schedule'!$F$9</x:f>
        <x:v>3816105.732936209</x:v>
      </x:c>
      <x:c r="P848" s="132" t="n">
        <x:f>((O848+(L848-N848-'Assumptions'!$B$27-'Assumptions'!$B$28)*('Assumptions'!$B$14/12))/ABS('Monthly Cash Flow'!$S$5))^(1/('Assumptions'!$B$14/12))-1</x:f>
        <x:v>0.25287258986276817</x:v>
      </x:c>
      <x:c r="Q848" s="133" t="n">
        <x:f>-ABS('Monthly Cash Flow'!$S$5)+((L848-N848-'Assumptions'!$B$27-'Assumptions'!$B$28)*(1-(1+'Assumptions'!$B$43)^-('Assumptions'!$B$14/12))/'Assumptions'!$B$43)+(O848/(1+'Assumptions'!$B$43)^('Assumptions'!$B$14/12))</x:f>
        <x:v>1211467.118986268</x:v>
      </x:c>
    </x:row>
    <x:row r="849">
      <x:c r="A849" s="131" t="n">
        <x:f>842</x:f>
        <x:v>842</x:v>
      </x:c>
      <x:c r="B849" s="131" t="n">
        <x:f>MOD(ABS(SIN((A849+1)*12.9898+78.233)*43758.5453),1)</x:f>
        <x:v>0.7557759992268984</x:v>
      </x:c>
      <x:c r="C849" s="131" t="n">
        <x:f>MOD(ABS(SIN((A849+2)*12.9898+78.233)*43758.5453),1)</x:f>
        <x:v>0.27683452022029087</x:v>
      </x:c>
      <x:c r="D849" s="131" t="n">
        <x:f>MOD(ABS(SIN((A849+3)*12.9898+78.233)*43758.5453),1)</x:f>
        <x:v>0.16200001543256803</x:v>
      </x:c>
      <x:c r="E849" s="131" t="n">
        <x:f>MOD(ABS(SIN((A849+4)*12.9898+78.233)*43758.5453),1)</x:f>
        <x:v>0.15783678792104183</x:v>
      </x:c>
      <x:c r="F849" s="131" t="n">
        <x:f>MOD(ABS(SIN((A849+5)*12.9898+78.233)*43758.5453),1)</x:f>
        <x:v>0.20553683150683355</x:v>
      </x:c>
      <x:c r="G849" s="132" t="n">
        <x:f>IF(B849&lt;(('Assumptions'!$C$47-'Assumptions'!$B$47)/('Assumptions'!$D$47-'Assumptions'!$B$47)),'Assumptions'!$B$47+SQRT(B849*('Assumptions'!$D$47-'Assumptions'!$B$47)*('Assumptions'!$C$47-'Assumptions'!$B$47)),'Assumptions'!$D$47-SQRT((1-B849)*('Assumptions'!$D$47-'Assumptions'!$B$47)*('Assumptions'!$D$47-'Assumptions'!$C$47)))</x:f>
        <x:v>0.03748932881203702</x:v>
      </x:c>
      <x:c r="H849" s="132" t="n">
        <x:f>IF(C849&lt;(('Assumptions'!$C$48-'Assumptions'!$B$48)/('Assumptions'!$D$48-'Assumptions'!$B$48)),'Assumptions'!$B$48+SQRT(C849*('Assumptions'!$D$48-'Assumptions'!$B$48)*('Assumptions'!$C$48-'Assumptions'!$B$48)),'Assumptions'!$D$48-SQRT((1-C849)*('Assumptions'!$D$48-'Assumptions'!$B$48)*('Assumptions'!$D$48-'Assumptions'!$C$48)))</x:f>
        <x:v>0.06022621845454837</x:v>
      </x:c>
      <x:c r="I849" s="132" t="n">
        <x:f>IF(D849&lt;(('Assumptions'!$C$49-'Assumptions'!$B$49)/('Assumptions'!$D$49-'Assumptions'!$B$49)),'Assumptions'!$B$49+SQRT(D849*('Assumptions'!$D$49-'Assumptions'!$B$49)*('Assumptions'!$C$49-'Assumptions'!$B$49)),'Assumptions'!$D$49-SQRT((1-D849)*('Assumptions'!$D$49-'Assumptions'!$B$49)*('Assumptions'!$D$49-'Assumptions'!$C$49)))</x:f>
        <x:v>0.01182822213137602</x:v>
      </x:c>
      <x:c r="J849" s="132" t="n">
        <x:f>IF(E849&lt;(('Assumptions'!$C$50-'Assumptions'!$B$50)/('Assumptions'!$D$50-'Assumptions'!$B$50)),'Assumptions'!$B$50+SQRT(E849*('Assumptions'!$D$50-'Assumptions'!$B$50)*('Assumptions'!$C$50-'Assumptions'!$B$50)),'Assumptions'!$D$50-SQRT((1-E849)*('Assumptions'!$D$50-'Assumptions'!$B$50)*('Assumptions'!$D$50-'Assumptions'!$C$50)))</x:f>
        <x:v>0.06345930174451961</x:v>
      </x:c>
      <x:c r="K849" s="132" t="n">
        <x:f>IF(F849&lt;(('Assumptions'!$C$51-'Assumptions'!$B$51)/('Assumptions'!$D$51-'Assumptions'!$B$51)),'Assumptions'!$B$51+SQRT(F849*('Assumptions'!$D$51-'Assumptions'!$B$51)*('Assumptions'!$C$51-'Assumptions'!$B$51)),'Assumptions'!$D$51-SQRT((1-F849)*('Assumptions'!$D$51-'Assumptions'!$B$51)*('Assumptions'!$D$51-'Assumptions'!$C$51)))</x:f>
        <x:v>0.06501815327486606</x:v>
      </x:c>
      <x:c r="L849" s="133" t="n">
        <x:f>(('Assumptions'!$B$17*(1+G849)+'Assumptions'!$B$18)*(1-H849-'Assumptions'!$B$20)-SUM('Assumptions'!$B$21:$B$25)*(1+I849))-(('Assumptions'!$B$17*(1+G849)+'Assumptions'!$B$18)*(1-H849-'Assumptions'!$B$20)*'Assumptions'!$B$26)</x:f>
        <x:v>221952.39309659356</x:v>
      </x:c>
      <x:c r="M849" s="133" t="n">
        <x:f>'Assumptions'!$B$10*'Assumptions'!$B$33</x:f>
        <x:v>1950000</x:v>
      </x:c>
      <x:c r="N849" s="133" t="n">
        <x:f>-PMT(K849/12,'Assumptions'!$B$35*12,M849)*12</x:f>
        <x:v>147931.85472481354</x:v>
      </x:c>
      <x:c r="O849" s="133" t="n">
        <x:f>(L849*(1+'Assumptions'!$B$29)^('Assumptions'!$B$14/12)/J849)*(1-'Assumptions'!$B$42)-'Debt Schedule'!$F$9</x:f>
        <x:v>3811347.258699825</x:v>
      </x:c>
      <x:c r="P849" s="132" t="n">
        <x:f>((O849+(L849-N849-'Assumptions'!$B$27-'Assumptions'!$B$28)*('Assumptions'!$B$14/12))/ABS('Monthly Cash Flow'!$S$5))^(1/('Assumptions'!$B$14/12))-1</x:f>
        <x:v>0.251952469608272</x:v>
      </x:c>
      <x:c r="Q849" s="133" t="n">
        <x:f>-ABS('Monthly Cash Flow'!$S$5)+((L849-N849-'Assumptions'!$B$27-'Assumptions'!$B$28)*(1-(1+'Assumptions'!$B$43)^-('Assumptions'!$B$14/12))/'Assumptions'!$B$43)+(O849/(1+'Assumptions'!$B$43)^('Assumptions'!$B$14/12))</x:f>
        <x:v>1201011.3892576748</x:v>
      </x:c>
    </x:row>
    <x:row r="850">
      <x:c r="A850" s="131" t="n">
        <x:f>843</x:f>
        <x:v>843</x:v>
      </x:c>
      <x:c r="B850" s="131" t="n">
        <x:f>MOD(ABS(SIN((A850+1)*12.9898+78.233)*43758.5453),1)</x:f>
        <x:v>0.27683452022029087</x:v>
      </x:c>
      <x:c r="C850" s="131" t="n">
        <x:f>MOD(ABS(SIN((A850+2)*12.9898+78.233)*43758.5453),1)</x:f>
        <x:v>0.16200001543256803</x:v>
      </x:c>
      <x:c r="D850" s="131" t="n">
        <x:f>MOD(ABS(SIN((A850+3)*12.9898+78.233)*43758.5453),1)</x:f>
        <x:v>0.15783678792104183</x:v>
      </x:c>
      <x:c r="E850" s="131" t="n">
        <x:f>MOD(ABS(SIN((A850+4)*12.9898+78.233)*43758.5453),1)</x:f>
        <x:v>0.20553683150683355</x:v>
      </x:c>
      <x:c r="F850" s="131" t="n">
        <x:f>MOD(ABS(SIN((A850+5)*12.9898+78.233)*43758.5453),1)</x:f>
        <x:v>0.9990720267487632</x:v>
      </x:c>
      <x:c r="G850" s="132" t="n">
        <x:f>IF(B850&lt;(('Assumptions'!$C$47-'Assumptions'!$B$47)/('Assumptions'!$D$47-'Assumptions'!$B$47)),'Assumptions'!$B$47+SQRT(B850*('Assumptions'!$D$47-'Assumptions'!$B$47)*('Assumptions'!$C$47-'Assumptions'!$B$47)),'Assumptions'!$D$47-SQRT((1-B850)*('Assumptions'!$D$47-'Assumptions'!$B$47)*('Assumptions'!$D$47-'Assumptions'!$C$47)))</x:f>
        <x:v>-0.01848908977758265</x:v>
      </x:c>
      <x:c r="H850" s="132" t="n">
        <x:f>IF(C850&lt;(('Assumptions'!$C$48-'Assumptions'!$B$48)/('Assumptions'!$D$48-'Assumptions'!$B$48)),'Assumptions'!$B$48+SQRT(C850*('Assumptions'!$D$48-'Assumptions'!$B$48)*('Assumptions'!$C$48-'Assumptions'!$B$48)),'Assumptions'!$D$48-SQRT((1-C850)*('Assumptions'!$D$48-'Assumptions'!$B$48)*('Assumptions'!$D$48-'Assumptions'!$C$48)))</x:f>
        <x:v>0.053121419742902354</x:v>
      </x:c>
      <x:c r="I850" s="132" t="n">
        <x:f>IF(D850&lt;(('Assumptions'!$C$49-'Assumptions'!$B$49)/('Assumptions'!$D$49-'Assumptions'!$B$49)),'Assumptions'!$B$49+SQRT(D850*('Assumptions'!$D$49-'Assumptions'!$B$49)*('Assumptions'!$C$49-'Assumptions'!$B$49)),'Assumptions'!$D$49-SQRT((1-D850)*('Assumptions'!$D$49-'Assumptions'!$B$49)*('Assumptions'!$D$49-'Assumptions'!$C$49)))</x:f>
        <x:v>0.01128725359656721</x:v>
      </x:c>
      <x:c r="J850" s="132" t="n">
        <x:f>IF(E850&lt;(('Assumptions'!$C$50-'Assumptions'!$B$50)/('Assumptions'!$D$50-'Assumptions'!$B$50)),'Assumptions'!$B$50+SQRT(E850*('Assumptions'!$D$50-'Assumptions'!$B$50)*('Assumptions'!$C$50-'Assumptions'!$B$50)),'Assumptions'!$D$50-SQRT((1-E850)*('Assumptions'!$D$50-'Assumptions'!$B$50)*('Assumptions'!$D$50-'Assumptions'!$C$50)))</x:f>
        <x:v>0.06430042550793975</x:v>
      </x:c>
      <x:c r="K850" s="132" t="n">
        <x:f>IF(F850&lt;(('Assumptions'!$C$51-'Assumptions'!$B$51)/('Assumptions'!$D$51-'Assumptions'!$B$51)),'Assumptions'!$B$51+SQRT(F850*('Assumptions'!$D$51-'Assumptions'!$B$51)*('Assumptions'!$C$51-'Assumptions'!$B$51)),'Assumptions'!$D$51-SQRT((1-F850)*('Assumptions'!$D$51-'Assumptions'!$B$51)*('Assumptions'!$D$51-'Assumptions'!$C$51)))</x:f>
        <x:v>0.0843317282535093</x:v>
      </x:c>
      <x:c r="L850" s="133" t="n">
        <x:f>(('Assumptions'!$B$17*(1+G850)+'Assumptions'!$B$18)*(1-H850-'Assumptions'!$B$20)-SUM('Assumptions'!$B$21:$B$25)*(1+I850))-(('Assumptions'!$B$17*(1+G850)+'Assumptions'!$B$18)*(1-H850-'Assumptions'!$B$20)*'Assumptions'!$B$26)</x:f>
        <x:v>206565.81092875107</x:v>
      </x:c>
      <x:c r="M850" s="133" t="n">
        <x:f>'Assumptions'!$B$10*'Assumptions'!$B$33</x:f>
        <x:v>1950000</x:v>
      </x:c>
      <x:c r="N850" s="133" t="n">
        <x:f>-PMT(K850/12,'Assumptions'!$B$35*12,M850)*12</x:f>
        <x:v>178818.68329304366</x:v>
      </x:c>
      <x:c r="O850" s="133" t="n">
        <x:f>(L850*(1+'Assumptions'!$B$29)^('Assumptions'!$B$14/12)/J850)*(1-'Assumptions'!$B$42)-'Debt Schedule'!$F$9</x:f>
        <x:v>3500729.647020367</x:v>
      </x:c>
      <x:c r="P850" s="132" t="n">
        <x:f>((O850+(L850-N850-'Assumptions'!$B$27-'Assumptions'!$B$28)*('Assumptions'!$B$14/12))/ABS('Monthly Cash Flow'!$S$5))^(1/('Assumptions'!$B$14/12))-1</x:f>
        <x:v>0.21584377374169716</x:v>
      </x:c>
      <x:c r="Q850" s="133" t="n">
        <x:f>-ABS('Monthly Cash Flow'!$S$5)+((L850-N850-'Assumptions'!$B$27-'Assumptions'!$B$28)*(1-(1+'Assumptions'!$B$43)^-('Assumptions'!$B$14/12))/'Assumptions'!$B$43)+(O850/(1+'Assumptions'!$B$43)^('Assumptions'!$B$14/12))</x:f>
        <x:v>832729.6576544843</x:v>
      </x:c>
    </x:row>
    <x:row r="851">
      <x:c r="A851" s="131" t="n">
        <x:f>844</x:f>
        <x:v>844</x:v>
      </x:c>
      <x:c r="B851" s="131" t="n">
        <x:f>MOD(ABS(SIN((A851+1)*12.9898+78.233)*43758.5453),1)</x:f>
        <x:v>0.16200001543256803</x:v>
      </x:c>
      <x:c r="C851" s="131" t="n">
        <x:f>MOD(ABS(SIN((A851+2)*12.9898+78.233)*43758.5453),1)</x:f>
        <x:v>0.15783678792104183</x:v>
      </x:c>
      <x:c r="D851" s="131" t="n">
        <x:f>MOD(ABS(SIN((A851+3)*12.9898+78.233)*43758.5453),1)</x:f>
        <x:v>0.20553683150683355</x:v>
      </x:c>
      <x:c r="E851" s="131" t="n">
        <x:f>MOD(ABS(SIN((A851+4)*12.9898+78.233)*43758.5453),1)</x:f>
        <x:v>0.9990720267487632</x:v>
      </x:c>
      <x:c r="F851" s="131" t="n">
        <x:f>MOD(ABS(SIN((A851+5)*12.9898+78.233)*43758.5453),1)</x:f>
        <x:v>0.5751593968525412</x:v>
      </x:c>
      <x:c r="G851" s="132" t="n">
        <x:f>IF(B851&lt;(('Assumptions'!$C$47-'Assumptions'!$B$47)/('Assumptions'!$D$47-'Assumptions'!$B$47)),'Assumptions'!$B$47+SQRT(B851*('Assumptions'!$D$47-'Assumptions'!$B$47)*('Assumptions'!$C$47-'Assumptions'!$B$47)),'Assumptions'!$D$47-SQRT((1-B851)*('Assumptions'!$D$47-'Assumptions'!$B$47)*('Assumptions'!$D$47-'Assumptions'!$C$47)))</x:f>
        <x:v>-0.03764616795752139</x:v>
      </x:c>
      <x:c r="H851" s="132" t="n">
        <x:f>IF(C851&lt;(('Assumptions'!$C$48-'Assumptions'!$B$48)/('Assumptions'!$D$48-'Assumptions'!$B$48)),'Assumptions'!$B$48+SQRT(C851*('Assumptions'!$D$48-'Assumptions'!$B$48)*('Assumptions'!$C$48-'Assumptions'!$B$48)),'Assumptions'!$D$48-SQRT((1-C851)*('Assumptions'!$D$48-'Assumptions'!$B$48)*('Assumptions'!$D$48-'Assumptions'!$C$48)))</x:f>
        <x:v>0.05282238813401083</x:v>
      </x:c>
      <x:c r="I851" s="132" t="n">
        <x:f>IF(D851&lt;(('Assumptions'!$C$49-'Assumptions'!$B$49)/('Assumptions'!$D$49-'Assumptions'!$B$49)),'Assumptions'!$B$49+SQRT(D851*('Assumptions'!$D$49-'Assumptions'!$B$49)*('Assumptions'!$C$49-'Assumptions'!$B$49)),'Assumptions'!$D$49-SQRT((1-D851)*('Assumptions'!$D$49-'Assumptions'!$B$49)*('Assumptions'!$D$49-'Assumptions'!$C$49)))</x:f>
        <x:v>0.017114729971356123</x:v>
      </x:c>
      <x:c r="J851" s="132" t="n">
        <x:f>IF(E851&lt;(('Assumptions'!$C$50-'Assumptions'!$B$50)/('Assumptions'!$D$50-'Assumptions'!$B$50)),'Assumptions'!$B$50+SQRT(E851*('Assumptions'!$D$50-'Assumptions'!$B$50)*('Assumptions'!$C$50-'Assumptions'!$B$50)),'Assumptions'!$D$50-SQRT((1-E851)*('Assumptions'!$D$50-'Assumptions'!$B$50)*('Assumptions'!$D$50-'Assumptions'!$C$50)))</x:f>
        <x:v>0.07948912577192585</x:v>
      </x:c>
      <x:c r="K851" s="132" t="n">
        <x:f>IF(F851&lt;(('Assumptions'!$C$51-'Assumptions'!$B$51)/('Assumptions'!$D$51-'Assumptions'!$B$51)),'Assumptions'!$B$51+SQRT(F851*('Assumptions'!$D$51-'Assumptions'!$B$51)*('Assumptions'!$C$51-'Assumptions'!$B$51)),'Assumptions'!$D$51-SQRT((1-F851)*('Assumptions'!$D$51-'Assumptions'!$B$51)*('Assumptions'!$D$51-'Assumptions'!$C$51)))</x:f>
        <x:v>0.07070123990463809</x:v>
      </x:c>
      <x:c r="L851" s="133" t="n">
        <x:f>(('Assumptions'!$B$17*(1+G851)+'Assumptions'!$B$18)*(1-H851-'Assumptions'!$B$20)-SUM('Assumptions'!$B$21:$B$25)*(1+I851))-(('Assumptions'!$B$17*(1+G851)+'Assumptions'!$B$18)*(1-H851-'Assumptions'!$B$20)*'Assumptions'!$B$26)</x:f>
        <x:v>199733.391835164</x:v>
      </x:c>
      <x:c r="M851" s="133" t="n">
        <x:f>'Assumptions'!$B$10*'Assumptions'!$B$33</x:f>
        <x:v>1950000</x:v>
      </x:c>
      <x:c r="N851" s="133" t="n">
        <x:f>-PMT(K851/12,'Assumptions'!$B$35*12,M851)*12</x:f>
        <x:v>156784.36270041708</x:v>
      </x:c>
      <x:c r="O851" s="133" t="n">
        <x:f>(L851*(1+'Assumptions'!$B$29)^('Assumptions'!$B$14/12)/J851)*(1-'Assumptions'!$B$42)-'Debt Schedule'!$F$9</x:f>
        <x:v>2738148.095569942</x:v>
      </x:c>
      <x:c r="P851" s="132" t="n">
        <x:f>((O851+(L851-N851-'Assumptions'!$B$27-'Assumptions'!$B$28)*('Assumptions'!$B$14/12))/ABS('Monthly Cash Flow'!$S$5))^(1/('Assumptions'!$B$14/12))-1</x:f>
        <x:v>0.1628868592003483</x:v>
      </x:c>
      <x:c r="Q851" s="133" t="n">
        <x:f>-ABS('Monthly Cash Flow'!$S$5)+((L851-N851-'Assumptions'!$B$27-'Assumptions'!$B$28)*(1-(1+'Assumptions'!$B$43)^-('Assumptions'!$B$14/12))/'Assumptions'!$B$43)+(O851/(1+'Assumptions'!$B$43)^('Assumptions'!$B$14/12))</x:f>
        <x:v>416853.67885979265</x:v>
      </x:c>
    </x:row>
    <x:row r="852">
      <x:c r="A852" s="131" t="n">
        <x:f>845</x:f>
        <x:v>845</x:v>
      </x:c>
      <x:c r="B852" s="131" t="n">
        <x:f>MOD(ABS(SIN((A852+1)*12.9898+78.233)*43758.5453),1)</x:f>
        <x:v>0.15783678792104183</x:v>
      </x:c>
      <x:c r="C852" s="131" t="n">
        <x:f>MOD(ABS(SIN((A852+2)*12.9898+78.233)*43758.5453),1)</x:f>
        <x:v>0.20553683150683355</x:v>
      </x:c>
      <x:c r="D852" s="131" t="n">
        <x:f>MOD(ABS(SIN((A852+3)*12.9898+78.233)*43758.5453),1)</x:f>
        <x:v>0.9990720267487632</x:v>
      </x:c>
      <x:c r="E852" s="131" t="n">
        <x:f>MOD(ABS(SIN((A852+4)*12.9898+78.233)*43758.5453),1)</x:f>
        <x:v>0.5751593968525412</x:v>
      </x:c>
      <x:c r="F852" s="131" t="n">
        <x:f>MOD(ABS(SIN((A852+5)*12.9898+78.233)*43758.5453),1)</x:f>
        <x:v>0.21481855167075992</x:v>
      </x:c>
      <x:c r="G852" s="132" t="n">
        <x:f>IF(B852&lt;(('Assumptions'!$C$47-'Assumptions'!$B$47)/('Assumptions'!$D$47-'Assumptions'!$B$47)),'Assumptions'!$B$47+SQRT(B852*('Assumptions'!$D$47-'Assumptions'!$B$47)*('Assumptions'!$C$47-'Assumptions'!$B$47)),'Assumptions'!$D$47-SQRT((1-B852)*('Assumptions'!$D$47-'Assumptions'!$B$47)*('Assumptions'!$D$47-'Assumptions'!$C$47)))</x:f>
        <x:v>-0.0384525962358687</x:v>
      </x:c>
      <x:c r="H852" s="132" t="n">
        <x:f>IF(C852&lt;(('Assumptions'!$C$48-'Assumptions'!$B$48)/('Assumptions'!$D$48-'Assumptions'!$B$48)),'Assumptions'!$B$48+SQRT(C852*('Assumptions'!$D$48-'Assumptions'!$B$48)*('Assumptions'!$C$48-'Assumptions'!$B$48)),'Assumptions'!$D$48-SQRT((1-C852)*('Assumptions'!$D$48-'Assumptions'!$B$48)*('Assumptions'!$D$48-'Assumptions'!$C$48)))</x:f>
        <x:v>0.05604364690231671</x:v>
      </x:c>
      <x:c r="I852" s="132" t="n">
        <x:f>IF(D852&lt;(('Assumptions'!$C$49-'Assumptions'!$B$49)/('Assumptions'!$D$49-'Assumptions'!$B$49)),'Assumptions'!$B$49+SQRT(D852*('Assumptions'!$D$49-'Assumptions'!$B$49)*('Assumptions'!$C$49-'Assumptions'!$B$49)),'Assumptions'!$D$49-SQRT((1-D852)*('Assumptions'!$D$49-'Assumptions'!$B$49)*('Assumptions'!$D$49-'Assumptions'!$C$49)))</x:f>
        <x:v>0.14552292257977198</x:v>
      </x:c>
      <x:c r="J852" s="132" t="n">
        <x:f>IF(E852&lt;(('Assumptions'!$C$50-'Assumptions'!$B$50)/('Assumptions'!$D$50-'Assumptions'!$B$50)),'Assumptions'!$B$50+SQRT(E852*('Assumptions'!$D$50-'Assumptions'!$B$50)*('Assumptions'!$C$50-'Assumptions'!$B$50)),'Assumptions'!$D$50-SQRT((1-E852)*('Assumptions'!$D$50-'Assumptions'!$B$50)*('Assumptions'!$D$50-'Assumptions'!$C$50)))</x:f>
        <x:v>0.0690690156145376</x:v>
      </x:c>
      <x:c r="K852" s="132" t="n">
        <x:f>IF(F852&lt;(('Assumptions'!$C$51-'Assumptions'!$B$51)/('Assumptions'!$D$51-'Assumptions'!$B$51)),'Assumptions'!$B$51+SQRT(F852*('Assumptions'!$D$51-'Assumptions'!$B$51)*('Assumptions'!$C$51-'Assumptions'!$B$51)),'Assumptions'!$D$51-SQRT((1-F852)*('Assumptions'!$D$51-'Assumptions'!$B$51)*('Assumptions'!$D$51-'Assumptions'!$C$51)))</x:f>
        <x:v>0.06518603289802087</x:v>
      </x:c>
      <x:c r="L852" s="133" t="n">
        <x:f>(('Assumptions'!$B$17*(1+G852)+'Assumptions'!$B$18)*(1-H852-'Assumptions'!$B$20)-SUM('Assumptions'!$B$21:$B$25)*(1+I852))-(('Assumptions'!$B$17*(1+G852)+'Assumptions'!$B$18)*(1-H852-'Assumptions'!$B$20)*'Assumptions'!$B$26)</x:f>
        <x:v>182166.64428018907</x:v>
      </x:c>
      <x:c r="M852" s="133" t="n">
        <x:f>'Assumptions'!$B$10*'Assumptions'!$B$33</x:f>
        <x:v>1950000</x:v>
      </x:c>
      <x:c r="N852" s="133" t="n">
        <x:f>-PMT(K852/12,'Assumptions'!$B$35*12,M852)*12</x:f>
        <x:v>148190.32005858934</x:v>
      </x:c>
      <x:c r="O852" s="133" t="n">
        <x:f>(L852*(1+'Assumptions'!$B$29)^('Assumptions'!$B$14/12)/J852)*(1-'Assumptions'!$B$42)-'Debt Schedule'!$F$9</x:f>
        <x:v>2874084.7408211227</x:v>
      </x:c>
      <x:c r="P852" s="132" t="n">
        <x:f>((O852+(L852-N852-'Assumptions'!$B$27-'Assumptions'!$B$28)*('Assumptions'!$B$14/12))/ABS('Monthly Cash Flow'!$S$5))^(1/('Assumptions'!$B$14/12))-1</x:f>
        <x:v>0.17048130122108396</x:v>
      </x:c>
      <x:c r="Q852" s="133" t="n">
        <x:f>-ABS('Monthly Cash Flow'!$S$5)+((L852-N852-'Assumptions'!$B$27-'Assumptions'!$B$28)*(1-(1+'Assumptions'!$B$43)^-('Assumptions'!$B$14/12))/'Assumptions'!$B$43)+(O852/(1+'Assumptions'!$B$43)^('Assumptions'!$B$14/12))</x:f>
        <x:v>467246.02941081417</x:v>
      </x:c>
    </x:row>
    <x:row r="853">
      <x:c r="A853" s="131" t="n">
        <x:f>846</x:f>
        <x:v>846</x:v>
      </x:c>
      <x:c r="B853" s="131" t="n">
        <x:f>MOD(ABS(SIN((A853+1)*12.9898+78.233)*43758.5453),1)</x:f>
        <x:v>0.20553683150683355</x:v>
      </x:c>
      <x:c r="C853" s="131" t="n">
        <x:f>MOD(ABS(SIN((A853+2)*12.9898+78.233)*43758.5453),1)</x:f>
        <x:v>0.9990720267487632</x:v>
      </x:c>
      <x:c r="D853" s="131" t="n">
        <x:f>MOD(ABS(SIN((A853+3)*12.9898+78.233)*43758.5453),1)</x:f>
        <x:v>0.5751593968525412</x:v>
      </x:c>
      <x:c r="E853" s="131" t="n">
        <x:f>MOD(ABS(SIN((A853+4)*12.9898+78.233)*43758.5453),1)</x:f>
        <x:v>0.21481855167075992</x:v>
      </x:c>
      <x:c r="F853" s="131" t="n">
        <x:f>MOD(ABS(SIN((A853+5)*12.9898+78.233)*43758.5453),1)</x:f>
        <x:v>0.7202298043557676</x:v>
      </x:c>
      <x:c r="G853" s="132" t="n">
        <x:f>IF(B853&lt;(('Assumptions'!$C$47-'Assumptions'!$B$47)/('Assumptions'!$D$47-'Assumptions'!$B$47)),'Assumptions'!$B$47+SQRT(B853*('Assumptions'!$D$47-'Assumptions'!$B$47)*('Assumptions'!$C$47-'Assumptions'!$B$47)),'Assumptions'!$D$47-SQRT((1-B853)*('Assumptions'!$D$47-'Assumptions'!$B$47)*('Assumptions'!$D$47-'Assumptions'!$C$47)))</x:f>
        <x:v>-0.02976550736166733</x:v>
      </x:c>
      <x:c r="H853" s="132" t="n">
        <x:f>IF(C853&lt;(('Assumptions'!$C$48-'Assumptions'!$B$48)/('Assumptions'!$D$48-'Assumptions'!$B$48)),'Assumptions'!$B$48+SQRT(C853*('Assumptions'!$D$48-'Assumptions'!$B$48)*('Assumptions'!$C$48-'Assumptions'!$B$48)),'Assumptions'!$D$48-SQRT((1-C853)*('Assumptions'!$D$48-'Assumptions'!$B$48)*('Assumptions'!$D$48-'Assumptions'!$C$48)))</x:f>
        <x:v>0.1371423498095666</x:v>
      </x:c>
      <x:c r="I853" s="132" t="n">
        <x:f>IF(D853&lt;(('Assumptions'!$C$49-'Assumptions'!$B$49)/('Assumptions'!$D$49-'Assumptions'!$B$49)),'Assumptions'!$B$49+SQRT(D853*('Assumptions'!$D$49-'Assumptions'!$B$49)*('Assumptions'!$C$49-'Assumptions'!$B$49)),'Assumptions'!$D$49-SQRT((1-D853)*('Assumptions'!$D$49-'Assumptions'!$B$49)*('Assumptions'!$D$49-'Assumptions'!$C$49)))</x:f>
        <x:v>0.05420565242152797</x:v>
      </x:c>
      <x:c r="J853" s="132" t="n">
        <x:f>IF(E853&lt;(('Assumptions'!$C$50-'Assumptions'!$B$50)/('Assumptions'!$D$50-'Assumptions'!$B$50)),'Assumptions'!$B$50+SQRT(E853*('Assumptions'!$D$50-'Assumptions'!$B$50)*('Assumptions'!$C$50-'Assumptions'!$B$50)),'Assumptions'!$D$50-SQRT((1-E853)*('Assumptions'!$D$50-'Assumptions'!$B$50)*('Assumptions'!$D$50-'Assumptions'!$C$50)))</x:f>
        <x:v>0.06445227834065359</x:v>
      </x:c>
      <x:c r="K853" s="132" t="n">
        <x:f>IF(F853&lt;(('Assumptions'!$C$51-'Assumptions'!$B$51)/('Assumptions'!$D$51-'Assumptions'!$B$51)),'Assumptions'!$B$51+SQRT(F853*('Assumptions'!$D$51-'Assumptions'!$B$51)*('Assumptions'!$C$51-'Assumptions'!$B$51)),'Assumptions'!$D$51-SQRT((1-F853)*('Assumptions'!$D$51-'Assumptions'!$B$51)*('Assumptions'!$D$51-'Assumptions'!$C$51)))</x:f>
        <x:v>0.0733965778042085</x:v>
      </x:c>
      <x:c r="L853" s="133" t="n">
        <x:f>(('Assumptions'!$B$17*(1+G853)+'Assumptions'!$B$18)*(1-H853-'Assumptions'!$B$20)-SUM('Assumptions'!$B$21:$B$25)*(1+I853))-(('Assumptions'!$B$17*(1+G853)+'Assumptions'!$B$18)*(1-H853-'Assumptions'!$B$20)*'Assumptions'!$B$26)</x:f>
        <x:v>167881.75992209965</x:v>
      </x:c>
      <x:c r="M853" s="133" t="n">
        <x:f>'Assumptions'!$B$10*'Assumptions'!$B$33</x:f>
        <x:v>1950000</x:v>
      </x:c>
      <x:c r="N853" s="133" t="n">
        <x:f>-PMT(K853/12,'Assumptions'!$B$35*12,M853)*12</x:f>
        <x:v>161054.72700559214</x:v>
      </x:c>
      <x:c r="O853" s="133" t="n">
        <x:f>(L853*(1+'Assumptions'!$B$29)^('Assumptions'!$B$14/12)/J853)*(1-'Assumptions'!$B$42)-'Debt Schedule'!$F$9</x:f>
        <x:v>2838436.7197865443</x:v>
      </x:c>
      <x:c r="P853" s="132" t="n">
        <x:f>((O853+(L853-N853-'Assumptions'!$B$27-'Assumptions'!$B$28)*('Assumptions'!$B$14/12))/ABS('Monthly Cash Flow'!$S$5))^(1/('Assumptions'!$B$14/12))-1</x:f>
        <x:v>0.15602032032218194</x:v>
      </x:c>
      <x:c r="Q853" s="133" t="n">
        <x:f>-ABS('Monthly Cash Flow'!$S$5)+((L853-N853-'Assumptions'!$B$27-'Assumptions'!$B$28)*(1-(1+'Assumptions'!$B$43)^-('Assumptions'!$B$14/12))/'Assumptions'!$B$43)+(O853/(1+'Assumptions'!$B$43)^('Assumptions'!$B$14/12))</x:f>
        <x:v>342194.2387474235</x:v>
      </x:c>
    </x:row>
    <x:row r="854">
      <x:c r="A854" s="131" t="n">
        <x:f>847</x:f>
        <x:v>847</x:v>
      </x:c>
      <x:c r="B854" s="131" t="n">
        <x:f>MOD(ABS(SIN((A854+1)*12.9898+78.233)*43758.5453),1)</x:f>
        <x:v>0.9990720267487632</x:v>
      </x:c>
      <x:c r="C854" s="131" t="n">
        <x:f>MOD(ABS(SIN((A854+2)*12.9898+78.233)*43758.5453),1)</x:f>
        <x:v>0.5751593968525412</x:v>
      </x:c>
      <x:c r="D854" s="131" t="n">
        <x:f>MOD(ABS(SIN((A854+3)*12.9898+78.233)*43758.5453),1)</x:f>
        <x:v>0.21481855167075992</x:v>
      </x:c>
      <x:c r="E854" s="131" t="n">
        <x:f>MOD(ABS(SIN((A854+4)*12.9898+78.233)*43758.5453),1)</x:f>
        <x:v>0.7202298043557676</x:v>
      </x:c>
      <x:c r="F854" s="131" t="n">
        <x:f>MOD(ABS(SIN((A854+5)*12.9898+78.233)*43758.5453),1)</x:f>
        <x:v>0.6689295388496248</x:v>
      </x:c>
      <x:c r="G854" s="132" t="n">
        <x:f>IF(B854&lt;(('Assumptions'!$C$47-'Assumptions'!$B$47)/('Assumptions'!$D$47-'Assumptions'!$B$47)),'Assumptions'!$B$47+SQRT(B854*('Assumptions'!$D$47-'Assumptions'!$B$47)*('Assumptions'!$C$47-'Assumptions'!$B$47)),'Assumptions'!$D$47-SQRT((1-B854)*('Assumptions'!$D$47-'Assumptions'!$B$47)*('Assumptions'!$D$47-'Assumptions'!$C$47)))</x:f>
        <x:v>0.09614674526928346</x:v>
      </x:c>
      <x:c r="H854" s="132" t="n">
        <x:f>IF(C854&lt;(('Assumptions'!$C$48-'Assumptions'!$B$48)/('Assumptions'!$D$48-'Assumptions'!$B$48)),'Assumptions'!$B$48+SQRT(C854*('Assumptions'!$D$48-'Assumptions'!$B$48)*('Assumptions'!$C$48-'Assumptions'!$B$48)),'Assumptions'!$D$48-SQRT((1-C854)*('Assumptions'!$D$48-'Assumptions'!$B$48)*('Assumptions'!$D$48-'Assumptions'!$C$48)))</x:f>
        <x:v>0.07885592990569211</x:v>
      </x:c>
      <x:c r="I854" s="132" t="n">
        <x:f>IF(D854&lt;(('Assumptions'!$C$49-'Assumptions'!$B$49)/('Assumptions'!$D$49-'Assumptions'!$B$49)),'Assumptions'!$B$49+SQRT(D854*('Assumptions'!$D$49-'Assumptions'!$B$49)*('Assumptions'!$C$49-'Assumptions'!$B$49)),'Assumptions'!$D$49-SQRT((1-D854)*('Assumptions'!$D$49-'Assumptions'!$B$49)*('Assumptions'!$D$49-'Assumptions'!$C$49)))</x:f>
        <x:v>0.01816679725749063</x:v>
      </x:c>
      <x:c r="J854" s="132" t="n">
        <x:f>IF(E854&lt;(('Assumptions'!$C$50-'Assumptions'!$B$50)/('Assumptions'!$D$50-'Assumptions'!$B$50)),'Assumptions'!$B$50+SQRT(E854*('Assumptions'!$D$50-'Assumptions'!$B$50)*('Assumptions'!$C$50-'Assumptions'!$B$50)),'Assumptions'!$D$50-SQRT((1-E854)*('Assumptions'!$D$50-'Assumptions'!$B$50)*('Assumptions'!$D$50-'Assumptions'!$C$50)))</x:f>
        <x:v>0.07112952270027478</x:v>
      </x:c>
      <x:c r="K854" s="132" t="n">
        <x:f>IF(F854&lt;(('Assumptions'!$C$51-'Assumptions'!$B$51)/('Assumptions'!$D$51-'Assumptions'!$B$51)),'Assumptions'!$B$51+SQRT(F854*('Assumptions'!$D$51-'Assumptions'!$B$51)*('Assumptions'!$C$51-'Assumptions'!$B$51)),'Assumptions'!$D$51-SQRT((1-F854)*('Assumptions'!$D$51-'Assumptions'!$B$51)*('Assumptions'!$D$51-'Assumptions'!$C$51)))</x:f>
        <x:v>0.07237749393232001</x:v>
      </x:c>
      <x:c r="L854" s="133" t="n">
        <x:f>(('Assumptions'!$B$17*(1+G854)+'Assumptions'!$B$18)*(1-H854-'Assumptions'!$B$20)-SUM('Assumptions'!$B$21:$B$25)*(1+I854))-(('Assumptions'!$B$17*(1+G854)+'Assumptions'!$B$18)*(1-H854-'Assumptions'!$B$20)*'Assumptions'!$B$26)</x:f>
        <x:v>232622.72602325183</x:v>
      </x:c>
      <x:c r="M854" s="133" t="n">
        <x:f>'Assumptions'!$B$10*'Assumptions'!$B$33</x:f>
        <x:v>1950000</x:v>
      </x:c>
      <x:c r="N854" s="133" t="n">
        <x:f>-PMT(K854/12,'Assumptions'!$B$35*12,M854)*12</x:f>
        <x:v>159434.8591099199</x:v>
      </x:c>
      <x:c r="O854" s="133" t="n">
        <x:f>(L854*(1+'Assumptions'!$B$29)^('Assumptions'!$B$14/12)/J854)*(1-'Assumptions'!$B$42)-'Debt Schedule'!$F$9</x:f>
        <x:v>3563823.7967322064</x:v>
      </x:c>
      <x:c r="P854" s="132" t="n">
        <x:f>((O854+(L854-N854-'Assumptions'!$B$27-'Assumptions'!$B$28)*('Assumptions'!$B$14/12))/ABS('Monthly Cash Flow'!$S$5))^(1/('Assumptions'!$B$14/12))-1</x:f>
        <x:v>0.2357079460996352</x:v>
      </x:c>
      <x:c r="Q854" s="133" t="n">
        <x:f>-ABS('Monthly Cash Flow'!$S$5)+((L854-N854-'Assumptions'!$B$27-'Assumptions'!$B$28)*(1-(1+'Assumptions'!$B$43)^-('Assumptions'!$B$14/12))/'Assumptions'!$B$43)+(O854/(1+'Assumptions'!$B$43)^('Assumptions'!$B$14/12))</x:f>
        <x:v>1044162.3138166098</x:v>
      </x:c>
    </x:row>
    <x:row r="855">
      <x:c r="A855" s="131" t="n">
        <x:f>848</x:f>
        <x:v>848</x:v>
      </x:c>
      <x:c r="B855" s="131" t="n">
        <x:f>MOD(ABS(SIN((A855+1)*12.9898+78.233)*43758.5453),1)</x:f>
        <x:v>0.5751593968525412</x:v>
      </x:c>
      <x:c r="C855" s="131" t="n">
        <x:f>MOD(ABS(SIN((A855+2)*12.9898+78.233)*43758.5453),1)</x:f>
        <x:v>0.21481855167075992</x:v>
      </x:c>
      <x:c r="D855" s="131" t="n">
        <x:f>MOD(ABS(SIN((A855+3)*12.9898+78.233)*43758.5453),1)</x:f>
        <x:v>0.7202298043557676</x:v>
      </x:c>
      <x:c r="E855" s="131" t="n">
        <x:f>MOD(ABS(SIN((A855+4)*12.9898+78.233)*43758.5453),1)</x:f>
        <x:v>0.6689295388496248</x:v>
      </x:c>
      <x:c r="F855" s="131" t="n">
        <x:f>MOD(ABS(SIN((A855+5)*12.9898+78.233)*43758.5453),1)</x:f>
        <x:v>0.8447034804157738</x:v>
      </x:c>
      <x:c r="G855" s="132" t="n">
        <x:f>IF(B855&lt;(('Assumptions'!$C$47-'Assumptions'!$B$47)/('Assumptions'!$D$47-'Assumptions'!$B$47)),'Assumptions'!$B$47+SQRT(B855*('Assumptions'!$D$47-'Assumptions'!$B$47)*('Assumptions'!$C$47-'Assumptions'!$B$47)),'Assumptions'!$D$47-SQRT((1-B855)*('Assumptions'!$D$47-'Assumptions'!$B$47)*('Assumptions'!$D$47-'Assumptions'!$C$47)))</x:f>
        <x:v>0.017489682629841963</x:v>
      </x:c>
      <x:c r="H855" s="132" t="n">
        <x:f>IF(C855&lt;(('Assumptions'!$C$48-'Assumptions'!$B$48)/('Assumptions'!$D$48-'Assumptions'!$B$48)),'Assumptions'!$B$48+SQRT(C855*('Assumptions'!$D$48-'Assumptions'!$B$48)*('Assumptions'!$C$48-'Assumptions'!$B$48)),'Assumptions'!$D$48-SQRT((1-C855)*('Assumptions'!$D$48-'Assumptions'!$B$48)*('Assumptions'!$D$48-'Assumptions'!$C$48)))</x:f>
        <x:v>0.05662519897603599</x:v>
      </x:c>
      <x:c r="I855" s="132" t="n">
        <x:f>IF(D855&lt;(('Assumptions'!$C$49-'Assumptions'!$B$49)/('Assumptions'!$D$49-'Assumptions'!$B$49)),'Assumptions'!$B$49+SQRT(D855*('Assumptions'!$D$49-'Assumptions'!$B$49)*('Assumptions'!$C$49-'Assumptions'!$B$49)),'Assumptions'!$D$49-SQRT((1-D855)*('Assumptions'!$D$49-'Assumptions'!$B$49)*('Assumptions'!$D$49-'Assumptions'!$C$49)))</x:f>
        <x:v>0.07226303179364775</x:v>
      </x:c>
      <x:c r="J855" s="132" t="n">
        <x:f>IF(E855&lt;(('Assumptions'!$C$50-'Assumptions'!$B$50)/('Assumptions'!$D$50-'Assumptions'!$B$50)),'Assumptions'!$B$50+SQRT(E855*('Assumptions'!$D$50-'Assumptions'!$B$50)*('Assumptions'!$C$50-'Assumptions'!$B$50)),'Assumptions'!$D$50-SQRT((1-E855)*('Assumptions'!$D$50-'Assumptions'!$B$50)*('Assumptions'!$D$50-'Assumptions'!$C$50)))</x:f>
        <x:v>0.07035046285055377</x:v>
      </x:c>
      <x:c r="K855" s="132" t="n">
        <x:f>IF(F855&lt;(('Assumptions'!$C$51-'Assumptions'!$B$51)/('Assumptions'!$D$51-'Assumptions'!$B$51)),'Assumptions'!$B$51+SQRT(F855*('Assumptions'!$D$51-'Assumptions'!$B$51)*('Assumptions'!$C$51-'Assumptions'!$B$51)),'Assumptions'!$D$51-SQRT((1-F855)*('Assumptions'!$D$51-'Assumptions'!$B$51)*('Assumptions'!$D$51-'Assumptions'!$C$51)))</x:f>
        <x:v>0.07635497541646591</x:v>
      </x:c>
      <x:c r="L855" s="133" t="n">
        <x:f>(('Assumptions'!$B$17*(1+G855)+'Assumptions'!$B$18)*(1-H855-'Assumptions'!$B$20)-SUM('Assumptions'!$B$21:$B$25)*(1+I855))-(('Assumptions'!$B$17*(1+G855)+'Assumptions'!$B$18)*(1-H855-'Assumptions'!$B$20)*'Assumptions'!$B$26)</x:f>
        <x:v>209239.62846739058</x:v>
      </x:c>
      <x:c r="M855" s="133" t="n">
        <x:f>'Assumptions'!$B$10*'Assumptions'!$B$33</x:f>
        <x:v>1950000</x:v>
      </x:c>
      <x:c r="N855" s="133" t="n">
        <x:f>-PMT(K855/12,'Assumptions'!$B$35*12,M855)*12</x:f>
        <x:v>165792.7508303929</x:v>
      </x:c>
      <x:c r="O855" s="133" t="n">
        <x:f>(L855*(1+'Assumptions'!$B$29)^('Assumptions'!$B$14/12)/J855)*(1-'Assumptions'!$B$42)-'Debt Schedule'!$F$9</x:f>
        <x:v>3241089.0101302397</x:v>
      </x:c>
      <x:c r="P855" s="132" t="n">
        <x:f>((O855+(L855-N855-'Assumptions'!$B$27-'Assumptions'!$B$28)*('Assumptions'!$B$14/12))/ABS('Monthly Cash Flow'!$S$5))^(1/('Assumptions'!$B$14/12))-1</x:f>
        <x:v>0.20275847698581395</x:v>
      </x:c>
      <x:c r="Q855" s="133" t="n">
        <x:f>-ABS('Monthly Cash Flow'!$S$5)+((L855-N855-'Assumptions'!$B$27-'Assumptions'!$B$28)*(1-(1+'Assumptions'!$B$43)^-('Assumptions'!$B$14/12))/'Assumptions'!$B$43)+(O855/(1+'Assumptions'!$B$43)^('Assumptions'!$B$14/12))</x:f>
        <x:v>731027.6544646558</x:v>
      </x:c>
    </x:row>
    <x:row r="856">
      <x:c r="A856" s="131" t="n">
        <x:f>849</x:f>
        <x:v>849</x:v>
      </x:c>
      <x:c r="B856" s="131" t="n">
        <x:f>MOD(ABS(SIN((A856+1)*12.9898+78.233)*43758.5453),1)</x:f>
        <x:v>0.21481855167075992</x:v>
      </x:c>
      <x:c r="C856" s="131" t="n">
        <x:f>MOD(ABS(SIN((A856+2)*12.9898+78.233)*43758.5453),1)</x:f>
        <x:v>0.7202298043557676</x:v>
      </x:c>
      <x:c r="D856" s="131" t="n">
        <x:f>MOD(ABS(SIN((A856+3)*12.9898+78.233)*43758.5453),1)</x:f>
        <x:v>0.6689295388496248</x:v>
      </x:c>
      <x:c r="E856" s="131" t="n">
        <x:f>MOD(ABS(SIN((A856+4)*12.9898+78.233)*43758.5453),1)</x:f>
        <x:v>0.8447034804157738</x:v>
      </x:c>
      <x:c r="F856" s="131" t="n">
        <x:f>MOD(ABS(SIN((A856+5)*12.9898+78.233)*43758.5453),1)</x:f>
        <x:v>0.2798960026656232</x:v>
      </x:c>
      <x:c r="G856" s="132" t="n">
        <x:f>IF(B856&lt;(('Assumptions'!$C$47-'Assumptions'!$B$47)/('Assumptions'!$D$47-'Assumptions'!$B$47)),'Assumptions'!$B$47+SQRT(B856*('Assumptions'!$D$47-'Assumptions'!$B$47)*('Assumptions'!$C$47-'Assumptions'!$B$47)),'Assumptions'!$D$47-SQRT((1-B856)*('Assumptions'!$D$47-'Assumptions'!$B$47)*('Assumptions'!$D$47-'Assumptions'!$C$47)))</x:f>
        <x:v>-0.02819717804920034</x:v>
      </x:c>
      <x:c r="H856" s="132" t="n">
        <x:f>IF(C856&lt;(('Assumptions'!$C$48-'Assumptions'!$B$48)/('Assumptions'!$D$48-'Assumptions'!$B$48)),'Assumptions'!$B$48+SQRT(C856*('Assumptions'!$D$48-'Assumptions'!$B$48)*('Assumptions'!$C$48-'Assumptions'!$B$48)),'Assumptions'!$D$48-SQRT((1-C856)*('Assumptions'!$D$48-'Assumptions'!$B$48)*('Assumptions'!$D$48-'Assumptions'!$C$48)))</x:f>
        <x:v>0.09038167957629717</x:v>
      </x:c>
      <x:c r="I856" s="132" t="n">
        <x:f>IF(D856&lt;(('Assumptions'!$C$49-'Assumptions'!$B$49)/('Assumptions'!$D$49-'Assumptions'!$B$49)),'Assumptions'!$B$49+SQRT(D856*('Assumptions'!$D$49-'Assumptions'!$B$49)*('Assumptions'!$C$49-'Assumptions'!$B$49)),'Assumptions'!$D$49-SQRT((1-D856)*('Assumptions'!$D$49-'Assumptions'!$B$49)*('Assumptions'!$D$49-'Assumptions'!$C$49)))</x:f>
        <x:v>0.06543569334022714</x:v>
      </x:c>
      <x:c r="J856" s="132" t="n">
        <x:f>IF(E856&lt;(('Assumptions'!$C$50-'Assumptions'!$B$50)/('Assumptions'!$D$50-'Assumptions'!$B$50)),'Assumptions'!$B$50+SQRT(E856*('Assumptions'!$D$50-'Assumptions'!$B$50)*('Assumptions'!$C$50-'Assumptions'!$B$50)),'Assumptions'!$D$50-SQRT((1-E856)*('Assumptions'!$D$50-'Assumptions'!$B$50)*('Assumptions'!$D$50-'Assumptions'!$C$50)))</x:f>
        <x:v>0.07339113125163893</x:v>
      </x:c>
      <x:c r="K856" s="132" t="n">
        <x:f>IF(F856&lt;(('Assumptions'!$C$51-'Assumptions'!$B$51)/('Assumptions'!$D$51-'Assumptions'!$B$51)),'Assumptions'!$B$51+SQRT(F856*('Assumptions'!$D$51-'Assumptions'!$B$51)*('Assumptions'!$C$51-'Assumptions'!$B$51)),'Assumptions'!$D$51-SQRT((1-F856)*('Assumptions'!$D$51-'Assumptions'!$B$51)*('Assumptions'!$D$51-'Assumptions'!$C$51)))</x:f>
        <x:v>0.06627333464157423</x:v>
      </x:c>
      <x:c r="L856" s="133" t="n">
        <x:f>(('Assumptions'!$B$17*(1+G856)+'Assumptions'!$B$18)*(1-H856-'Assumptions'!$B$20)-SUM('Assumptions'!$B$21:$B$25)*(1+I856))-(('Assumptions'!$B$17*(1+G856)+'Assumptions'!$B$18)*(1-H856-'Assumptions'!$B$20)*'Assumptions'!$B$26)</x:f>
        <x:v>183441.86794043847</x:v>
      </x:c>
      <x:c r="M856" s="133" t="n">
        <x:f>'Assumptions'!$B$10*'Assumptions'!$B$33</x:f>
        <x:v>1950000</x:v>
      </x:c>
      <x:c r="N856" s="133" t="n">
        <x:f>-PMT(K856/12,'Assumptions'!$B$35*12,M856)*12</x:f>
        <x:v>149868.87084548894</x:v>
      </x:c>
      <x:c r="O856" s="133" t="n">
        <x:f>(L856*(1+'Assumptions'!$B$29)^('Assumptions'!$B$14/12)/J856)*(1-'Assumptions'!$B$42)-'Debt Schedule'!$F$9</x:f>
        <x:v>2723760.1347285365</x:v>
      </x:c>
      <x:c r="P856" s="132" t="n">
        <x:f>((O856+(L856-N856-'Assumptions'!$B$27-'Assumptions'!$B$28)*('Assumptions'!$B$14/12))/ABS('Monthly Cash Flow'!$S$5))^(1/('Assumptions'!$B$14/12))-1</x:f>
        <x:v>0.157663934443264</x:v>
      </x:c>
      <x:c r="Q856" s="133" t="n">
        <x:f>-ABS('Monthly Cash Flow'!$S$5)+((L856-N856-'Assumptions'!$B$27-'Assumptions'!$B$28)*(1-(1+'Assumptions'!$B$43)^-('Assumptions'!$B$14/12))/'Assumptions'!$B$43)+(O856/(1+'Assumptions'!$B$43)^('Assumptions'!$B$14/12))</x:f>
        <x:v>372377.34897200996</x:v>
      </x:c>
    </x:row>
    <x:row r="857">
      <x:c r="A857" s="131" t="n">
        <x:f>850</x:f>
        <x:v>850</x:v>
      </x:c>
      <x:c r="B857" s="131" t="n">
        <x:f>MOD(ABS(SIN((A857+1)*12.9898+78.233)*43758.5453),1)</x:f>
        <x:v>0.7202298043557676</x:v>
      </x:c>
      <x:c r="C857" s="131" t="n">
        <x:f>MOD(ABS(SIN((A857+2)*12.9898+78.233)*43758.5453),1)</x:f>
        <x:v>0.6689295388496248</x:v>
      </x:c>
      <x:c r="D857" s="131" t="n">
        <x:f>MOD(ABS(SIN((A857+3)*12.9898+78.233)*43758.5453),1)</x:f>
        <x:v>0.8447034804157738</x:v>
      </x:c>
      <x:c r="E857" s="131" t="n">
        <x:f>MOD(ABS(SIN((A857+4)*12.9898+78.233)*43758.5453),1)</x:f>
        <x:v>0.2798960026656232</x:v>
      </x:c>
      <x:c r="F857" s="131" t="n">
        <x:f>MOD(ABS(SIN((A857+5)*12.9898+78.233)*43758.5453),1)</x:f>
        <x:v>0.6954248267393268</x:v>
      </x:c>
      <x:c r="G857" s="132" t="n">
        <x:f>IF(B857&lt;(('Assumptions'!$C$47-'Assumptions'!$B$47)/('Assumptions'!$D$47-'Assumptions'!$B$47)),'Assumptions'!$B$47+SQRT(B857*('Assumptions'!$D$47-'Assumptions'!$B$47)*('Assumptions'!$C$47-'Assumptions'!$B$47)),'Assumptions'!$D$47-SQRT((1-B857)*('Assumptions'!$D$47-'Assumptions'!$B$47)*('Assumptions'!$D$47-'Assumptions'!$C$47)))</x:f>
        <x:v>0.03309467038936495</x:v>
      </x:c>
      <x:c r="H857" s="132" t="n">
        <x:f>IF(C857&lt;(('Assumptions'!$C$48-'Assumptions'!$B$48)/('Assumptions'!$D$48-'Assumptions'!$B$48)),'Assumptions'!$B$48+SQRT(C857*('Assumptions'!$D$48-'Assumptions'!$B$48)*('Assumptions'!$C$48-'Assumptions'!$B$48)),'Assumptions'!$D$48-SQRT((1-C857)*('Assumptions'!$D$48-'Assumptions'!$B$48)*('Assumptions'!$D$48-'Assumptions'!$C$48)))</x:f>
        <x:v>0.08602389363687576</x:v>
      </x:c>
      <x:c r="I857" s="132" t="n">
        <x:f>IF(D857&lt;(('Assumptions'!$C$49-'Assumptions'!$B$49)/('Assumptions'!$D$49-'Assumptions'!$B$49)),'Assumptions'!$B$49+SQRT(D857*('Assumptions'!$D$49-'Assumptions'!$B$49)*('Assumptions'!$C$49-'Assumptions'!$B$49)),'Assumptions'!$D$49-SQRT((1-D857)*('Assumptions'!$D$49-'Assumptions'!$B$49)*('Assumptions'!$D$49-'Assumptions'!$C$49)))</x:f>
        <x:v>0.09208277611090734</x:v>
      </x:c>
      <x:c r="J857" s="132" t="n">
        <x:f>IF(E857&lt;(('Assumptions'!$C$50-'Assumptions'!$B$50)/('Assumptions'!$D$50-'Assumptions'!$B$50)),'Assumptions'!$B$50+SQRT(E857*('Assumptions'!$D$50-'Assumptions'!$B$50)*('Assumptions'!$C$50-'Assumptions'!$B$50)),'Assumptions'!$D$50-SQRT((1-E857)*('Assumptions'!$D$50-'Assumptions'!$B$50)*('Assumptions'!$D$50-'Assumptions'!$C$50)))</x:f>
        <x:v>0.06543577977263515</x:v>
      </x:c>
      <x:c r="K857" s="132" t="n">
        <x:f>IF(F857&lt;(('Assumptions'!$C$51-'Assumptions'!$B$51)/('Assumptions'!$D$51-'Assumptions'!$B$51)),'Assumptions'!$B$51+SQRT(F857*('Assumptions'!$D$51-'Assumptions'!$B$51)*('Assumptions'!$C$51-'Assumptions'!$B$51)),'Assumptions'!$D$51-SQRT((1-F857)*('Assumptions'!$D$51-'Assumptions'!$B$51)*('Assumptions'!$D$51-'Assumptions'!$C$51)))</x:f>
        <x:v>0.07289310931197862</x:v>
      </x:c>
      <x:c r="L857" s="133" t="n">
        <x:f>(('Assumptions'!$B$17*(1+G857)+'Assumptions'!$B$18)*(1-H857-'Assumptions'!$B$20)-SUM('Assumptions'!$B$21:$B$25)*(1+I857))-(('Assumptions'!$B$17*(1+G857)+'Assumptions'!$B$18)*(1-H857-'Assumptions'!$B$20)*'Assumptions'!$B$26)</x:f>
        <x:v>200771.66275342653</x:v>
      </x:c>
      <x:c r="M857" s="133" t="n">
        <x:f>'Assumptions'!$B$10*'Assumptions'!$B$33</x:f>
        <x:v>1950000</x:v>
      </x:c>
      <x:c r="N857" s="133" t="n">
        <x:f>-PMT(K857/12,'Assumptions'!$B$35*12,M857)*12</x:f>
        <x:v>160253.6516026542</x:v>
      </x:c>
      <x:c r="O857" s="133" t="n">
        <x:f>(L857*(1+'Assumptions'!$B$29)^('Assumptions'!$B$14/12)/J857)*(1-'Assumptions'!$B$42)-'Debt Schedule'!$F$9</x:f>
        <x:v>3343498.3312691515</x:v>
      </x:c>
      <x:c r="P857" s="132" t="n">
        <x:f>((O857+(L857-N857-'Assumptions'!$B$27-'Assumptions'!$B$28)*('Assumptions'!$B$14/12))/ABS('Monthly Cash Flow'!$S$5))^(1/('Assumptions'!$B$14/12))-1</x:f>
        <x:v>0.20916918468461643</x:v>
      </x:c>
      <x:c r="Q857" s="133" t="n">
        <x:f>-ABS('Monthly Cash Flow'!$S$5)+((L857-N857-'Assumptions'!$B$27-'Assumptions'!$B$28)*(1-(1+'Assumptions'!$B$43)^-('Assumptions'!$B$14/12))/'Assumptions'!$B$43)+(O857/(1+'Assumptions'!$B$43)^('Assumptions'!$B$14/12))</x:f>
        <x:v>783513.0773144723</x:v>
      </x:c>
    </x:row>
    <x:row r="858">
      <x:c r="A858" s="131" t="n">
        <x:f>851</x:f>
        <x:v>851</x:v>
      </x:c>
      <x:c r="B858" s="131" t="n">
        <x:f>MOD(ABS(SIN((A858+1)*12.9898+78.233)*43758.5453),1)</x:f>
        <x:v>0.6689295388496248</x:v>
      </x:c>
      <x:c r="C858" s="131" t="n">
        <x:f>MOD(ABS(SIN((A858+2)*12.9898+78.233)*43758.5453),1)</x:f>
        <x:v>0.8447034804157738</x:v>
      </x:c>
      <x:c r="D858" s="131" t="n">
        <x:f>MOD(ABS(SIN((A858+3)*12.9898+78.233)*43758.5453),1)</x:f>
        <x:v>0.2798960026656232</x:v>
      </x:c>
      <x:c r="E858" s="131" t="n">
        <x:f>MOD(ABS(SIN((A858+4)*12.9898+78.233)*43758.5453),1)</x:f>
        <x:v>0.6954248267393268</x:v>
      </x:c>
      <x:c r="F858" s="131" t="n">
        <x:f>MOD(ABS(SIN((A858+5)*12.9898+78.233)*43758.5453),1)</x:f>
        <x:v>0.9523426817759173</x:v>
      </x:c>
      <x:c r="G858" s="132" t="n">
        <x:f>IF(B858&lt;(('Assumptions'!$C$47-'Assumptions'!$B$47)/('Assumptions'!$D$47-'Assumptions'!$B$47)),'Assumptions'!$B$47+SQRT(B858*('Assumptions'!$D$47-'Assumptions'!$B$47)*('Assumptions'!$C$47-'Assumptions'!$B$47)),'Assumptions'!$D$47-SQRT((1-B858)*('Assumptions'!$D$47-'Assumptions'!$B$47)*('Assumptions'!$D$47-'Assumptions'!$C$47)))</x:f>
        <x:v>0.02721863302736062</x:v>
      </x:c>
      <x:c r="H858" s="132" t="n">
        <x:f>IF(C858&lt;(('Assumptions'!$C$48-'Assumptions'!$B$48)/('Assumptions'!$D$48-'Assumptions'!$B$48)),'Assumptions'!$B$48+SQRT(C858*('Assumptions'!$D$48-'Assumptions'!$B$48)*('Assumptions'!$C$48-'Assumptions'!$B$48)),'Assumptions'!$D$48-SQRT((1-C858)*('Assumptions'!$D$48-'Assumptions'!$B$48)*('Assumptions'!$D$48-'Assumptions'!$C$48)))</x:f>
        <x:v>0.10303231989505982</x:v>
      </x:c>
      <x:c r="I858" s="132" t="n">
        <x:f>IF(D858&lt;(('Assumptions'!$C$49-'Assumptions'!$B$49)/('Assumptions'!$D$49-'Assumptions'!$B$49)),'Assumptions'!$B$49+SQRT(D858*('Assumptions'!$D$49-'Assumptions'!$B$49)*('Assumptions'!$C$49-'Assumptions'!$B$49)),'Assumptions'!$D$49-SQRT((1-D858)*('Assumptions'!$D$49-'Assumptions'!$B$49)*('Assumptions'!$D$49-'Assumptions'!$C$49)))</x:f>
        <x:v>0.024980695055525907</x:v>
      </x:c>
      <x:c r="J858" s="132" t="n">
        <x:f>IF(E858&lt;(('Assumptions'!$C$50-'Assumptions'!$B$50)/('Assumptions'!$D$50-'Assumptions'!$B$50)),'Assumptions'!$B$50+SQRT(E858*('Assumptions'!$D$50-'Assumptions'!$B$50)*('Assumptions'!$C$50-'Assumptions'!$B$50)),'Assumptions'!$D$50-SQRT((1-E858)*('Assumptions'!$D$50-'Assumptions'!$B$50)*('Assumptions'!$D$50-'Assumptions'!$C$50)))</x:f>
        <x:v>0.07074463574571134</x:v>
      </x:c>
      <x:c r="K858" s="132" t="n">
        <x:f>IF(F858&lt;(('Assumptions'!$C$51-'Assumptions'!$B$51)/('Assumptions'!$D$51-'Assumptions'!$B$51)),'Assumptions'!$B$51+SQRT(F858*('Assumptions'!$D$51-'Assumptions'!$B$51)*('Assumptions'!$C$51-'Assumptions'!$B$51)),'Assumptions'!$D$51-SQRT((1-F858)*('Assumptions'!$D$51-'Assumptions'!$B$51)*('Assumptions'!$D$51-'Assumptions'!$C$51)))</x:f>
        <x:v>0.08021094117854669</x:v>
      </x:c>
      <x:c r="L858" s="133" t="n">
        <x:f>(('Assumptions'!$B$17*(1+G858)+'Assumptions'!$B$18)*(1-H858-'Assumptions'!$B$20)-SUM('Assumptions'!$B$21:$B$25)*(1+I858))-(('Assumptions'!$B$17*(1+G858)+'Assumptions'!$B$18)*(1-H858-'Assumptions'!$B$20)*'Assumptions'!$B$26)</x:f>
        <x:v>201058.7558963671</x:v>
      </x:c>
      <x:c r="M858" s="133" t="n">
        <x:f>'Assumptions'!$B$10*'Assumptions'!$B$33</x:f>
        <x:v>1950000</x:v>
      </x:c>
      <x:c r="N858" s="133" t="n">
        <x:f>-PMT(K858/12,'Assumptions'!$B$35*12,M858)*12</x:f>
        <x:v>172045.1347733271</x:v>
      </x:c>
      <x:c r="O858" s="133" t="n">
        <x:f>(L858*(1+'Assumptions'!$B$29)^('Assumptions'!$B$14/12)/J858)*(1-'Assumptions'!$B$42)-'Debt Schedule'!$F$9</x:f>
        <x:v>3097016.029906585</x:v>
      </x:c>
      <x:c r="P858" s="132" t="n">
        <x:f>((O858+(L858-N858-'Assumptions'!$B$27-'Assumptions'!$B$28)*('Assumptions'!$B$14/12))/ABS('Monthly Cash Flow'!$S$5))^(1/('Assumptions'!$B$14/12))-1</x:f>
        <x:v>0.18635272812188308</x:v>
      </x:c>
      <x:c r="Q858" s="133" t="n">
        <x:f>-ABS('Monthly Cash Flow'!$S$5)+((L858-N858-'Assumptions'!$B$27-'Assumptions'!$B$28)*(1-(1+'Assumptions'!$B$43)^-('Assumptions'!$B$14/12))/'Assumptions'!$B$43)+(O858/(1+'Assumptions'!$B$43)^('Assumptions'!$B$14/12))</x:f>
        <x:v>586856.2711345197</x:v>
      </x:c>
    </x:row>
    <x:row r="859">
      <x:c r="A859" s="131" t="n">
        <x:f>852</x:f>
        <x:v>852</x:v>
      </x:c>
      <x:c r="B859" s="131" t="n">
        <x:f>MOD(ABS(SIN((A859+1)*12.9898+78.233)*43758.5453),1)</x:f>
        <x:v>0.8447034804157738</x:v>
      </x:c>
      <x:c r="C859" s="131" t="n">
        <x:f>MOD(ABS(SIN((A859+2)*12.9898+78.233)*43758.5453),1)</x:f>
        <x:v>0.2798960026656232</x:v>
      </x:c>
      <x:c r="D859" s="131" t="n">
        <x:f>MOD(ABS(SIN((A859+3)*12.9898+78.233)*43758.5453),1)</x:f>
        <x:v>0.6954248267393268</x:v>
      </x:c>
      <x:c r="E859" s="131" t="n">
        <x:f>MOD(ABS(SIN((A859+4)*12.9898+78.233)*43758.5453),1)</x:f>
        <x:v>0.9523426817759173</x:v>
      </x:c>
      <x:c r="F859" s="131" t="n">
        <x:f>MOD(ABS(SIN((A859+5)*12.9898+78.233)*43758.5453),1)</x:f>
        <x:v>0.7431725092610577</x:v>
      </x:c>
      <x:c r="G859" s="132" t="n">
        <x:f>IF(B859&lt;(('Assumptions'!$C$47-'Assumptions'!$B$47)/('Assumptions'!$D$47-'Assumptions'!$B$47)),'Assumptions'!$B$47+SQRT(B859*('Assumptions'!$D$47-'Assumptions'!$B$47)*('Assumptions'!$C$47-'Assumptions'!$B$47)),'Assumptions'!$D$47-SQRT((1-B859)*('Assumptions'!$D$47-'Assumptions'!$B$47)*('Assumptions'!$D$47-'Assumptions'!$C$47)))</x:f>
        <x:v>0.0501527903153284</x:v>
      </x:c>
      <x:c r="H859" s="132" t="n">
        <x:f>IF(C859&lt;(('Assumptions'!$C$48-'Assumptions'!$B$48)/('Assumptions'!$D$48-'Assumptions'!$B$48)),'Assumptions'!$B$48+SQRT(C859*('Assumptions'!$D$48-'Assumptions'!$B$48)*('Assumptions'!$C$48-'Assumptions'!$B$48)),'Assumptions'!$D$48-SQRT((1-C859)*('Assumptions'!$D$48-'Assumptions'!$B$48)*('Assumptions'!$D$48-'Assumptions'!$C$48)))</x:f>
        <x:v>0.0603952565700855</x:v>
      </x:c>
      <x:c r="I859" s="132" t="n">
        <x:f>IF(D859&lt;(('Assumptions'!$C$49-'Assumptions'!$B$49)/('Assumptions'!$D$49-'Assumptions'!$B$49)),'Assumptions'!$B$49+SQRT(D859*('Assumptions'!$D$49-'Assumptions'!$B$49)*('Assumptions'!$C$49-'Assumptions'!$B$49)),'Assumptions'!$D$49-SQRT((1-D859)*('Assumptions'!$D$49-'Assumptions'!$B$49)*('Assumptions'!$D$49-'Assumptions'!$C$49)))</x:f>
        <x:v>0.06889005151998591</x:v>
      </x:c>
      <x:c r="J859" s="132" t="n">
        <x:f>IF(E859&lt;(('Assumptions'!$C$50-'Assumptions'!$B$50)/('Assumptions'!$D$50-'Assumptions'!$B$50)),'Assumptions'!$B$50+SQRT(E859*('Assumptions'!$D$50-'Assumptions'!$B$50)*('Assumptions'!$C$50-'Assumptions'!$B$50)),'Assumptions'!$D$50-SQRT((1-E859)*('Assumptions'!$D$50-'Assumptions'!$B$50)*('Assumptions'!$D$50-'Assumptions'!$C$50)))</x:f>
        <x:v>0.0763389044330251</x:v>
      </x:c>
      <x:c r="K859" s="132" t="n">
        <x:f>IF(F859&lt;(('Assumptions'!$C$51-'Assumptions'!$B$51)/('Assumptions'!$D$51-'Assumptions'!$B$51)),'Assumptions'!$B$51+SQRT(F859*('Assumptions'!$D$51-'Assumptions'!$B$51)*('Assumptions'!$C$51-'Assumptions'!$B$51)),'Assumptions'!$D$51-SQRT((1-F859)*('Assumptions'!$D$51-'Assumptions'!$B$51)*('Assumptions'!$D$51-'Assumptions'!$C$51)))</x:f>
        <x:v>0.07388252592006098</x:v>
      </x:c>
      <x:c r="L859" s="133" t="n">
        <x:f>(('Assumptions'!$B$17*(1+G859)+'Assumptions'!$B$18)*(1-H859-'Assumptions'!$B$20)-SUM('Assumptions'!$B$21:$B$25)*(1+I859))-(('Assumptions'!$B$17*(1+G859)+'Assumptions'!$B$18)*(1-H859-'Assumptions'!$B$20)*'Assumptions'!$B$26)</x:f>
        <x:v>218767.4799292076</x:v>
      </x:c>
      <x:c r="M859" s="133" t="n">
        <x:f>'Assumptions'!$B$10*'Assumptions'!$B$33</x:f>
        <x:v>1950000</x:v>
      </x:c>
      <x:c r="N859" s="133" t="n">
        <x:f>-PMT(K859/12,'Assumptions'!$B$35*12,M859)*12</x:f>
        <x:v>161829.38976085198</x:v>
      </x:c>
      <x:c r="O859" s="133" t="n">
        <x:f>(L859*(1+'Assumptions'!$B$29)^('Assumptions'!$B$14/12)/J859)*(1-'Assumptions'!$B$42)-'Debt Schedule'!$F$9</x:f>
        <x:v>3122847.7993696625</x:v>
      </x:c>
      <x:c r="P859" s="132" t="n">
        <x:f>((O859+(L859-N859-'Assumptions'!$B$27-'Assumptions'!$B$28)*('Assumptions'!$B$14/12))/ABS('Monthly Cash Flow'!$S$5))^(1/('Assumptions'!$B$14/12))-1</x:f>
        <x:v>0.1989855742562936</x:v>
      </x:c>
      <x:c r="Q859" s="133" t="n">
        <x:f>-ABS('Monthly Cash Flow'!$S$5)+((L859-N859-'Assumptions'!$B$27-'Assumptions'!$B$28)*(1-(1+'Assumptions'!$B$43)^-('Assumptions'!$B$14/12))/'Assumptions'!$B$43)+(O859/(1+'Assumptions'!$B$43)^('Assumptions'!$B$14/12))</x:f>
        <x:v>708751.4754062311</x:v>
      </x:c>
    </x:row>
    <x:row r="860">
      <x:c r="A860" s="131" t="n">
        <x:f>853</x:f>
        <x:v>853</x:v>
      </x:c>
      <x:c r="B860" s="131" t="n">
        <x:f>MOD(ABS(SIN((A860+1)*12.9898+78.233)*43758.5453),1)</x:f>
        <x:v>0.2798960026656232</x:v>
      </x:c>
      <x:c r="C860" s="131" t="n">
        <x:f>MOD(ABS(SIN((A860+2)*12.9898+78.233)*43758.5453),1)</x:f>
        <x:v>0.6954248267393268</x:v>
      </x:c>
      <x:c r="D860" s="131" t="n">
        <x:f>MOD(ABS(SIN((A860+3)*12.9898+78.233)*43758.5453),1)</x:f>
        <x:v>0.9523426817759173</x:v>
      </x:c>
      <x:c r="E860" s="131" t="n">
        <x:f>MOD(ABS(SIN((A860+4)*12.9898+78.233)*43758.5453),1)</x:f>
        <x:v>0.7431725092610577</x:v>
      </x:c>
      <x:c r="F860" s="131" t="n">
        <x:f>MOD(ABS(SIN((A860+5)*12.9898+78.233)*43758.5453),1)</x:f>
        <x:v>0.30788817657594336</x:v>
      </x:c>
      <x:c r="G860" s="132" t="n">
        <x:f>IF(B860&lt;(('Assumptions'!$C$47-'Assumptions'!$B$47)/('Assumptions'!$D$47-'Assumptions'!$B$47)),'Assumptions'!$B$47+SQRT(B860*('Assumptions'!$D$47-'Assumptions'!$B$47)*('Assumptions'!$C$47-'Assumptions'!$B$47)),'Assumptions'!$D$47-SQRT((1-B860)*('Assumptions'!$D$47-'Assumptions'!$B$47)*('Assumptions'!$D$47-'Assumptions'!$C$47)))</x:f>
        <x:v>-0.018039618937105012</x:v>
      </x:c>
      <x:c r="H860" s="132" t="n">
        <x:f>IF(C860&lt;(('Assumptions'!$C$48-'Assumptions'!$B$48)/('Assumptions'!$D$48-'Assumptions'!$B$48)),'Assumptions'!$B$48+SQRT(C860*('Assumptions'!$D$48-'Assumptions'!$B$48)*('Assumptions'!$C$48-'Assumptions'!$B$48)),'Assumptions'!$D$48-SQRT((1-C860)*('Assumptions'!$D$48-'Assumptions'!$B$48)*('Assumptions'!$D$48-'Assumptions'!$C$48)))</x:f>
        <x:v>0.08822875774434302</x:v>
      </x:c>
      <x:c r="I860" s="132" t="n">
        <x:f>IF(D860&lt;(('Assumptions'!$C$49-'Assumptions'!$B$49)/('Assumptions'!$D$49-'Assumptions'!$B$49)),'Assumptions'!$B$49+SQRT(D860*('Assumptions'!$D$49-'Assumptions'!$B$49)*('Assumptions'!$C$49-'Assumptions'!$B$49)),'Assumptions'!$D$49-SQRT((1-D860)*('Assumptions'!$D$49-'Assumptions'!$B$49)*('Assumptions'!$D$49-'Assumptions'!$C$49)))</x:f>
        <x:v>0.1179157659645709</x:v>
      </x:c>
      <x:c r="J860" s="132" t="n">
        <x:f>IF(E860&lt;(('Assumptions'!$C$50-'Assumptions'!$B$50)/('Assumptions'!$D$50-'Assumptions'!$B$50)),'Assumptions'!$B$50+SQRT(E860*('Assumptions'!$D$50-'Assumptions'!$B$50)*('Assumptions'!$C$50-'Assumptions'!$B$50)),'Assumptions'!$D$50-SQRT((1-E860)*('Assumptions'!$D$50-'Assumptions'!$B$50)*('Assumptions'!$D$50-'Assumptions'!$C$50)))</x:f>
        <x:v>0.07150101583891771</x:v>
      </x:c>
      <x:c r="K860" s="132" t="n">
        <x:f>IF(F860&lt;(('Assumptions'!$C$51-'Assumptions'!$B$51)/('Assumptions'!$D$51-'Assumptions'!$B$51)),'Assumptions'!$B$51+SQRT(F860*('Assumptions'!$D$51-'Assumptions'!$B$51)*('Assumptions'!$C$51-'Assumptions'!$B$51)),'Assumptions'!$D$51-SQRT((1-F860)*('Assumptions'!$D$51-'Assumptions'!$B$51)*('Assumptions'!$D$51-'Assumptions'!$C$51)))</x:f>
        <x:v>0.06670158945826124</x:v>
      </x:c>
      <x:c r="L860" s="133" t="n">
        <x:f>(('Assumptions'!$B$17*(1+G860)+'Assumptions'!$B$18)*(1-H860-'Assumptions'!$B$20)-SUM('Assumptions'!$B$21:$B$25)*(1+I860))-(('Assumptions'!$B$17*(1+G860)+'Assumptions'!$B$18)*(1-H860-'Assumptions'!$B$20)*'Assumptions'!$B$26)</x:f>
        <x:v>180755.2760077871</x:v>
      </x:c>
      <x:c r="M860" s="133" t="n">
        <x:f>'Assumptions'!$B$10*'Assumptions'!$B$33</x:f>
        <x:v>1950000</x:v>
      </x:c>
      <x:c r="N860" s="133" t="n">
        <x:f>-PMT(K860/12,'Assumptions'!$B$35*12,M860)*12</x:f>
        <x:v>150532.1532718285</x:v>
      </x:c>
      <x:c r="O860" s="133" t="n">
        <x:f>(L860*(1+'Assumptions'!$B$29)^('Assumptions'!$B$14/12)/J860)*(1-'Assumptions'!$B$42)-'Debt Schedule'!$F$9</x:f>
        <x:v>2754816.9580750363</x:v>
      </x:c>
      <x:c r="P860" s="132" t="n">
        <x:f>((O860+(L860-N860-'Assumptions'!$B$27-'Assumptions'!$B$28)*('Assumptions'!$B$14/12))/ABS('Monthly Cash Flow'!$S$5))^(1/('Assumptions'!$B$14/12))-1</x:f>
        <x:v>0.15889204867228446</x:v>
      </x:c>
      <x:c r="Q860" s="133" t="n">
        <x:f>-ABS('Monthly Cash Flow'!$S$5)+((L860-N860-'Assumptions'!$B$27-'Assumptions'!$B$28)*(1-(1+'Assumptions'!$B$43)^-('Assumptions'!$B$14/12))/'Assumptions'!$B$43)+(O860/(1+'Assumptions'!$B$43)^('Assumptions'!$B$14/12))</x:f>
        <x:v>378962.5334150898</x:v>
      </x:c>
    </x:row>
    <x:row r="861">
      <x:c r="A861" s="131" t="n">
        <x:f>854</x:f>
        <x:v>854</x:v>
      </x:c>
      <x:c r="B861" s="131" t="n">
        <x:f>MOD(ABS(SIN((A861+1)*12.9898+78.233)*43758.5453),1)</x:f>
        <x:v>0.6954248267393268</x:v>
      </x:c>
      <x:c r="C861" s="131" t="n">
        <x:f>MOD(ABS(SIN((A861+2)*12.9898+78.233)*43758.5453),1)</x:f>
        <x:v>0.9523426817759173</x:v>
      </x:c>
      <x:c r="D861" s="131" t="n">
        <x:f>MOD(ABS(SIN((A861+3)*12.9898+78.233)*43758.5453),1)</x:f>
        <x:v>0.7431725092610577</x:v>
      </x:c>
      <x:c r="E861" s="131" t="n">
        <x:f>MOD(ABS(SIN((A861+4)*12.9898+78.233)*43758.5453),1)</x:f>
        <x:v>0.30788817657594336</x:v>
      </x:c>
      <x:c r="F861" s="131" t="n">
        <x:f>MOD(ABS(SIN((A861+5)*12.9898+78.233)*43758.5453),1)</x:f>
        <x:v>0.22446432932338212</x:v>
      </x:c>
      <x:c r="G861" s="132" t="n">
        <x:f>IF(B861&lt;(('Assumptions'!$C$47-'Assumptions'!$B$47)/('Assumptions'!$D$47-'Assumptions'!$B$47)),'Assumptions'!$B$47+SQRT(B861*('Assumptions'!$D$47-'Assumptions'!$B$47)*('Assumptions'!$C$47-'Assumptions'!$B$47)),'Assumptions'!$D$47-SQRT((1-B861)*('Assumptions'!$D$47-'Assumptions'!$B$47)*('Assumptions'!$D$47-'Assumptions'!$C$47)))</x:f>
        <x:v>0.03019167118336974</x:v>
      </x:c>
      <x:c r="H861" s="132" t="n">
        <x:f>IF(C861&lt;(('Assumptions'!$C$48-'Assumptions'!$B$48)/('Assumptions'!$D$48-'Assumptions'!$B$48)),'Assumptions'!$B$48+SQRT(C861*('Assumptions'!$D$48-'Assumptions'!$B$48)*('Assumptions'!$C$48-'Assumptions'!$B$48)),'Assumptions'!$D$48-SQRT((1-C861)*('Assumptions'!$D$48-'Assumptions'!$B$48)*('Assumptions'!$D$48-'Assumptions'!$C$48)))</x:f>
        <x:v>0.11952112306858778</x:v>
      </x:c>
      <x:c r="I861" s="132" t="n">
        <x:f>IF(D861&lt;(('Assumptions'!$C$49-'Assumptions'!$B$49)/('Assumptions'!$D$49-'Assumptions'!$B$49)),'Assumptions'!$B$49+SQRT(D861*('Assumptions'!$D$49-'Assumptions'!$B$49)*('Assumptions'!$C$49-'Assumptions'!$B$49)),'Assumptions'!$D$49-SQRT((1-D861)*('Assumptions'!$D$49-'Assumptions'!$B$49)*('Assumptions'!$D$49-'Assumptions'!$C$49)))</x:f>
        <x:v>0.07551863454553781</x:v>
      </x:c>
      <x:c r="J861" s="132" t="n">
        <x:f>IF(E861&lt;(('Assumptions'!$C$50-'Assumptions'!$B$50)/('Assumptions'!$D$50-'Assumptions'!$B$50)),'Assumptions'!$B$50+SQRT(E861*('Assumptions'!$D$50-'Assumptions'!$B$50)*('Assumptions'!$C$50-'Assumptions'!$B$50)),'Assumptions'!$D$50-SQRT((1-E861)*('Assumptions'!$D$50-'Assumptions'!$B$50)*('Assumptions'!$D$50-'Assumptions'!$C$50)))</x:f>
        <x:v>0.06582315082943876</x:v>
      </x:c>
      <x:c r="K861" s="132" t="n">
        <x:f>IF(F861&lt;(('Assumptions'!$C$51-'Assumptions'!$B$51)/('Assumptions'!$D$51-'Assumptions'!$B$51)),'Assumptions'!$B$51+SQRT(F861*('Assumptions'!$D$51-'Assumptions'!$B$51)*('Assumptions'!$C$51-'Assumptions'!$B$51)),'Assumptions'!$D$51-SQRT((1-F861)*('Assumptions'!$D$51-'Assumptions'!$B$51)*('Assumptions'!$D$51-'Assumptions'!$C$51)))</x:f>
        <x:v>0.0653566971790906</x:v>
      </x:c>
      <x:c r="L861" s="133" t="n">
        <x:f>(('Assumptions'!$B$17*(1+G861)+'Assumptions'!$B$18)*(1-H861-'Assumptions'!$B$20)-SUM('Assumptions'!$B$21:$B$25)*(1+I861))-(('Assumptions'!$B$17*(1+G861)+'Assumptions'!$B$18)*(1-H861-'Assumptions'!$B$20)*'Assumptions'!$B$26)</x:f>
        <x:v>189446.81378375954</x:v>
      </x:c>
      <x:c r="M861" s="133" t="n">
        <x:f>'Assumptions'!$B$10*'Assumptions'!$B$33</x:f>
        <x:v>1950000</x:v>
      </x:c>
      <x:c r="N861" s="133" t="n">
        <x:f>-PMT(K861/12,'Assumptions'!$B$35*12,M861)*12</x:f>
        <x:v>148453.26609649614</x:v>
      </x:c>
      <x:c r="O861" s="133" t="n">
        <x:f>(L861*(1+'Assumptions'!$B$29)^('Assumptions'!$B$14/12)/J861)*(1-'Assumptions'!$B$42)-'Debt Schedule'!$F$9</x:f>
        <x:v>3136336.232710807</x:v>
      </x:c>
      <x:c r="P861" s="132" t="n">
        <x:f>((O861+(L861-N861-'Assumptions'!$B$27-'Assumptions'!$B$28)*('Assumptions'!$B$14/12))/ABS('Monthly Cash Flow'!$S$5))^(1/('Assumptions'!$B$14/12))-1</x:f>
        <x:v>0.19399245301019974</x:v>
      </x:c>
      <x:c r="Q861" s="133" t="n">
        <x:f>-ABS('Monthly Cash Flow'!$S$5)+((L861-N861-'Assumptions'!$B$27-'Assumptions'!$B$28)*(1-(1+'Assumptions'!$B$43)^-('Assumptions'!$B$14/12))/'Assumptions'!$B$43)+(O861/(1+'Assumptions'!$B$43)^('Assumptions'!$B$14/12))</x:f>
        <x:v>656684.3706008147</x:v>
      </x:c>
    </x:row>
    <x:row r="862">
      <x:c r="A862" s="131" t="n">
        <x:f>855</x:f>
        <x:v>855</x:v>
      </x:c>
      <x:c r="B862" s="131" t="n">
        <x:f>MOD(ABS(SIN((A862+1)*12.9898+78.233)*43758.5453),1)</x:f>
        <x:v>0.9523426817759173</x:v>
      </x:c>
      <x:c r="C862" s="131" t="n">
        <x:f>MOD(ABS(SIN((A862+2)*12.9898+78.233)*43758.5453),1)</x:f>
        <x:v>0.7431725092610577</x:v>
      </x:c>
      <x:c r="D862" s="131" t="n">
        <x:f>MOD(ABS(SIN((A862+3)*12.9898+78.233)*43758.5453),1)</x:f>
        <x:v>0.30788817657594336</x:v>
      </x:c>
      <x:c r="E862" s="131" t="n">
        <x:f>MOD(ABS(SIN((A862+4)*12.9898+78.233)*43758.5453),1)</x:f>
        <x:v>0.22446432932338212</x:v>
      </x:c>
      <x:c r="F862" s="131" t="n">
        <x:f>MOD(ABS(SIN((A862+5)*12.9898+78.233)*43758.5453),1)</x:f>
        <x:v>0.5783348156510328</x:v>
      </x:c>
      <x:c r="G862" s="132" t="n">
        <x:f>IF(B862&lt;(('Assumptions'!$C$47-'Assumptions'!$B$47)/('Assumptions'!$D$47-'Assumptions'!$B$47)),'Assumptions'!$B$47+SQRT(B862*('Assumptions'!$D$47-'Assumptions'!$B$47)*('Assumptions'!$C$47-'Assumptions'!$B$47)),'Assumptions'!$D$47-SQRT((1-B862)*('Assumptions'!$D$47-'Assumptions'!$B$47)*('Assumptions'!$D$47-'Assumptions'!$C$47)))</x:f>
        <x:v>0.07238628797888044</x:v>
      </x:c>
      <x:c r="H862" s="132" t="n">
        <x:f>IF(C862&lt;(('Assumptions'!$C$48-'Assumptions'!$B$48)/('Assumptions'!$D$48-'Assumptions'!$B$48)),'Assumptions'!$B$48+SQRT(C862*('Assumptions'!$D$48-'Assumptions'!$B$48)*('Assumptions'!$C$48-'Assumptions'!$B$48)),'Assumptions'!$D$48-SQRT((1-C862)*('Assumptions'!$D$48-'Assumptions'!$B$48)*('Assumptions'!$D$48-'Assumptions'!$C$48)))</x:f>
        <x:v>0.09245968112746096</x:v>
      </x:c>
      <x:c r="I862" s="132" t="n">
        <x:f>IF(D862&lt;(('Assumptions'!$C$49-'Assumptions'!$B$49)/('Assumptions'!$D$49-'Assumptions'!$B$49)),'Assumptions'!$B$49+SQRT(D862*('Assumptions'!$D$49-'Assumptions'!$B$49)*('Assumptions'!$C$49-'Assumptions'!$B$49)),'Assumptions'!$D$49-SQRT((1-D862)*('Assumptions'!$D$49-'Assumptions'!$B$49)*('Assumptions'!$D$49-'Assumptions'!$C$49)))</x:f>
        <x:v>0.02766448046258796</x:v>
      </x:c>
      <x:c r="J862" s="132" t="n">
        <x:f>IF(E862&lt;(('Assumptions'!$C$50-'Assumptions'!$B$50)/('Assumptions'!$D$50-'Assumptions'!$B$50)),'Assumptions'!$B$50+SQRT(E862*('Assumptions'!$D$50-'Assumptions'!$B$50)*('Assumptions'!$C$50-'Assumptions'!$B$50)),'Assumptions'!$D$50-SQRT((1-E862)*('Assumptions'!$D$50-'Assumptions'!$B$50)*('Assumptions'!$D$50-'Assumptions'!$C$50)))</x:f>
        <x:v>0.06460664999122379</x:v>
      </x:c>
      <x:c r="K862" s="132" t="n">
        <x:f>IF(F862&lt;(('Assumptions'!$C$51-'Assumptions'!$B$51)/('Assumptions'!$D$51-'Assumptions'!$B$51)),'Assumptions'!$B$51+SQRT(F862*('Assumptions'!$D$51-'Assumptions'!$B$51)*('Assumptions'!$C$51-'Assumptions'!$B$51)),'Assumptions'!$D$51-SQRT((1-F862)*('Assumptions'!$D$51-'Assumptions'!$B$51)*('Assumptions'!$D$51-'Assumptions'!$C$51)))</x:f>
        <x:v>0.07075477729314349</x:v>
      </x:c>
      <x:c r="L862" s="133" t="n">
        <x:f>(('Assumptions'!$B$17*(1+G862)+'Assumptions'!$B$18)*(1-H862-'Assumptions'!$B$20)-SUM('Assumptions'!$B$21:$B$25)*(1+I862))-(('Assumptions'!$B$17*(1+G862)+'Assumptions'!$B$18)*(1-H862-'Assumptions'!$B$20)*'Assumptions'!$B$26)</x:f>
        <x:v>218667.2042795021</x:v>
      </x:c>
      <x:c r="M862" s="133" t="n">
        <x:f>'Assumptions'!$B$10*'Assumptions'!$B$33</x:f>
        <x:v>1950000</x:v>
      </x:c>
      <x:c r="N862" s="133" t="n">
        <x:f>-PMT(K862/12,'Assumptions'!$B$35*12,M862)*12</x:f>
        <x:v>156868.74476550368</x:v>
      </x:c>
      <x:c r="O862" s="133" t="n">
        <x:f>(L862*(1+'Assumptions'!$B$29)^('Assumptions'!$B$14/12)/J862)*(1-'Assumptions'!$B$42)-'Debt Schedule'!$F$9</x:f>
        <x:v>3688250.475825698</x:v>
      </x:c>
      <x:c r="P862" s="132" t="n">
        <x:f>((O862+(L862-N862-'Assumptions'!$B$27-'Assumptions'!$B$28)*('Assumptions'!$B$14/12))/ABS('Monthly Cash Flow'!$S$5))^(1/('Assumptions'!$B$14/12))-1</x:f>
        <x:v>0.24014727092770394</x:v>
      </x:c>
      <x:c r="Q862" s="133" t="n">
        <x:f>-ABS('Monthly Cash Flow'!$S$5)+((L862-N862-'Assumptions'!$B$27-'Assumptions'!$B$28)*(1-(1+'Assumptions'!$B$43)^-('Assumptions'!$B$14/12))/'Assumptions'!$B$43)+(O862/(1+'Assumptions'!$B$43)^('Assumptions'!$B$14/12))</x:f>
        <x:v>1078246.6771424012</x:v>
      </x:c>
    </x:row>
    <x:row r="863">
      <x:c r="A863" s="131" t="n">
        <x:f>856</x:f>
        <x:v>856</x:v>
      </x:c>
      <x:c r="B863" s="131" t="n">
        <x:f>MOD(ABS(SIN((A863+1)*12.9898+78.233)*43758.5453),1)</x:f>
        <x:v>0.7431725092610577</x:v>
      </x:c>
      <x:c r="C863" s="131" t="n">
        <x:f>MOD(ABS(SIN((A863+2)*12.9898+78.233)*43758.5453),1)</x:f>
        <x:v>0.30788817657594336</x:v>
      </x:c>
      <x:c r="D863" s="131" t="n">
        <x:f>MOD(ABS(SIN((A863+3)*12.9898+78.233)*43758.5453),1)</x:f>
        <x:v>0.22446432932338212</x:v>
      </x:c>
      <x:c r="E863" s="131" t="n">
        <x:f>MOD(ABS(SIN((A863+4)*12.9898+78.233)*43758.5453),1)</x:f>
        <x:v>0.5783348156510328</x:v>
      </x:c>
      <x:c r="F863" s="131" t="n">
        <x:f>MOD(ABS(SIN((A863+5)*12.9898+78.233)*43758.5453),1)</x:f>
        <x:v>0.4156457877752473</x:v>
      </x:c>
      <x:c r="G863" s="132" t="n">
        <x:f>IF(B863&lt;(('Assumptions'!$C$47-'Assumptions'!$B$47)/('Assumptions'!$D$47-'Assumptions'!$B$47)),'Assumptions'!$B$47+SQRT(B863*('Assumptions'!$D$47-'Assumptions'!$B$47)*('Assumptions'!$C$47-'Assumptions'!$B$47)),'Assumptions'!$D$47-SQRT((1-B863)*('Assumptions'!$D$47-'Assumptions'!$B$47)*('Assumptions'!$D$47-'Assumptions'!$C$47)))</x:f>
        <x:v>0.03589664710935102</x:v>
      </x:c>
      <x:c r="H863" s="132" t="n">
        <x:f>IF(C863&lt;(('Assumptions'!$C$48-'Assumptions'!$B$48)/('Assumptions'!$D$48-'Assumptions'!$B$48)),'Assumptions'!$B$48+SQRT(C863*('Assumptions'!$D$48-'Assumptions'!$B$48)*('Assumptions'!$C$48-'Assumptions'!$B$48)),'Assumptions'!$D$48-SQRT((1-C863)*('Assumptions'!$D$48-'Assumptions'!$B$48)*('Assumptions'!$D$48-'Assumptions'!$C$48)))</x:f>
        <x:v>0.06195780598848019</x:v>
      </x:c>
      <x:c r="I863" s="132" t="n">
        <x:f>IF(D863&lt;(('Assumptions'!$C$49-'Assumptions'!$B$49)/('Assumptions'!$D$49-'Assumptions'!$B$49)),'Assumptions'!$B$49+SQRT(D863*('Assumptions'!$D$49-'Assumptions'!$B$49)*('Assumptions'!$C$49-'Assumptions'!$B$49)),'Assumptions'!$D$49-SQRT((1-D863)*('Assumptions'!$D$49-'Assumptions'!$B$49)*('Assumptions'!$D$49-'Assumptions'!$C$49)))</x:f>
        <x:v>0.019236315425634018</x:v>
      </x:c>
      <x:c r="J863" s="132" t="n">
        <x:f>IF(E863&lt;(('Assumptions'!$C$50-'Assumptions'!$B$50)/('Assumptions'!$D$50-'Assumptions'!$B$50)),'Assumptions'!$B$50+SQRT(E863*('Assumptions'!$D$50-'Assumptions'!$B$50)*('Assumptions'!$C$50-'Assumptions'!$B$50)),'Assumptions'!$D$50-SQRT((1-E863)*('Assumptions'!$D$50-'Assumptions'!$B$50)*('Assumptions'!$D$50-'Assumptions'!$C$50)))</x:f>
        <x:v>0.06910994338407063</x:v>
      </x:c>
      <x:c r="K863" s="132" t="n">
        <x:f>IF(F863&lt;(('Assumptions'!$C$51-'Assumptions'!$B$51)/('Assumptions'!$D$51-'Assumptions'!$B$51)),'Assumptions'!$B$51+SQRT(F863*('Assumptions'!$D$51-'Assumptions'!$B$51)*('Assumptions'!$C$51-'Assumptions'!$B$51)),'Assumptions'!$D$51-SQRT((1-F863)*('Assumptions'!$D$51-'Assumptions'!$B$51)*('Assumptions'!$D$51-'Assumptions'!$C$51)))</x:f>
        <x:v>0.06823037076637763</x:v>
      </x:c>
      <x:c r="L863" s="133" t="n">
        <x:f>(('Assumptions'!$B$17*(1+G863)+'Assumptions'!$B$18)*(1-H863-'Assumptions'!$B$20)-SUM('Assumptions'!$B$21:$B$25)*(1+I863))-(('Assumptions'!$B$17*(1+G863)+'Assumptions'!$B$18)*(1-H863-'Assumptions'!$B$20)*'Assumptions'!$B$26)</x:f>
        <x:v>219857.3568648067</x:v>
      </x:c>
      <x:c r="M863" s="133" t="n">
        <x:f>'Assumptions'!$B$10*'Assumptions'!$B$33</x:f>
        <x:v>1950000</x:v>
      </x:c>
      <x:c r="N863" s="133" t="n">
        <x:f>-PMT(K863/12,'Assumptions'!$B$35*12,M863)*12</x:f>
        <x:v>152909.746018363</x:v>
      </x:c>
      <x:c r="O863" s="133" t="n">
        <x:f>(L863*(1+'Assumptions'!$B$29)^('Assumptions'!$B$14/12)/J863)*(1-'Assumptions'!$B$42)-'Debt Schedule'!$F$9</x:f>
        <x:v>3466685.4882891723</x:v>
      </x:c>
      <x:c r="P863" s="132" t="n">
        <x:f>((O863+(L863-N863-'Assumptions'!$B$27-'Assumptions'!$B$28)*('Assumptions'!$B$14/12))/ABS('Monthly Cash Flow'!$S$5))^(1/('Assumptions'!$B$14/12))-1</x:f>
        <x:v>0.22708438293700617</x:v>
      </x:c>
      <x:c r="Q863" s="133" t="n">
        <x:f>-ABS('Monthly Cash Flow'!$S$5)+((L863-N863-'Assumptions'!$B$27-'Assumptions'!$B$28)*(1-(1+'Assumptions'!$B$43)^-('Assumptions'!$B$14/12))/'Assumptions'!$B$43)+(O863/(1+'Assumptions'!$B$43)^('Assumptions'!$B$14/12))</x:f>
        <x:v>960191.5866823518</x:v>
      </x:c>
    </x:row>
    <x:row r="864">
      <x:c r="A864" s="131" t="n">
        <x:f>857</x:f>
        <x:v>857</x:v>
      </x:c>
      <x:c r="B864" s="131" t="n">
        <x:f>MOD(ABS(SIN((A864+1)*12.9898+78.233)*43758.5453),1)</x:f>
        <x:v>0.30788817657594336</x:v>
      </x:c>
      <x:c r="C864" s="131" t="n">
        <x:f>MOD(ABS(SIN((A864+2)*12.9898+78.233)*43758.5453),1)</x:f>
        <x:v>0.22446432932338212</x:v>
      </x:c>
      <x:c r="D864" s="131" t="n">
        <x:f>MOD(ABS(SIN((A864+3)*12.9898+78.233)*43758.5453),1)</x:f>
        <x:v>0.5783348156510328</x:v>
      </x:c>
      <x:c r="E864" s="131" t="n">
        <x:f>MOD(ABS(SIN((A864+4)*12.9898+78.233)*43758.5453),1)</x:f>
        <x:v>0.4156457877752473</x:v>
      </x:c>
      <x:c r="F864" s="131" t="n">
        <x:f>MOD(ABS(SIN((A864+5)*12.9898+78.233)*43758.5453),1)</x:f>
        <x:v>0.4504675501375459</x:v>
      </x:c>
      <x:c r="G864" s="132" t="n">
        <x:f>IF(B864&lt;(('Assumptions'!$C$47-'Assumptions'!$B$47)/('Assumptions'!$D$47-'Assumptions'!$B$47)),'Assumptions'!$B$47+SQRT(B864*('Assumptions'!$D$47-'Assumptions'!$B$47)*('Assumptions'!$C$47-'Assumptions'!$B$47)),'Assumptions'!$D$47-SQRT((1-B864)*('Assumptions'!$D$47-'Assumptions'!$B$47)*('Assumptions'!$D$47-'Assumptions'!$C$47)))</x:f>
        <x:v>-0.01403886786562987</x:v>
      </x:c>
      <x:c r="H864" s="132" t="n">
        <x:f>IF(C864&lt;(('Assumptions'!$C$48-'Assumptions'!$B$48)/('Assumptions'!$D$48-'Assumptions'!$B$48)),'Assumptions'!$B$48+SQRT(C864*('Assumptions'!$D$48-'Assumptions'!$B$48)*('Assumptions'!$C$48-'Assumptions'!$B$48)),'Assumptions'!$D$48-SQRT((1-C864)*('Assumptions'!$D$48-'Assumptions'!$B$48)*('Assumptions'!$D$48-'Assumptions'!$C$48)))</x:f>
        <x:v>0.057216397387735964</x:v>
      </x:c>
      <x:c r="I864" s="132" t="n">
        <x:f>IF(D864&lt;(('Assumptions'!$C$49-'Assumptions'!$B$49)/('Assumptions'!$D$49-'Assumptions'!$B$49)),'Assumptions'!$B$49+SQRT(D864*('Assumptions'!$D$49-'Assumptions'!$B$49)*('Assumptions'!$C$49-'Assumptions'!$B$49)),'Assumptions'!$D$49-SQRT((1-D864)*('Assumptions'!$D$49-'Assumptions'!$B$49)*('Assumptions'!$D$49-'Assumptions'!$C$49)))</x:f>
        <x:v>0.05456432542315379</x:v>
      </x:c>
      <x:c r="J864" s="132" t="n">
        <x:f>IF(E864&lt;(('Assumptions'!$C$50-'Assumptions'!$B$50)/('Assumptions'!$D$50-'Assumptions'!$B$50)),'Assumptions'!$B$50+SQRT(E864*('Assumptions'!$D$50-'Assumptions'!$B$50)*('Assumptions'!$C$50-'Assumptions'!$B$50)),'Assumptions'!$D$50-SQRT((1-E864)*('Assumptions'!$D$50-'Assumptions'!$B$50)*('Assumptions'!$D$50-'Assumptions'!$C$50)))</x:f>
        <x:v>0.06717058955025135</x:v>
      </x:c>
      <x:c r="K864" s="132" t="n">
        <x:f>IF(F864&lt;(('Assumptions'!$C$51-'Assumptions'!$B$51)/('Assumptions'!$D$51-'Assumptions'!$B$51)),'Assumptions'!$B$51+SQRT(F864*('Assumptions'!$D$51-'Assumptions'!$B$51)*('Assumptions'!$C$51-'Assumptions'!$B$51)),'Assumptions'!$D$51-SQRT((1-F864)*('Assumptions'!$D$51-'Assumptions'!$B$51)*('Assumptions'!$D$51-'Assumptions'!$C$51)))</x:f>
        <x:v>0.0687376972265209</x:v>
      </x:c>
      <x:c r="L864" s="133" t="n">
        <x:f>(('Assumptions'!$B$17*(1+G864)+'Assumptions'!$B$18)*(1-H864-'Assumptions'!$B$20)-SUM('Assumptions'!$B$21:$B$25)*(1+I864))-(('Assumptions'!$B$17*(1+G864)+'Assumptions'!$B$18)*(1-H864-'Assumptions'!$B$20)*'Assumptions'!$B$26)</x:f>
        <x:v>201087.69869539098</x:v>
      </x:c>
      <x:c r="M864" s="133" t="n">
        <x:f>'Assumptions'!$B$10*'Assumptions'!$B$33</x:f>
        <x:v>1950000</x:v>
      </x:c>
      <x:c r="N864" s="133" t="n">
        <x:f>-PMT(K864/12,'Assumptions'!$B$35*12,M864)*12</x:f>
        <x:v>153702.1068735323</x:v>
      </x:c>
      <x:c r="O864" s="133" t="n">
        <x:f>(L864*(1+'Assumptions'!$B$29)^('Assumptions'!$B$14/12)/J864)*(1-'Assumptions'!$B$42)-'Debt Schedule'!$F$9</x:f>
        <x:v>3262273.1448380407</x:v>
      </x:c>
      <x:c r="P864" s="132" t="n">
        <x:f>((O864+(L864-N864-'Assumptions'!$B$27-'Assumptions'!$B$28)*('Assumptions'!$B$14/12))/ABS('Monthly Cash Flow'!$S$5))^(1/('Assumptions'!$B$14/12))-1</x:f>
        <x:v>0.20576131707958045</x:v>
      </x:c>
      <x:c r="Q864" s="133" t="n">
        <x:f>-ABS('Monthly Cash Flow'!$S$5)+((L864-N864-'Assumptions'!$B$27-'Assumptions'!$B$28)*(1-(1+'Assumptions'!$B$43)^-('Assumptions'!$B$14/12))/'Assumptions'!$B$43)+(O864/(1+'Assumptions'!$B$43)^('Assumptions'!$B$14/12))</x:f>
        <x:v>759112.1610357396</x:v>
      </x:c>
    </x:row>
    <x:row r="865">
      <x:c r="A865" s="131" t="n">
        <x:f>858</x:f>
        <x:v>858</x:v>
      </x:c>
      <x:c r="B865" s="131" t="n">
        <x:f>MOD(ABS(SIN((A865+1)*12.9898+78.233)*43758.5453),1)</x:f>
        <x:v>0.22446432932338212</x:v>
      </x:c>
      <x:c r="C865" s="131" t="n">
        <x:f>MOD(ABS(SIN((A865+2)*12.9898+78.233)*43758.5453),1)</x:f>
        <x:v>0.5783348156510328</x:v>
      </x:c>
      <x:c r="D865" s="131" t="n">
        <x:f>MOD(ABS(SIN((A865+3)*12.9898+78.233)*43758.5453),1)</x:f>
        <x:v>0.4156457877752473</x:v>
      </x:c>
      <x:c r="E865" s="131" t="n">
        <x:f>MOD(ABS(SIN((A865+4)*12.9898+78.233)*43758.5453),1)</x:f>
        <x:v>0.4504675501375459</x:v>
      </x:c>
      <x:c r="F865" s="131" t="n">
        <x:f>MOD(ABS(SIN((A865+5)*12.9898+78.233)*43758.5453),1)</x:f>
        <x:v>0.24126778415302397</x:v>
      </x:c>
      <x:c r="G865" s="132" t="n">
        <x:f>IF(B865&lt;(('Assumptions'!$C$47-'Assumptions'!$B$47)/('Assumptions'!$D$47-'Assumptions'!$B$47)),'Assumptions'!$B$47+SQRT(B865*('Assumptions'!$D$47-'Assumptions'!$B$47)*('Assumptions'!$C$47-'Assumptions'!$B$47)),'Assumptions'!$D$47-SQRT((1-B865)*('Assumptions'!$D$47-'Assumptions'!$B$47)*('Assumptions'!$D$47-'Assumptions'!$C$47)))</x:f>
        <x:v>-0.026602834497773883</x:v>
      </x:c>
      <x:c r="H865" s="132" t="n">
        <x:f>IF(C865&lt;(('Assumptions'!$C$48-'Assumptions'!$B$48)/('Assumptions'!$D$48-'Assumptions'!$B$48)),'Assumptions'!$B$48+SQRT(C865*('Assumptions'!$D$48-'Assumptions'!$B$48)*('Assumptions'!$C$48-'Assumptions'!$B$48)),'Assumptions'!$D$48-SQRT((1-C865)*('Assumptions'!$D$48-'Assumptions'!$B$48)*('Assumptions'!$D$48-'Assumptions'!$C$48)))</x:f>
        <x:v>0.07908486540874336</x:v>
      </x:c>
      <x:c r="I865" s="132" t="n">
        <x:f>IF(D865&lt;(('Assumptions'!$C$49-'Assumptions'!$B$49)/('Assumptions'!$D$49-'Assumptions'!$B$49)),'Assumptions'!$B$49+SQRT(D865*('Assumptions'!$D$49-'Assumptions'!$B$49)*('Assumptions'!$C$49-'Assumptions'!$B$49)),'Assumptions'!$D$49-SQRT((1-D865)*('Assumptions'!$D$49-'Assumptions'!$B$49)*('Assumptions'!$D$49-'Assumptions'!$C$49)))</x:f>
        <x:v>0.037652098443919924</x:v>
      </x:c>
      <x:c r="J865" s="132" t="n">
        <x:f>IF(E865&lt;(('Assumptions'!$C$50-'Assumptions'!$B$50)/('Assumptions'!$D$50-'Assumptions'!$B$50)),'Assumptions'!$B$50+SQRT(E865*('Assumptions'!$D$50-'Assumptions'!$B$50)*('Assumptions'!$C$50-'Assumptions'!$B$50)),'Assumptions'!$D$50-SQRT((1-E865)*('Assumptions'!$D$50-'Assumptions'!$B$50)*('Assumptions'!$D$50-'Assumptions'!$C$50)))</x:f>
        <x:v>0.0675679445977821</x:v>
      </x:c>
      <x:c r="K865" s="132" t="n">
        <x:f>IF(F865&lt;(('Assumptions'!$C$51-'Assumptions'!$B$51)/('Assumptions'!$D$51-'Assumptions'!$B$51)),'Assumptions'!$B$51+SQRT(F865*('Assumptions'!$D$51-'Assumptions'!$B$51)*('Assumptions'!$C$51-'Assumptions'!$B$51)),'Assumptions'!$D$51-SQRT((1-F865)*('Assumptions'!$D$51-'Assumptions'!$B$51)*('Assumptions'!$D$51-'Assumptions'!$C$51)))</x:f>
        <x:v>0.06564546749070191</x:v>
      </x:c>
      <x:c r="L865" s="133" t="n">
        <x:f>(('Assumptions'!$B$17*(1+G865)+'Assumptions'!$B$18)*(1-H865-'Assumptions'!$B$20)-SUM('Assumptions'!$B$21:$B$25)*(1+I865))-(('Assumptions'!$B$17*(1+G865)+'Assumptions'!$B$18)*(1-H865-'Assumptions'!$B$20)*'Assumptions'!$B$26)</x:f>
        <x:v>191433.82090616928</x:v>
      </x:c>
      <x:c r="M865" s="133" t="n">
        <x:f>'Assumptions'!$B$10*'Assumptions'!$B$33</x:f>
        <x:v>1950000</x:v>
      </x:c>
      <x:c r="N865" s="133" t="n">
        <x:f>-PMT(K865/12,'Assumptions'!$B$35*12,M865)*12</x:f>
        <x:v>148898.62383004767</x:v>
      </x:c>
      <x:c r="O865" s="133" t="n">
        <x:f>(L865*(1+'Assumptions'!$B$29)^('Assumptions'!$B$14/12)/J865)*(1-'Assumptions'!$B$42)-'Debt Schedule'!$F$9</x:f>
        <x:v>3087393.1541246884</x:v>
      </x:c>
      <x:c r="P865" s="132" t="n">
        <x:f>((O865+(L865-N865-'Assumptions'!$B$27-'Assumptions'!$B$28)*('Assumptions'!$B$14/12))/ABS('Monthly Cash Flow'!$S$5))^(1/('Assumptions'!$B$14/12))-1</x:f>
        <x:v>0.19084123652272078</x:v>
      </x:c>
      <x:c r="Q865" s="133" t="n">
        <x:f>-ABS('Monthly Cash Flow'!$S$5)+((L865-N865-'Assumptions'!$B$27-'Assumptions'!$B$28)*(1-(1+'Assumptions'!$B$43)^-('Assumptions'!$B$14/12))/'Assumptions'!$B$43)+(O865/(1+'Assumptions'!$B$43)^('Assumptions'!$B$14/12))</x:f>
        <x:v>632138.6335968839</x:v>
      </x:c>
    </x:row>
    <x:row r="866">
      <x:c r="A866" s="131" t="n">
        <x:f>859</x:f>
        <x:v>859</x:v>
      </x:c>
      <x:c r="B866" s="131" t="n">
        <x:f>MOD(ABS(SIN((A866+1)*12.9898+78.233)*43758.5453),1)</x:f>
        <x:v>0.5783348156510328</x:v>
      </x:c>
      <x:c r="C866" s="131" t="n">
        <x:f>MOD(ABS(SIN((A866+2)*12.9898+78.233)*43758.5453),1)</x:f>
        <x:v>0.4156457877752473</x:v>
      </x:c>
      <x:c r="D866" s="131" t="n">
        <x:f>MOD(ABS(SIN((A866+3)*12.9898+78.233)*43758.5453),1)</x:f>
        <x:v>0.4504675501375459</x:v>
      </x:c>
      <x:c r="E866" s="131" t="n">
        <x:f>MOD(ABS(SIN((A866+4)*12.9898+78.233)*43758.5453),1)</x:f>
        <x:v>0.24126778415302397</x:v>
      </x:c>
      <x:c r="F866" s="131" t="n">
        <x:f>MOD(ABS(SIN((A866+5)*12.9898+78.233)*43758.5453),1)</x:f>
        <x:v>0.15971741329849465</x:v>
      </x:c>
      <x:c r="G866" s="132" t="n">
        <x:f>IF(B866&lt;(('Assumptions'!$C$47-'Assumptions'!$B$47)/('Assumptions'!$D$47-'Assumptions'!$B$47)),'Assumptions'!$B$47+SQRT(B866*('Assumptions'!$D$47-'Assumptions'!$B$47)*('Assumptions'!$C$47-'Assumptions'!$B$47)),'Assumptions'!$D$47-SQRT((1-B866)*('Assumptions'!$D$47-'Assumptions'!$B$47)*('Assumptions'!$D$47-'Assumptions'!$C$47)))</x:f>
        <x:v>0.017813562783003847</x:v>
      </x:c>
      <x:c r="H866" s="132" t="n">
        <x:f>IF(C866&lt;(('Assumptions'!$C$48-'Assumptions'!$B$48)/('Assumptions'!$D$48-'Assumptions'!$B$48)),'Assumptions'!$B$48+SQRT(C866*('Assumptions'!$D$48-'Assumptions'!$B$48)*('Assumptions'!$C$48-'Assumptions'!$B$48)),'Assumptions'!$D$48-SQRT((1-C866)*('Assumptions'!$D$48-'Assumptions'!$B$48)*('Assumptions'!$D$48-'Assumptions'!$C$48)))</x:f>
        <x:v>0.06829004903377899</x:v>
      </x:c>
      <x:c r="I866" s="132" t="n">
        <x:f>IF(D866&lt;(('Assumptions'!$C$49-'Assumptions'!$B$49)/('Assumptions'!$D$49-'Assumptions'!$B$49)),'Assumptions'!$B$49+SQRT(D866*('Assumptions'!$D$49-'Assumptions'!$B$49)*('Assumptions'!$C$49-'Assumptions'!$B$49)),'Assumptions'!$D$49-SQRT((1-D866)*('Assumptions'!$D$49-'Assumptions'!$B$49)*('Assumptions'!$D$49-'Assumptions'!$C$49)))</x:f>
        <x:v>0.041050925120820744</x:v>
      </x:c>
      <x:c r="J866" s="132" t="n">
        <x:f>IF(E866&lt;(('Assumptions'!$C$50-'Assumptions'!$B$50)/('Assumptions'!$D$50-'Assumptions'!$B$50)),'Assumptions'!$B$50+SQRT(E866*('Assumptions'!$D$50-'Assumptions'!$B$50)*('Assumptions'!$C$50-'Assumptions'!$B$50)),'Assumptions'!$D$50-SQRT((1-E866)*('Assumptions'!$D$50-'Assumptions'!$B$50)*('Assumptions'!$D$50-'Assumptions'!$C$50)))</x:f>
        <x:v>0.06486785256600798</x:v>
      </x:c>
      <x:c r="K866" s="132" t="n">
        <x:f>IF(F866&lt;(('Assumptions'!$C$51-'Assumptions'!$B$51)/('Assumptions'!$D$51-'Assumptions'!$B$51)),'Assumptions'!$B$51+SQRT(F866*('Assumptions'!$D$51-'Assumptions'!$B$51)*('Assumptions'!$C$51-'Assumptions'!$B$51)),'Assumptions'!$D$51-SQRT((1-F866)*('Assumptions'!$D$51-'Assumptions'!$B$51)*('Assumptions'!$D$51-'Assumptions'!$C$51)))</x:f>
        <x:v>0.0641273892791269</x:v>
      </x:c>
      <x:c r="L866" s="133" t="n">
        <x:f>(('Assumptions'!$B$17*(1+G866)+'Assumptions'!$B$18)*(1-H866-'Assumptions'!$B$20)-SUM('Assumptions'!$B$21:$B$25)*(1+I866))-(('Assumptions'!$B$17*(1+G866)+'Assumptions'!$B$18)*(1-H866-'Assumptions'!$B$20)*'Assumptions'!$B$26)</x:f>
        <x:v>208972.07544158984</x:v>
      </x:c>
      <x:c r="M866" s="133" t="n">
        <x:f>'Assumptions'!$B$10*'Assumptions'!$B$33</x:f>
        <x:v>1950000</x:v>
      </x:c>
      <x:c r="N866" s="133" t="n">
        <x:f>-PMT(K866/12,'Assumptions'!$B$35*12,M866)*12</x:f>
        <x:v>146563.6178653236</x:v>
      </x:c>
      <x:c r="O866" s="133" t="n">
        <x:f>(L866*(1+'Assumptions'!$B$29)^('Assumptions'!$B$14/12)/J866)*(1-'Assumptions'!$B$42)-'Debt Schedule'!$F$9</x:f>
        <x:v>3510530.1893823273</x:v>
      </x:c>
      <x:c r="P866" s="132" t="n">
        <x:f>((O866+(L866-N866-'Assumptions'!$B$27-'Assumptions'!$B$28)*('Assumptions'!$B$14/12))/ABS('Monthly Cash Flow'!$S$5))^(1/('Assumptions'!$B$14/12))-1</x:f>
        <x:v>0.22852219119391237</x:v>
      </x:c>
      <x:c r="Q866" s="133" t="n">
        <x:f>-ABS('Monthly Cash Flow'!$S$5)+((L866-N866-'Assumptions'!$B$27-'Assumptions'!$B$28)*(1-(1+'Assumptions'!$B$43)^-('Assumptions'!$B$14/12))/'Assumptions'!$B$43)+(O866/(1+'Assumptions'!$B$43)^('Assumptions'!$B$14/12))</x:f>
        <x:v>970208.734333341</x:v>
      </x:c>
    </x:row>
    <x:row r="867">
      <x:c r="A867" s="131" t="n">
        <x:f>860</x:f>
        <x:v>860</x:v>
      </x:c>
      <x:c r="B867" s="131" t="n">
        <x:f>MOD(ABS(SIN((A867+1)*12.9898+78.233)*43758.5453),1)</x:f>
        <x:v>0.4156457877752473</x:v>
      </x:c>
      <x:c r="C867" s="131" t="n">
        <x:f>MOD(ABS(SIN((A867+2)*12.9898+78.233)*43758.5453),1)</x:f>
        <x:v>0.4504675501375459</x:v>
      </x:c>
      <x:c r="D867" s="131" t="n">
        <x:f>MOD(ABS(SIN((A867+3)*12.9898+78.233)*43758.5453),1)</x:f>
        <x:v>0.24126778415302397</x:v>
      </x:c>
      <x:c r="E867" s="131" t="n">
        <x:f>MOD(ABS(SIN((A867+4)*12.9898+78.233)*43758.5453),1)</x:f>
        <x:v>0.15971741329849465</x:v>
      </x:c>
      <x:c r="F867" s="131" t="n">
        <x:f>MOD(ABS(SIN((A867+5)*12.9898+78.233)*43758.5453),1)</x:f>
        <x:v>0.284250983990205</x:v>
      </x:c>
      <x:c r="G867" s="132" t="n">
        <x:f>IF(B867&lt;(('Assumptions'!$C$47-'Assumptions'!$B$47)/('Assumptions'!$D$47-'Assumptions'!$B$47)),'Assumptions'!$B$47+SQRT(B867*('Assumptions'!$D$47-'Assumptions'!$B$47)*('Assumptions'!$C$47-'Assumptions'!$B$47)),'Assumptions'!$D$47-SQRT((1-B867)*('Assumptions'!$D$47-'Assumptions'!$B$47)*('Assumptions'!$D$47-'Assumptions'!$C$47)))</x:f>
        <x:v>-0.00012258059698411206</x:v>
      </x:c>
      <x:c r="H867" s="132" t="n">
        <x:f>IF(C867&lt;(('Assumptions'!$C$48-'Assumptions'!$B$48)/('Assumptions'!$D$48-'Assumptions'!$B$48)),'Assumptions'!$B$48+SQRT(C867*('Assumptions'!$D$48-'Assumptions'!$B$48)*('Assumptions'!$C$48-'Assumptions'!$B$48)),'Assumptions'!$D$48-SQRT((1-C867)*('Assumptions'!$D$48-'Assumptions'!$B$48)*('Assumptions'!$D$48-'Assumptions'!$C$48)))</x:f>
        <x:v>0.0704594682304658</x:v>
      </x:c>
      <x:c r="I867" s="132" t="n">
        <x:f>IF(D867&lt;(('Assumptions'!$C$49-'Assumptions'!$B$49)/('Assumptions'!$D$49-'Assumptions'!$B$49)),'Assumptions'!$B$49+SQRT(D867*('Assumptions'!$D$49-'Assumptions'!$B$49)*('Assumptions'!$C$49-'Assumptions'!$B$49)),'Assumptions'!$D$49-SQRT((1-D867)*('Assumptions'!$D$49-'Assumptions'!$B$49)*('Assumptions'!$D$49-'Assumptions'!$C$49)))</x:f>
        <x:v>0.02104597994801019</x:v>
      </x:c>
      <x:c r="J867" s="132" t="n">
        <x:f>IF(E867&lt;(('Assumptions'!$C$50-'Assumptions'!$B$50)/('Assumptions'!$D$50-'Assumptions'!$B$50)),'Assumptions'!$B$50+SQRT(E867*('Assumptions'!$D$50-'Assumptions'!$B$50)*('Assumptions'!$C$50-'Assumptions'!$B$50)),'Assumptions'!$D$50-SQRT((1-E867)*('Assumptions'!$D$50-'Assumptions'!$B$50)*('Assumptions'!$D$50-'Assumptions'!$C$50)))</x:f>
        <x:v>0.06349469915776941</x:v>
      </x:c>
      <x:c r="K867" s="132" t="n">
        <x:f>IF(F867&lt;(('Assumptions'!$C$51-'Assumptions'!$B$51)/('Assumptions'!$D$51-'Assumptions'!$B$51)),'Assumptions'!$B$51+SQRT(F867*('Assumptions'!$D$51-'Assumptions'!$B$51)*('Assumptions'!$C$51-'Assumptions'!$B$51)),'Assumptions'!$D$51-SQRT((1-F867)*('Assumptions'!$D$51-'Assumptions'!$B$51)*('Assumptions'!$D$51-'Assumptions'!$C$51)))</x:f>
        <x:v>0.0663413245951784</x:v>
      </x:c>
      <x:c r="L867" s="133" t="n">
        <x:f>(('Assumptions'!$B$17*(1+G867)+'Assumptions'!$B$18)*(1-H867-'Assumptions'!$B$20)-SUM('Assumptions'!$B$21:$B$25)*(1+I867))-(('Assumptions'!$B$17*(1+G867)+'Assumptions'!$B$18)*(1-H867-'Assumptions'!$B$20)*'Assumptions'!$B$26)</x:f>
        <x:v>204992.11941395214</x:v>
      </x:c>
      <x:c r="M867" s="133" t="n">
        <x:f>'Assumptions'!$B$10*'Assumptions'!$B$33</x:f>
        <x:v>1950000</x:v>
      </x:c>
      <x:c r="N867" s="133" t="n">
        <x:f>-PMT(K867/12,'Assumptions'!$B$35*12,M867)*12</x:f>
        <x:v>149974.09300775034</x:v>
      </x:c>
      <x:c r="O867" s="133" t="n">
        <x:f>(L867*(1+'Assumptions'!$B$29)^('Assumptions'!$B$14/12)/J867)*(1-'Assumptions'!$B$42)-'Debt Schedule'!$F$9</x:f>
        <x:v>3518144.498157312</x:v>
      </x:c>
      <x:c r="P867" s="132" t="n">
        <x:f>((O867+(L867-N867-'Assumptions'!$B$27-'Assumptions'!$B$28)*('Assumptions'!$B$14/12))/ABS('Monthly Cash Flow'!$S$5))^(1/('Assumptions'!$B$14/12))-1</x:f>
        <x:v>0.22652584611948545</x:v>
      </x:c>
      <x:c r="Q867" s="133" t="n">
        <x:f>-ABS('Monthly Cash Flow'!$S$5)+((L867-N867-'Assumptions'!$B$27-'Assumptions'!$B$28)*(1-(1+'Assumptions'!$B$43)^-('Assumptions'!$B$14/12))/'Assumptions'!$B$43)+(O867/(1+'Assumptions'!$B$43)^('Assumptions'!$B$14/12))</x:f>
        <x:v>946921.0723123814</x:v>
      </x:c>
    </x:row>
    <x:row r="868">
      <x:c r="A868" s="131" t="n">
        <x:f>861</x:f>
        <x:v>861</x:v>
      </x:c>
      <x:c r="B868" s="131" t="n">
        <x:f>MOD(ABS(SIN((A868+1)*12.9898+78.233)*43758.5453),1)</x:f>
        <x:v>0.4504675501375459</x:v>
      </x:c>
      <x:c r="C868" s="131" t="n">
        <x:f>MOD(ABS(SIN((A868+2)*12.9898+78.233)*43758.5453),1)</x:f>
        <x:v>0.24126778415302397</x:v>
      </x:c>
      <x:c r="D868" s="131" t="n">
        <x:f>MOD(ABS(SIN((A868+3)*12.9898+78.233)*43758.5453),1)</x:f>
        <x:v>0.15971741329849465</x:v>
      </x:c>
      <x:c r="E868" s="131" t="n">
        <x:f>MOD(ABS(SIN((A868+4)*12.9898+78.233)*43758.5453),1)</x:f>
        <x:v>0.284250983990205</x:v>
      </x:c>
      <x:c r="F868" s="131" t="n">
        <x:f>MOD(ABS(SIN((A868+5)*12.9898+78.233)*43758.5453),1)</x:f>
        <x:v>0.3466889084811555</x:v>
      </x:c>
      <x:c r="G868" s="132" t="n">
        <x:f>IF(B868&lt;(('Assumptions'!$C$47-'Assumptions'!$B$47)/('Assumptions'!$D$47-'Assumptions'!$B$47)),'Assumptions'!$B$47+SQRT(B868*('Assumptions'!$D$47-'Assumptions'!$B$47)*('Assumptions'!$C$47-'Assumptions'!$B$47)),'Assumptions'!$D$47-SQRT((1-B868)*('Assumptions'!$D$47-'Assumptions'!$B$47)*('Assumptions'!$D$47-'Assumptions'!$C$47)))</x:f>
        <x:v>0.003977022477570036</x:v>
      </x:c>
      <x:c r="H868" s="132" t="n">
        <x:f>IF(C868&lt;(('Assumptions'!$C$48-'Assumptions'!$B$48)/('Assumptions'!$D$48-'Assumptions'!$B$48)),'Assumptions'!$B$48+SQRT(C868*('Assumptions'!$D$48-'Assumptions'!$B$48)*('Assumptions'!$C$48-'Assumptions'!$B$48)),'Assumptions'!$D$48-SQRT((1-C868)*('Assumptions'!$D$48-'Assumptions'!$B$48)*('Assumptions'!$D$48-'Assumptions'!$C$48)))</x:f>
        <x:v>0.05821672709059254</x:v>
      </x:c>
      <x:c r="I868" s="132" t="n">
        <x:f>IF(D868&lt;(('Assumptions'!$C$49-'Assumptions'!$B$49)/('Assumptions'!$D$49-'Assumptions'!$B$49)),'Assumptions'!$B$49+SQRT(D868*('Assumptions'!$D$49-'Assumptions'!$B$49)*('Assumptions'!$C$49-'Assumptions'!$B$49)),'Assumptions'!$D$49-SQRT((1-D868)*('Assumptions'!$D$49-'Assumptions'!$B$49)*('Assumptions'!$D$49-'Assumptions'!$C$49)))</x:f>
        <x:v>0.01153249406938791</x:v>
      </x:c>
      <x:c r="J868" s="132" t="n">
        <x:f>IF(E868&lt;(('Assumptions'!$C$50-'Assumptions'!$B$50)/('Assumptions'!$D$50-'Assumptions'!$B$50)),'Assumptions'!$B$50+SQRT(E868*('Assumptions'!$D$50-'Assumptions'!$B$50)*('Assumptions'!$C$50-'Assumptions'!$B$50)),'Assumptions'!$D$50-SQRT((1-E868)*('Assumptions'!$D$50-'Assumptions'!$B$50)*('Assumptions'!$D$50-'Assumptions'!$C$50)))</x:f>
        <x:v>0.06549727899962207</x:v>
      </x:c>
      <x:c r="K868" s="132" t="n">
        <x:f>IF(F868&lt;(('Assumptions'!$C$51-'Assumptions'!$B$51)/('Assumptions'!$D$51-'Assumptions'!$B$51)),'Assumptions'!$B$51+SQRT(F868*('Assumptions'!$D$51-'Assumptions'!$B$51)*('Assumptions'!$C$51-'Assumptions'!$B$51)),'Assumptions'!$D$51-SQRT((1-F868)*('Assumptions'!$D$51-'Assumptions'!$B$51)*('Assumptions'!$D$51-'Assumptions'!$C$51)))</x:f>
        <x:v>0.06726419222630925</x:v>
      </x:c>
      <x:c r="L868" s="133" t="n">
        <x:f>(('Assumptions'!$B$17*(1+G868)+'Assumptions'!$B$18)*(1-H868-'Assumptions'!$B$20)-SUM('Assumptions'!$B$21:$B$25)*(1+I868))-(('Assumptions'!$B$17*(1+G868)+'Assumptions'!$B$18)*(1-H868-'Assumptions'!$B$20)*'Assumptions'!$B$26)</x:f>
        <x:v>211953.11769653682</x:v>
      </x:c>
      <x:c r="M868" s="133" t="n">
        <x:f>'Assumptions'!$B$10*'Assumptions'!$B$33</x:f>
        <x:v>1950000</x:v>
      </x:c>
      <x:c r="N868" s="133" t="n">
        <x:f>-PMT(K868/12,'Assumptions'!$B$35*12,M868)*12</x:f>
        <x:v>151405.34896046098</x:v>
      </x:c>
      <x:c r="O868" s="133" t="n">
        <x:f>(L868*(1+'Assumptions'!$B$29)^('Assumptions'!$B$14/12)/J868)*(1-'Assumptions'!$B$42)-'Debt Schedule'!$F$9</x:f>
        <x:v>3526391.517046461</x:v>
      </x:c>
      <x:c r="P868" s="132" t="n">
        <x:f>((O868+(L868-N868-'Assumptions'!$B$27-'Assumptions'!$B$28)*('Assumptions'!$B$14/12))/ABS('Monthly Cash Flow'!$S$5))^(1/('Assumptions'!$B$14/12))-1</x:f>
        <x:v>0.2289666641708965</x:v>
      </x:c>
      <x:c r="Q868" s="133" t="n">
        <x:f>-ABS('Monthly Cash Flow'!$S$5)+((L868-N868-'Assumptions'!$B$27-'Assumptions'!$B$28)*(1-(1+'Assumptions'!$B$43)^-('Assumptions'!$B$14/12))/'Assumptions'!$B$43)+(O868/(1+'Assumptions'!$B$43)^('Assumptions'!$B$14/12))</x:f>
        <x:v>973003.8962546501</x:v>
      </x:c>
    </x:row>
    <x:row r="869">
      <x:c r="A869" s="131" t="n">
        <x:f>862</x:f>
        <x:v>862</x:v>
      </x:c>
      <x:c r="B869" s="131" t="n">
        <x:f>MOD(ABS(SIN((A869+1)*12.9898+78.233)*43758.5453),1)</x:f>
        <x:v>0.24126778415302397</x:v>
      </x:c>
      <x:c r="C869" s="131" t="n">
        <x:f>MOD(ABS(SIN((A869+2)*12.9898+78.233)*43758.5453),1)</x:f>
        <x:v>0.15971741329849465</x:v>
      </x:c>
      <x:c r="D869" s="131" t="n">
        <x:f>MOD(ABS(SIN((A869+3)*12.9898+78.233)*43758.5453),1)</x:f>
        <x:v>0.284250983990205</x:v>
      </x:c>
      <x:c r="E869" s="131" t="n">
        <x:f>MOD(ABS(SIN((A869+4)*12.9898+78.233)*43758.5453),1)</x:f>
        <x:v>0.3466889084811555</x:v>
      </x:c>
      <x:c r="F869" s="131" t="n">
        <x:f>MOD(ABS(SIN((A869+5)*12.9898+78.233)*43758.5453),1)</x:f>
        <x:v>0.37675822260280256</x:v>
      </x:c>
      <x:c r="G869" s="132" t="n">
        <x:f>IF(B869&lt;(('Assumptions'!$C$47-'Assumptions'!$B$47)/('Assumptions'!$D$47-'Assumptions'!$B$47)),'Assumptions'!$B$47+SQRT(B869*('Assumptions'!$D$47-'Assumptions'!$B$47)*('Assumptions'!$C$47-'Assumptions'!$B$47)),'Assumptions'!$D$47-SQRT((1-B869)*('Assumptions'!$D$47-'Assumptions'!$B$47)*('Assumptions'!$D$47-'Assumptions'!$C$47)))</x:f>
        <x:v>-0.023905145905438685</x:v>
      </x:c>
      <x:c r="H869" s="132" t="n">
        <x:f>IF(C869&lt;(('Assumptions'!$C$48-'Assumptions'!$B$48)/('Assumptions'!$D$48-'Assumptions'!$B$48)),'Assumptions'!$B$48+SQRT(C869*('Assumptions'!$D$48-'Assumptions'!$B$48)*('Assumptions'!$C$48-'Assumptions'!$B$48)),'Assumptions'!$D$48-SQRT((1-C869)*('Assumptions'!$D$48-'Assumptions'!$B$48)*('Assumptions'!$D$48-'Assumptions'!$C$48)))</x:f>
        <x:v>0.052957949905970095</x:v>
      </x:c>
      <x:c r="I869" s="132" t="n">
        <x:f>IF(D869&lt;(('Assumptions'!$C$49-'Assumptions'!$B$49)/('Assumptions'!$D$49-'Assumptions'!$B$49)),'Assumptions'!$B$49+SQRT(D869*('Assumptions'!$D$49-'Assumptions'!$B$49)*('Assumptions'!$C$49-'Assumptions'!$B$49)),'Assumptions'!$D$49-SQRT((1-D869)*('Assumptions'!$D$49-'Assumptions'!$B$49)*('Assumptions'!$D$49-'Assumptions'!$C$49)))</x:f>
        <x:v>0.02540677419859609</x:v>
      </x:c>
      <x:c r="J869" s="132" t="n">
        <x:f>IF(E869&lt;(('Assumptions'!$C$50-'Assumptions'!$B$50)/('Assumptions'!$D$50-'Assumptions'!$B$50)),'Assumptions'!$B$50+SQRT(E869*('Assumptions'!$D$50-'Assumptions'!$B$50)*('Assumptions'!$C$50-'Assumptions'!$B$50)),'Assumptions'!$D$50-SQRT((1-E869)*('Assumptions'!$D$50-'Assumptions'!$B$50)*('Assumptions'!$D$50-'Assumptions'!$C$50)))</x:f>
        <x:v>0.06633204418061074</x:v>
      </x:c>
      <x:c r="K869" s="132" t="n">
        <x:f>IF(F869&lt;(('Assumptions'!$C$51-'Assumptions'!$B$51)/('Assumptions'!$D$51-'Assumptions'!$B$51)),'Assumptions'!$B$51+SQRT(F869*('Assumptions'!$D$51-'Assumptions'!$B$51)*('Assumptions'!$C$51-'Assumptions'!$B$51)),'Assumptions'!$D$51-SQRT((1-F869)*('Assumptions'!$D$51-'Assumptions'!$B$51)*('Assumptions'!$D$51-'Assumptions'!$C$51)))</x:f>
        <x:v>0.06768136537216629</x:v>
      </x:c>
      <x:c r="L869" s="133" t="n">
        <x:f>(('Assumptions'!$B$17*(1+G869)+'Assumptions'!$B$18)*(1-H869-'Assumptions'!$B$20)-SUM('Assumptions'!$B$21:$B$25)*(1+I869))-(('Assumptions'!$B$17*(1+G869)+'Assumptions'!$B$18)*(1-H869-'Assumptions'!$B$20)*'Assumptions'!$B$26)</x:f>
        <x:v>203091.08172311712</x:v>
      </x:c>
      <x:c r="M869" s="133" t="n">
        <x:f>'Assumptions'!$B$10*'Assumptions'!$B$33</x:f>
        <x:v>1950000</x:v>
      </x:c>
      <x:c r="N869" s="133" t="n">
        <x:f>-PMT(K869/12,'Assumptions'!$B$35*12,M869)*12</x:f>
        <x:v>152054.16668089994</x:v>
      </x:c>
      <x:c r="O869" s="133" t="n">
        <x:f>(L869*(1+'Assumptions'!$B$29)^('Assumptions'!$B$14/12)/J869)*(1-'Assumptions'!$B$42)-'Debt Schedule'!$F$9</x:f>
        <x:v>3336425.6288373806</x:v>
      </x:c>
      <x:c r="P869" s="132" t="n">
        <x:f>((O869+(L869-N869-'Assumptions'!$B$27-'Assumptions'!$B$28)*('Assumptions'!$B$14/12))/ABS('Monthly Cash Flow'!$S$5))^(1/('Assumptions'!$B$14/12))-1</x:f>
        <x:v>0.21244145117331903</x:v>
      </x:c>
      <x:c r="Q869" s="133" t="n">
        <x:f>-ABS('Monthly Cash Flow'!$S$5)+((L869-N869-'Assumptions'!$B$27-'Assumptions'!$B$28)*(1-(1+'Assumptions'!$B$43)^-('Assumptions'!$B$14/12))/'Assumptions'!$B$43)+(O869/(1+'Assumptions'!$B$43)^('Assumptions'!$B$14/12))</x:f>
        <x:v>818996.4072633013</x:v>
      </x:c>
    </x:row>
    <x:row r="870">
      <x:c r="A870" s="131" t="n">
        <x:f>863</x:f>
        <x:v>863</x:v>
      </x:c>
      <x:c r="B870" s="131" t="n">
        <x:f>MOD(ABS(SIN((A870+1)*12.9898+78.233)*43758.5453),1)</x:f>
        <x:v>0.15971741329849465</x:v>
      </x:c>
      <x:c r="C870" s="131" t="n">
        <x:f>MOD(ABS(SIN((A870+2)*12.9898+78.233)*43758.5453),1)</x:f>
        <x:v>0.284250983990205</x:v>
      </x:c>
      <x:c r="D870" s="131" t="n">
        <x:f>MOD(ABS(SIN((A870+3)*12.9898+78.233)*43758.5453),1)</x:f>
        <x:v>0.3466889084811555</x:v>
      </x:c>
      <x:c r="E870" s="131" t="n">
        <x:f>MOD(ABS(SIN((A870+4)*12.9898+78.233)*43758.5453),1)</x:f>
        <x:v>0.37675822260280256</x:v>
      </x:c>
      <x:c r="F870" s="131" t="n">
        <x:f>MOD(ABS(SIN((A870+5)*12.9898+78.233)*43758.5453),1)</x:f>
        <x:v>0.3712357027998223</x:v>
      </x:c>
      <x:c r="G870" s="132" t="n">
        <x:f>IF(B870&lt;(('Assumptions'!$C$47-'Assumptions'!$B$47)/('Assumptions'!$D$47-'Assumptions'!$B$47)),'Assumptions'!$B$47+SQRT(B870*('Assumptions'!$D$47-'Assumptions'!$B$47)*('Assumptions'!$C$47-'Assumptions'!$B$47)),'Assumptions'!$D$47-SQRT((1-B870)*('Assumptions'!$D$47-'Assumptions'!$B$47)*('Assumptions'!$D$47-'Assumptions'!$C$47)))</x:f>
        <x:v>-0.03808701332382784</x:v>
      </x:c>
      <x:c r="H870" s="132" t="n">
        <x:f>IF(C870&lt;(('Assumptions'!$C$48-'Assumptions'!$B$48)/('Assumptions'!$D$48-'Assumptions'!$B$48)),'Assumptions'!$B$48+SQRT(C870*('Assumptions'!$D$48-'Assumptions'!$B$48)*('Assumptions'!$C$48-'Assumptions'!$B$48)),'Assumptions'!$D$48-SQRT((1-C870)*('Assumptions'!$D$48-'Assumptions'!$B$48)*('Assumptions'!$D$48-'Assumptions'!$C$48)))</x:f>
        <x:v>0.06063633488247788</x:v>
      </x:c>
      <x:c r="I870" s="132" t="n">
        <x:f>IF(D870&lt;(('Assumptions'!$C$49-'Assumptions'!$B$49)/('Assumptions'!$D$49-'Assumptions'!$B$49)),'Assumptions'!$B$49+SQRT(D870*('Assumptions'!$D$49-'Assumptions'!$B$49)*('Assumptions'!$C$49-'Assumptions'!$B$49)),'Assumptions'!$D$49-SQRT((1-D870)*('Assumptions'!$D$49-'Assumptions'!$B$49)*('Assumptions'!$D$49-'Assumptions'!$C$49)))</x:f>
        <x:v>0.03120808286416521</x:v>
      </x:c>
      <x:c r="J870" s="132" t="n">
        <x:f>IF(E870&lt;(('Assumptions'!$C$50-'Assumptions'!$B$50)/('Assumptions'!$D$50-'Assumptions'!$B$50)),'Assumptions'!$B$50+SQRT(E870*('Assumptions'!$D$50-'Assumptions'!$B$50)*('Assumptions'!$C$50-'Assumptions'!$B$50)),'Assumptions'!$D$50-SQRT((1-E870)*('Assumptions'!$D$50-'Assumptions'!$B$50)*('Assumptions'!$D$50-'Assumptions'!$C$50)))</x:f>
        <x:v>0.06670709509485107</x:v>
      </x:c>
      <x:c r="K870" s="132" t="n">
        <x:f>IF(F870&lt;(('Assumptions'!$C$51-'Assumptions'!$B$51)/('Assumptions'!$D$51-'Assumptions'!$B$51)),'Assumptions'!$B$51+SQRT(F870*('Assumptions'!$D$51-'Assumptions'!$B$51)*('Assumptions'!$C$51-'Assumptions'!$B$51)),'Assumptions'!$D$51-SQRT((1-F870)*('Assumptions'!$D$51-'Assumptions'!$B$51)*('Assumptions'!$D$51-'Assumptions'!$C$51)))</x:f>
        <x:v>0.06760480474304513</x:v>
      </x:c>
      <x:c r="L870" s="133" t="n">
        <x:f>(('Assumptions'!$B$17*(1+G870)+'Assumptions'!$B$18)*(1-H870-'Assumptions'!$B$20)-SUM('Assumptions'!$B$21:$B$25)*(1+I870))-(('Assumptions'!$B$17*(1+G870)+'Assumptions'!$B$18)*(1-H870-'Assumptions'!$B$20)*'Assumptions'!$B$26)</x:f>
        <x:v>195082.17357305964</x:v>
      </x:c>
      <x:c r="M870" s="133" t="n">
        <x:f>'Assumptions'!$B$10*'Assumptions'!$B$33</x:f>
        <x:v>1950000</x:v>
      </x:c>
      <x:c r="N870" s="133" t="n">
        <x:f>-PMT(K870/12,'Assumptions'!$B$35*12,M870)*12</x:f>
        <x:v>151935.00899166032</x:v>
      </x:c>
      <x:c r="O870" s="133" t="n">
        <x:f>(L870*(1+'Assumptions'!$B$29)^('Assumptions'!$B$14/12)/J870)*(1-'Assumptions'!$B$42)-'Debt Schedule'!$F$9</x:f>
        <x:v>3186834.6764041446</x:v>
      </x:c>
      <x:c r="P870" s="132" t="n">
        <x:f>((O870+(L870-N870-'Assumptions'!$B$27-'Assumptions'!$B$28)*('Assumptions'!$B$14/12))/ABS('Monthly Cash Flow'!$S$5))^(1/('Assumptions'!$B$14/12))-1</x:f>
        <x:v>0.19861395249566072</x:v>
      </x:c>
      <x:c r="Q870" s="133" t="n">
        <x:f>-ABS('Monthly Cash Flow'!$S$5)+((L870-N870-'Assumptions'!$B$27-'Assumptions'!$B$28)*(1-(1+'Assumptions'!$B$43)^-('Assumptions'!$B$14/12))/'Assumptions'!$B$43)+(O870/(1+'Assumptions'!$B$43)^('Assumptions'!$B$14/12))</x:f>
        <x:v>696203.833499975</x:v>
      </x:c>
    </x:row>
    <x:row r="871">
      <x:c r="A871" s="131" t="n">
        <x:f>864</x:f>
        <x:v>864</x:v>
      </x:c>
      <x:c r="B871" s="131" t="n">
        <x:f>MOD(ABS(SIN((A871+1)*12.9898+78.233)*43758.5453),1)</x:f>
        <x:v>0.284250983990205</x:v>
      </x:c>
      <x:c r="C871" s="131" t="n">
        <x:f>MOD(ABS(SIN((A871+2)*12.9898+78.233)*43758.5453),1)</x:f>
        <x:v>0.3466889084811555</x:v>
      </x:c>
      <x:c r="D871" s="131" t="n">
        <x:f>MOD(ABS(SIN((A871+3)*12.9898+78.233)*43758.5453),1)</x:f>
        <x:v>0.37675822260280256</x:v>
      </x:c>
      <x:c r="E871" s="131" t="n">
        <x:f>MOD(ABS(SIN((A871+4)*12.9898+78.233)*43758.5453),1)</x:f>
        <x:v>0.3712357027998223</x:v>
      </x:c>
      <x:c r="F871" s="131" t="n">
        <x:f>MOD(ABS(SIN((A871+5)*12.9898+78.233)*43758.5453),1)</x:f>
        <x:v>0.29088794822018826</x:v>
      </x:c>
      <x:c r="G871" s="132" t="n">
        <x:f>IF(B871&lt;(('Assumptions'!$C$47-'Assumptions'!$B$47)/('Assumptions'!$D$47-'Assumptions'!$B$47)),'Assumptions'!$B$47+SQRT(B871*('Assumptions'!$D$47-'Assumptions'!$B$47)*('Assumptions'!$C$47-'Assumptions'!$B$47)),'Assumptions'!$D$47-SQRT((1-B871)*('Assumptions'!$D$47-'Assumptions'!$B$47)*('Assumptions'!$D$47-'Assumptions'!$C$47)))</x:f>
        <x:v>-0.017404457651971794</x:v>
      </x:c>
      <x:c r="H871" s="132" t="n">
        <x:f>IF(C871&lt;(('Assumptions'!$C$48-'Assumptions'!$B$48)/('Assumptions'!$D$48-'Assumptions'!$B$48)),'Assumptions'!$B$48+SQRT(C871*('Assumptions'!$D$48-'Assumptions'!$B$48)*('Assumptions'!$C$48-'Assumptions'!$B$48)),'Assumptions'!$D$48-SQRT((1-C871)*('Assumptions'!$D$48-'Assumptions'!$B$48)*('Assumptions'!$D$48-'Assumptions'!$C$48)))</x:f>
        <x:v>0.06417693223453808</x:v>
      </x:c>
      <x:c r="I871" s="132" t="n">
        <x:f>IF(D871&lt;(('Assumptions'!$C$49-'Assumptions'!$B$49)/('Assumptions'!$D$49-'Assumptions'!$B$49)),'Assumptions'!$B$49+SQRT(D871*('Assumptions'!$D$49-'Assumptions'!$B$49)*('Assumptions'!$C$49-'Assumptions'!$B$49)),'Assumptions'!$D$49-SQRT((1-D871)*('Assumptions'!$D$49-'Assumptions'!$B$49)*('Assumptions'!$D$49-'Assumptions'!$C$49)))</x:f>
        <x:v>0.03397404431861177</x:v>
      </x:c>
      <x:c r="J871" s="132" t="n">
        <x:f>IF(E871&lt;(('Assumptions'!$C$50-'Assumptions'!$B$50)/('Assumptions'!$D$50-'Assumptions'!$B$50)),'Assumptions'!$B$50+SQRT(E871*('Assumptions'!$D$50-'Assumptions'!$B$50)*('Assumptions'!$C$50-'Assumptions'!$B$50)),'Assumptions'!$D$50-SQRT((1-E871)*('Assumptions'!$D$50-'Assumptions'!$B$50)*('Assumptions'!$D$50-'Assumptions'!$C$50)))</x:f>
        <x:v>0.0666393672171524</x:v>
      </x:c>
      <x:c r="K871" s="132" t="n">
        <x:f>IF(F871&lt;(('Assumptions'!$C$51-'Assumptions'!$B$51)/('Assumptions'!$D$51-'Assumptions'!$B$51)),'Assumptions'!$B$51+SQRT(F871*('Assumptions'!$D$51-'Assumptions'!$B$51)*('Assumptions'!$C$51-'Assumptions'!$B$51)),'Assumptions'!$D$51-SQRT((1-F871)*('Assumptions'!$D$51-'Assumptions'!$B$51)*('Assumptions'!$D$51-'Assumptions'!$C$51)))</x:f>
        <x:v>0.0664439468782273</x:v>
      </x:c>
      <x:c r="L871" s="133" t="n">
        <x:f>(('Assumptions'!$B$17*(1+G871)+'Assumptions'!$B$18)*(1-H871-'Assumptions'!$B$20)-SUM('Assumptions'!$B$21:$B$25)*(1+I871))-(('Assumptions'!$B$17*(1+G871)+'Assumptions'!$B$18)*(1-H871-'Assumptions'!$B$20)*'Assumptions'!$B$26)</x:f>
        <x:v>200113.13748779087</x:v>
      </x:c>
      <x:c r="M871" s="133" t="n">
        <x:f>'Assumptions'!$B$10*'Assumptions'!$B$33</x:f>
        <x:v>1950000</x:v>
      </x:c>
      <x:c r="N871" s="133" t="n">
        <x:f>-PMT(K871/12,'Assumptions'!$B$35*12,M871)*12</x:f>
        <x:v>150132.97050578517</x:v>
      </x:c>
      <x:c r="O871" s="133" t="n">
        <x:f>(L871*(1+'Assumptions'!$B$29)^('Assumptions'!$B$14/12)/J871)*(1-'Assumptions'!$B$42)-'Debt Schedule'!$F$9</x:f>
        <x:v>3272342.2053640573</x:v>
      </x:c>
      <x:c r="P871" s="132" t="n">
        <x:f>((O871+(L871-N871-'Assumptions'!$B$27-'Assumptions'!$B$28)*('Assumptions'!$B$14/12))/ABS('Monthly Cash Flow'!$S$5))^(1/('Assumptions'!$B$14/12))-1</x:f>
        <x:v>0.20744086206160817</x:v>
      </x:c>
      <x:c r="Q871" s="133" t="n">
        <x:f>-ABS('Monthly Cash Flow'!$S$5)+((L871-N871-'Assumptions'!$B$27-'Assumptions'!$B$28)*(1-(1+'Assumptions'!$B$43)^-('Assumptions'!$B$14/12))/'Assumptions'!$B$43)+(O871/(1+'Assumptions'!$B$43)^('Assumptions'!$B$14/12))</x:f>
        <x:v>775199.7366088377</x:v>
      </x:c>
    </x:row>
    <x:row r="872">
      <x:c r="A872" s="131" t="n">
        <x:f>865</x:f>
        <x:v>865</x:v>
      </x:c>
      <x:c r="B872" s="131" t="n">
        <x:f>MOD(ABS(SIN((A872+1)*12.9898+78.233)*43758.5453),1)</x:f>
        <x:v>0.3466889084811555</x:v>
      </x:c>
      <x:c r="C872" s="131" t="n">
        <x:f>MOD(ABS(SIN((A872+2)*12.9898+78.233)*43758.5453),1)</x:f>
        <x:v>0.37675822260280256</x:v>
      </x:c>
      <x:c r="D872" s="131" t="n">
        <x:f>MOD(ABS(SIN((A872+3)*12.9898+78.233)*43758.5453),1)</x:f>
        <x:v>0.3712357027998223</x:v>
      </x:c>
      <x:c r="E872" s="131" t="n">
        <x:f>MOD(ABS(SIN((A872+4)*12.9898+78.233)*43758.5453),1)</x:f>
        <x:v>0.29088794822018826</x:v>
      </x:c>
      <x:c r="F872" s="131" t="n">
        <x:f>MOD(ABS(SIN((A872+5)*12.9898+78.233)*43758.5453),1)</x:f>
        <x:v>0.532567737132922</x:v>
      </x:c>
      <x:c r="G872" s="132" t="n">
        <x:f>IF(B872&lt;(('Assumptions'!$C$47-'Assumptions'!$B$47)/('Assumptions'!$D$47-'Assumptions'!$B$47)),'Assumptions'!$B$47+SQRT(B872*('Assumptions'!$D$47-'Assumptions'!$B$47)*('Assumptions'!$C$47-'Assumptions'!$B$47)),'Assumptions'!$D$47-SQRT((1-B872)*('Assumptions'!$D$47-'Assumptions'!$B$47)*('Assumptions'!$D$47-'Assumptions'!$C$47)))</x:f>
        <x:v>-0.008783039934737294</x:v>
      </x:c>
      <x:c r="H872" s="132" t="n">
        <x:f>IF(C872&lt;(('Assumptions'!$C$48-'Assumptions'!$B$48)/('Assumptions'!$D$48-'Assumptions'!$B$48)),'Assumptions'!$B$48+SQRT(C872*('Assumptions'!$D$48-'Assumptions'!$B$48)*('Assumptions'!$C$48-'Assumptions'!$B$48)),'Assumptions'!$D$48-SQRT((1-C872)*('Assumptions'!$D$48-'Assumptions'!$B$48)*('Assumptions'!$D$48-'Assumptions'!$C$48)))</x:f>
        <x:v>0.06594240321820227</x:v>
      </x:c>
      <x:c r="I872" s="132" t="n">
        <x:f>IF(D872&lt;(('Assumptions'!$C$49-'Assumptions'!$B$49)/('Assumptions'!$D$49-'Assumptions'!$B$49)),'Assumptions'!$B$49+SQRT(D872*('Assumptions'!$D$49-'Assumptions'!$B$49)*('Assumptions'!$C$49-'Assumptions'!$B$49)),'Assumptions'!$D$49-SQRT((1-D872)*('Assumptions'!$D$49-'Assumptions'!$B$49)*('Assumptions'!$D$49-'Assumptions'!$C$49)))</x:f>
        <x:v>0.03346112743155681</x:v>
      </x:c>
      <x:c r="J872" s="132" t="n">
        <x:f>IF(E872&lt;(('Assumptions'!$C$50-'Assumptions'!$B$50)/('Assumptions'!$D$50-'Assumptions'!$B$50)),'Assumptions'!$B$50+SQRT(E872*('Assumptions'!$D$50-'Assumptions'!$B$50)*('Assumptions'!$C$50-'Assumptions'!$B$50)),'Assumptions'!$D$50-SQRT((1-E872)*('Assumptions'!$D$50-'Assumptions'!$B$50)*('Assumptions'!$D$50-'Assumptions'!$C$50)))</x:f>
        <x:v>0.06559010434725922</x:v>
      </x:c>
      <x:c r="K872" s="132" t="n">
        <x:f>IF(F872&lt;(('Assumptions'!$C$51-'Assumptions'!$B$51)/('Assumptions'!$D$51-'Assumptions'!$B$51)),'Assumptions'!$B$51+SQRT(F872*('Assumptions'!$D$51-'Assumptions'!$B$51)*('Assumptions'!$C$51-'Assumptions'!$B$51)),'Assumptions'!$D$51-SQRT((1-F872)*('Assumptions'!$D$51-'Assumptions'!$B$51)*('Assumptions'!$D$51-'Assumptions'!$C$51)))</x:f>
        <x:v>0.0700016075359797</x:v>
      </x:c>
      <x:c r="L872" s="133" t="n">
        <x:f>(('Assumptions'!$B$17*(1+G872)+'Assumptions'!$B$18)*(1-H872-'Assumptions'!$B$20)-SUM('Assumptions'!$B$21:$B$25)*(1+I872))-(('Assumptions'!$B$17*(1+G872)+'Assumptions'!$B$18)*(1-H872-'Assumptions'!$B$20)*'Assumptions'!$B$26)</x:f>
        <x:v>202301.01704572435</x:v>
      </x:c>
      <x:c r="M872" s="133" t="n">
        <x:f>'Assumptions'!$B$10*'Assumptions'!$B$33</x:f>
        <x:v>1950000</x:v>
      </x:c>
      <x:c r="N872" s="133" t="n">
        <x:f>-PMT(K872/12,'Assumptions'!$B$35*12,M872)*12</x:f>
        <x:v>155683.3101809488</x:v>
      </x:c>
      <x:c r="O872" s="133" t="n">
        <x:f>(L872*(1+'Assumptions'!$B$29)^('Assumptions'!$B$14/12)/J872)*(1-'Assumptions'!$B$42)-'Debt Schedule'!$F$9</x:f>
        <x:v>3361040.3124614735</x:v>
      </x:c>
      <x:c r="P872" s="132" t="n">
        <x:f>((O872+(L872-N872-'Assumptions'!$B$27-'Assumptions'!$B$28)*('Assumptions'!$B$14/12))/ABS('Monthly Cash Flow'!$S$5))^(1/('Assumptions'!$B$14/12))-1</x:f>
        <x:v>0.21262147187087677</x:v>
      </x:c>
      <x:c r="Q872" s="133" t="n">
        <x:f>-ABS('Monthly Cash Flow'!$S$5)+((L872-N872-'Assumptions'!$B$27-'Assumptions'!$B$28)*(1-(1+'Assumptions'!$B$43)^-('Assumptions'!$B$14/12))/'Assumptions'!$B$43)+(O872/(1+'Assumptions'!$B$43)^('Assumptions'!$B$14/12))</x:f>
        <x:v>817527.9132955482</x:v>
      </x:c>
    </x:row>
    <x:row r="873">
      <x:c r="A873" s="131" t="n">
        <x:f>866</x:f>
        <x:v>866</x:v>
      </x:c>
      <x:c r="B873" s="131" t="n">
        <x:f>MOD(ABS(SIN((A873+1)*12.9898+78.233)*43758.5453),1)</x:f>
        <x:v>0.37675822260280256</x:v>
      </x:c>
      <x:c r="C873" s="131" t="n">
        <x:f>MOD(ABS(SIN((A873+2)*12.9898+78.233)*43758.5453),1)</x:f>
        <x:v>0.3712357027998223</x:v>
      </x:c>
      <x:c r="D873" s="131" t="n">
        <x:f>MOD(ABS(SIN((A873+3)*12.9898+78.233)*43758.5453),1)</x:f>
        <x:v>0.29088794822018826</x:v>
      </x:c>
      <x:c r="E873" s="131" t="n">
        <x:f>MOD(ABS(SIN((A873+4)*12.9898+78.233)*43758.5453),1)</x:f>
        <x:v>0.532567737132922</x:v>
      </x:c>
      <x:c r="F873" s="131" t="n">
        <x:f>MOD(ABS(SIN((A873+5)*12.9898+78.233)*43758.5453),1)</x:f>
        <x:v>0.8694751148723299</x:v>
      </x:c>
      <x:c r="G873" s="132" t="n">
        <x:f>IF(B873&lt;(('Assumptions'!$C$47-'Assumptions'!$B$47)/('Assumptions'!$D$47-'Assumptions'!$B$47)),'Assumptions'!$B$47+SQRT(B873*('Assumptions'!$D$47-'Assumptions'!$B$47)*('Assumptions'!$C$47-'Assumptions'!$B$47)),'Assumptions'!$D$47-SQRT((1-B873)*('Assumptions'!$D$47-'Assumptions'!$B$47)*('Assumptions'!$D$47-'Assumptions'!$C$47)))</x:f>
        <x:v>-0.004909530748516855</x:v>
      </x:c>
      <x:c r="H873" s="132" t="n">
        <x:f>IF(C873&lt;(('Assumptions'!$C$48-'Assumptions'!$B$48)/('Assumptions'!$D$48-'Assumptions'!$B$48)),'Assumptions'!$B$48+SQRT(C873*('Assumptions'!$D$48-'Assumptions'!$B$48)*('Assumptions'!$C$48-'Assumptions'!$B$48)),'Assumptions'!$D$48-SQRT((1-C873)*('Assumptions'!$D$48-'Assumptions'!$B$48)*('Assumptions'!$D$48-'Assumptions'!$C$48)))</x:f>
        <x:v>0.065615016197074</x:v>
      </x:c>
      <x:c r="I873" s="132" t="n">
        <x:f>IF(D873&lt;(('Assumptions'!$C$49-'Assumptions'!$B$49)/('Assumptions'!$D$49-'Assumptions'!$B$49)),'Assumptions'!$B$49+SQRT(D873*('Assumptions'!$D$49-'Assumptions'!$B$49)*('Assumptions'!$C$49-'Assumptions'!$B$49)),'Assumptions'!$D$49-SQRT((1-D873)*('Assumptions'!$D$49-'Assumptions'!$B$49)*('Assumptions'!$D$49-'Assumptions'!$C$49)))</x:f>
        <x:v>0.026049887071947192</x:v>
      </x:c>
      <x:c r="J873" s="132" t="n">
        <x:f>IF(E873&lt;(('Assumptions'!$C$50-'Assumptions'!$B$50)/('Assumptions'!$D$50-'Assumptions'!$B$50)),'Assumptions'!$B$50+SQRT(E873*('Assumptions'!$D$50-'Assumptions'!$B$50)*('Assumptions'!$C$50-'Assumptions'!$B$50)),'Assumptions'!$D$50-SQRT((1-E873)*('Assumptions'!$D$50-'Assumptions'!$B$50)*('Assumptions'!$D$50-'Assumptions'!$C$50)))</x:f>
        <x:v>0.0685341671069492</x:v>
      </x:c>
      <x:c r="K873" s="132" t="n">
        <x:f>IF(F873&lt;(('Assumptions'!$C$51-'Assumptions'!$B$51)/('Assumptions'!$D$51-'Assumptions'!$B$51)),'Assumptions'!$B$51+SQRT(F873*('Assumptions'!$D$51-'Assumptions'!$B$51)*('Assumptions'!$C$51-'Assumptions'!$B$51)),'Assumptions'!$D$51-SQRT((1-F873)*('Assumptions'!$D$51-'Assumptions'!$B$51)*('Assumptions'!$D$51-'Assumptions'!$C$51)))</x:f>
        <x:v>0.07707440216969778</x:v>
      </x:c>
      <x:c r="L873" s="133" t="n">
        <x:f>(('Assumptions'!$B$17*(1+G873)+'Assumptions'!$B$18)*(1-H873-'Assumptions'!$B$20)-SUM('Assumptions'!$B$21:$B$25)*(1+I873))-(('Assumptions'!$B$17*(1+G873)+'Assumptions'!$B$18)*(1-H873-'Assumptions'!$B$20)*'Assumptions'!$B$26)</x:f>
        <x:v>204590.10188044017</x:v>
      </x:c>
      <x:c r="M873" s="133" t="n">
        <x:f>'Assumptions'!$B$10*'Assumptions'!$B$33</x:f>
        <x:v>1950000</x:v>
      </x:c>
      <x:c r="N873" s="133" t="n">
        <x:f>-PMT(K873/12,'Assumptions'!$B$35*12,M873)*12</x:f>
        <x:v>166952.7905639827</x:v>
      </x:c>
      <x:c r="O873" s="133" t="n">
        <x:f>(L873*(1+'Assumptions'!$B$29)^('Assumptions'!$B$14/12)/J873)*(1-'Assumptions'!$B$42)-'Debt Schedule'!$F$9</x:f>
        <x:v>3253055.3783833818</x:v>
      </x:c>
      <x:c r="P873" s="132" t="n">
        <x:f>((O873+(L873-N873-'Assumptions'!$B$27-'Assumptions'!$B$28)*('Assumptions'!$B$14/12))/ABS('Monthly Cash Flow'!$S$5))^(1/('Assumptions'!$B$14/12))-1</x:f>
        <x:v>0.20149475388712834</x:v>
      </x:c>
      <x:c r="Q873" s="133" t="n">
        <x:f>-ABS('Monthly Cash Flow'!$S$5)+((L873-N873-'Assumptions'!$B$27-'Assumptions'!$B$28)*(1-(1+'Assumptions'!$B$43)^-('Assumptions'!$B$14/12))/'Assumptions'!$B$43)+(O873/(1+'Assumptions'!$B$43)^('Assumptions'!$B$14/12))</x:f>
        <x:v>716435.0005287051</x:v>
      </x:c>
    </x:row>
    <x:row r="874">
      <x:c r="A874" s="131" t="n">
        <x:f>867</x:f>
        <x:v>867</x:v>
      </x:c>
      <x:c r="B874" s="131" t="n">
        <x:f>MOD(ABS(SIN((A874+1)*12.9898+78.233)*43758.5453),1)</x:f>
        <x:v>0.3712357027998223</x:v>
      </x:c>
      <x:c r="C874" s="131" t="n">
        <x:f>MOD(ABS(SIN((A874+2)*12.9898+78.233)*43758.5453),1)</x:f>
        <x:v>0.29088794822018826</x:v>
      </x:c>
      <x:c r="D874" s="131" t="n">
        <x:f>MOD(ABS(SIN((A874+3)*12.9898+78.233)*43758.5453),1)</x:f>
        <x:v>0.532567737132922</x:v>
      </x:c>
      <x:c r="E874" s="131" t="n">
        <x:f>MOD(ABS(SIN((A874+4)*12.9898+78.233)*43758.5453),1)</x:f>
        <x:v>0.8694751148723299</x:v>
      </x:c>
      <x:c r="F874" s="131" t="n">
        <x:f>MOD(ABS(SIN((A874+5)*12.9898+78.233)*43758.5453),1)</x:f>
        <x:v>0.7537860990923946</x:v>
      </x:c>
      <x:c r="G874" s="132" t="n">
        <x:f>IF(B874&lt;(('Assumptions'!$C$47-'Assumptions'!$B$47)/('Assumptions'!$D$47-'Assumptions'!$B$47)),'Assumptions'!$B$47+SQRT(B874*('Assumptions'!$D$47-'Assumptions'!$B$47)*('Assumptions'!$C$47-'Assumptions'!$B$47)),'Assumptions'!$D$47-SQRT((1-B874)*('Assumptions'!$D$47-'Assumptions'!$B$47)*('Assumptions'!$D$47-'Assumptions'!$C$47)))</x:f>
        <x:v>-0.005609021261585939</x:v>
      </x:c>
      <x:c r="H874" s="132" t="n">
        <x:f>IF(C874&lt;(('Assumptions'!$C$48-'Assumptions'!$B$48)/('Assumptions'!$D$48-'Assumptions'!$B$48)),'Assumptions'!$B$48+SQRT(C874*('Assumptions'!$D$48-'Assumptions'!$B$48)*('Assumptions'!$C$48-'Assumptions'!$B$48)),'Assumptions'!$D$48-SQRT((1-C874)*('Assumptions'!$D$48-'Assumptions'!$B$48)*('Assumptions'!$D$48-'Assumptions'!$C$48)))</x:f>
        <x:v>0.061005151714416575</x:v>
      </x:c>
      <x:c r="I874" s="132" t="n">
        <x:f>IF(D874&lt;(('Assumptions'!$C$49-'Assumptions'!$B$49)/('Assumptions'!$D$49-'Assumptions'!$B$49)),'Assumptions'!$B$49+SQRT(D874*('Assumptions'!$D$49-'Assumptions'!$B$49)*('Assumptions'!$C$49-'Assumptions'!$B$49)),'Assumptions'!$D$49-SQRT((1-D874)*('Assumptions'!$D$49-'Assumptions'!$B$49)*('Assumptions'!$D$49-'Assumptions'!$C$49)))</x:f>
        <x:v>0.049518474942261734</x:v>
      </x:c>
      <x:c r="J874" s="132" t="n">
        <x:f>IF(E874&lt;(('Assumptions'!$C$50-'Assumptions'!$B$50)/('Assumptions'!$D$50-'Assumptions'!$B$50)),'Assumptions'!$B$50+SQRT(E874*('Assumptions'!$D$50-'Assumptions'!$B$50)*('Assumptions'!$C$50-'Assumptions'!$B$50)),'Assumptions'!$D$50-SQRT((1-E874)*('Assumptions'!$D$50-'Assumptions'!$B$50)*('Assumptions'!$D$50-'Assumptions'!$C$50)))</x:f>
        <x:v>0.0739411119879835</x:v>
      </x:c>
      <x:c r="K874" s="132" t="n">
        <x:f>IF(F874&lt;(('Assumptions'!$C$51-'Assumptions'!$B$51)/('Assumptions'!$D$51-'Assumptions'!$B$51)),'Assumptions'!$B$51+SQRT(F874*('Assumptions'!$D$51-'Assumptions'!$B$51)*('Assumptions'!$C$51-'Assumptions'!$B$51)),'Assumptions'!$D$51-SQRT((1-F874)*('Assumptions'!$D$51-'Assumptions'!$B$51)*('Assumptions'!$D$51-'Assumptions'!$C$51)))</x:f>
        <x:v>0.07411466859430614</x:v>
      </x:c>
      <x:c r="L874" s="133" t="n">
        <x:f>(('Assumptions'!$B$17*(1+G874)+'Assumptions'!$B$18)*(1-H874-'Assumptions'!$B$20)-SUM('Assumptions'!$B$21:$B$25)*(1+I874))-(('Assumptions'!$B$17*(1+G874)+'Assumptions'!$B$18)*(1-H874-'Assumptions'!$B$20)*'Assumptions'!$B$26)</x:f>
        <x:v>203073.4868617355</x:v>
      </x:c>
      <x:c r="M874" s="133" t="n">
        <x:f>'Assumptions'!$B$10*'Assumptions'!$B$33</x:f>
        <x:v>1950000</x:v>
      </x:c>
      <x:c r="N874" s="133" t="n">
        <x:f>-PMT(K874/12,'Assumptions'!$B$35*12,M874)*12</x:f>
        <x:v>162199.9597043899</x:v>
      </x:c>
      <x:c r="O874" s="133" t="n">
        <x:f>(L874*(1+'Assumptions'!$B$29)^('Assumptions'!$B$14/12)/J874)*(1-'Assumptions'!$B$42)-'Debt Schedule'!$F$9</x:f>
        <x:v>2992824.327860855</x:v>
      </x:c>
      <x:c r="P874" s="132" t="n">
        <x:f>((O874+(L874-N874-'Assumptions'!$B$27-'Assumptions'!$B$28)*('Assumptions'!$B$14/12))/ABS('Monthly Cash Flow'!$S$5))^(1/('Assumptions'!$B$14/12))-1</x:f>
        <x:v>0.18283046293963356</x:v>
      </x:c>
      <x:c r="Q874" s="133" t="n">
        <x:f>-ABS('Monthly Cash Flow'!$S$5)+((L874-N874-'Assumptions'!$B$27-'Assumptions'!$B$28)*(1-(1+'Assumptions'!$B$43)^-('Assumptions'!$B$14/12))/'Assumptions'!$B$43)+(O874/(1+'Assumptions'!$B$43)^('Assumptions'!$B$14/12))</x:f>
        <x:v>567119.7965297729</x:v>
      </x:c>
    </x:row>
    <x:row r="875">
      <x:c r="A875" s="131" t="n">
        <x:f>868</x:f>
        <x:v>868</x:v>
      </x:c>
      <x:c r="B875" s="131" t="n">
        <x:f>MOD(ABS(SIN((A875+1)*12.9898+78.233)*43758.5453),1)</x:f>
        <x:v>0.29088794822018826</x:v>
      </x:c>
      <x:c r="C875" s="131" t="n">
        <x:f>MOD(ABS(SIN((A875+2)*12.9898+78.233)*43758.5453),1)</x:f>
        <x:v>0.532567737132922</x:v>
      </x:c>
      <x:c r="D875" s="131" t="n">
        <x:f>MOD(ABS(SIN((A875+3)*12.9898+78.233)*43758.5453),1)</x:f>
        <x:v>0.8694751148723299</x:v>
      </x:c>
      <x:c r="E875" s="131" t="n">
        <x:f>MOD(ABS(SIN((A875+4)*12.9898+78.233)*43758.5453),1)</x:f>
        <x:v>0.7537860990923946</x:v>
      </x:c>
      <x:c r="F875" s="131" t="n">
        <x:f>MOD(ABS(SIN((A875+5)*12.9898+78.233)*43758.5453),1)</x:f>
        <x:v>0.11724979698919924</x:v>
      </x:c>
      <x:c r="G875" s="132" t="n">
        <x:f>IF(B875&lt;(('Assumptions'!$C$47-'Assumptions'!$B$47)/('Assumptions'!$D$47-'Assumptions'!$B$47)),'Assumptions'!$B$47+SQRT(B875*('Assumptions'!$D$47-'Assumptions'!$B$47)*('Assumptions'!$C$47-'Assumptions'!$B$47)),'Assumptions'!$D$47-SQRT((1-B875)*('Assumptions'!$D$47-'Assumptions'!$B$47)*('Assumptions'!$D$47-'Assumptions'!$C$47)))</x:f>
        <x:v>-0.01644576158395962</x:v>
      </x:c>
      <x:c r="H875" s="132" t="n">
        <x:f>IF(C875&lt;(('Assumptions'!$C$48-'Assumptions'!$B$48)/('Assumptions'!$D$48-'Assumptions'!$B$48)),'Assumptions'!$B$48+SQRT(C875*('Assumptions'!$D$48-'Assumptions'!$B$48)*('Assumptions'!$C$48-'Assumptions'!$B$48)),'Assumptions'!$D$48-SQRT((1-C875)*('Assumptions'!$D$48-'Assumptions'!$B$48)*('Assumptions'!$D$48-'Assumptions'!$C$48)))</x:f>
        <x:v>0.07586417605401576</x:v>
      </x:c>
      <x:c r="I875" s="132" t="n">
        <x:f>IF(D875&lt;(('Assumptions'!$C$49-'Assumptions'!$B$49)/('Assumptions'!$D$49-'Assumptions'!$B$49)),'Assumptions'!$B$49+SQRT(D875*('Assumptions'!$D$49-'Assumptions'!$B$49)*('Assumptions'!$C$49-'Assumptions'!$B$49)),'Assumptions'!$D$49-SQRT((1-D875)*('Assumptions'!$D$49-'Assumptions'!$B$49)*('Assumptions'!$D$49-'Assumptions'!$C$49)))</x:f>
        <x:v>0.09690256579873491</x:v>
      </x:c>
      <x:c r="J875" s="132" t="n">
        <x:f>IF(E875&lt;(('Assumptions'!$C$50-'Assumptions'!$B$50)/('Assumptions'!$D$50-'Assumptions'!$B$50)),'Assumptions'!$B$50+SQRT(E875*('Assumptions'!$D$50-'Assumptions'!$B$50)*('Assumptions'!$C$50-'Assumptions'!$B$50)),'Assumptions'!$D$50-SQRT((1-E875)*('Assumptions'!$D$50-'Assumptions'!$B$50)*('Assumptions'!$D$50-'Assumptions'!$C$50)))</x:f>
        <x:v>0.07167848213183052</x:v>
      </x:c>
      <x:c r="K875" s="132" t="n">
        <x:f>IF(F875&lt;(('Assumptions'!$C$51-'Assumptions'!$B$51)/('Assumptions'!$D$51-'Assumptions'!$B$51)),'Assumptions'!$B$51+SQRT(F875*('Assumptions'!$D$51-'Assumptions'!$B$51)*('Assumptions'!$C$51-'Assumptions'!$B$51)),'Assumptions'!$D$51-SQRT((1-F875)*('Assumptions'!$D$51-'Assumptions'!$B$51)*('Assumptions'!$D$51-'Assumptions'!$C$51)))</x:f>
        <x:v>0.06317835312146311</x:v>
      </x:c>
      <x:c r="L875" s="133" t="n">
        <x:f>(('Assumptions'!$B$17*(1+G875)+'Assumptions'!$B$18)*(1-H875-'Assumptions'!$B$20)-SUM('Assumptions'!$B$21:$B$25)*(1+I875))-(('Assumptions'!$B$17*(1+G875)+'Assumptions'!$B$18)*(1-H875-'Assumptions'!$B$20)*'Assumptions'!$B$26)</x:f>
        <x:v>188316.2516704782</x:v>
      </x:c>
      <x:c r="M875" s="133" t="n">
        <x:f>'Assumptions'!$B$10*'Assumptions'!$B$33</x:f>
        <x:v>1950000</x:v>
      </x:c>
      <x:c r="N875" s="133" t="n">
        <x:f>-PMT(K875/12,'Assumptions'!$B$35*12,M875)*12</x:f>
        <x:v>145111.7896838939</x:v>
      </x:c>
      <x:c r="O875" s="133" t="n">
        <x:f>(L875*(1+'Assumptions'!$B$29)^('Assumptions'!$B$14/12)/J875)*(1-'Assumptions'!$B$42)-'Debt Schedule'!$F$9</x:f>
        <x:v>2862944.8242731984</x:v>
      </x:c>
      <x:c r="P875" s="132" t="n">
        <x:f>((O875+(L875-N875-'Assumptions'!$B$27-'Assumptions'!$B$28)*('Assumptions'!$B$14/12))/ABS('Monthly Cash Flow'!$S$5))^(1/('Assumptions'!$B$14/12))-1</x:f>
        <x:v>0.17334825141067367</x:v>
      </x:c>
      <x:c r="Q875" s="133" t="n">
        <x:f>-ABS('Monthly Cash Flow'!$S$5)+((L875-N875-'Assumptions'!$B$27-'Assumptions'!$B$28)*(1-(1+'Assumptions'!$B$43)^-('Assumptions'!$B$14/12))/'Assumptions'!$B$43)+(O875/(1+'Assumptions'!$B$43)^('Assumptions'!$B$14/12))</x:f>
        <x:v>495310.9202348904</x:v>
      </x:c>
    </x:row>
    <x:row r="876">
      <x:c r="A876" s="131" t="n">
        <x:f>869</x:f>
        <x:v>869</x:v>
      </x:c>
      <x:c r="B876" s="131" t="n">
        <x:f>MOD(ABS(SIN((A876+1)*12.9898+78.233)*43758.5453),1)</x:f>
        <x:v>0.532567737132922</x:v>
      </x:c>
      <x:c r="C876" s="131" t="n">
        <x:f>MOD(ABS(SIN((A876+2)*12.9898+78.233)*43758.5453),1)</x:f>
        <x:v>0.8694751148723299</x:v>
      </x:c>
      <x:c r="D876" s="131" t="n">
        <x:f>MOD(ABS(SIN((A876+3)*12.9898+78.233)*43758.5453),1)</x:f>
        <x:v>0.7537860990923946</x:v>
      </x:c>
      <x:c r="E876" s="131" t="n">
        <x:f>MOD(ABS(SIN((A876+4)*12.9898+78.233)*43758.5453),1)</x:f>
        <x:v>0.11724979698919924</x:v>
      </x:c>
      <x:c r="F876" s="131" t="n">
        <x:f>MOD(ABS(SIN((A876+5)*12.9898+78.233)*43758.5453),1)</x:f>
        <x:v>0.06689131024904782</x:v>
      </x:c>
      <x:c r="G876" s="132" t="n">
        <x:f>IF(B876&lt;(('Assumptions'!$C$47-'Assumptions'!$B$47)/('Assumptions'!$D$47-'Assumptions'!$B$47)),'Assumptions'!$B$47+SQRT(B876*('Assumptions'!$D$47-'Assumptions'!$B$47)*('Assumptions'!$C$47-'Assumptions'!$B$47)),'Assumptions'!$D$47-SQRT((1-B876)*('Assumptions'!$D$47-'Assumptions'!$B$47)*('Assumptions'!$D$47-'Assumptions'!$C$47)))</x:f>
        <x:v>0.013055852087320671</x:v>
      </x:c>
      <x:c r="H876" s="132" t="n">
        <x:f>IF(C876&lt;(('Assumptions'!$C$48-'Assumptions'!$B$48)/('Assumptions'!$D$48-'Assumptions'!$B$48)),'Assumptions'!$B$48+SQRT(C876*('Assumptions'!$D$48-'Assumptions'!$B$48)*('Assumptions'!$C$48-'Assumptions'!$B$48)),'Assumptions'!$D$48-SQRT((1-C876)*('Assumptions'!$D$48-'Assumptions'!$B$48)*('Assumptions'!$D$48-'Assumptions'!$C$48)))</x:f>
        <x:v>0.10610871809560021</x:v>
      </x:c>
      <x:c r="I876" s="132" t="n">
        <x:f>IF(D876&lt;(('Assumptions'!$C$49-'Assumptions'!$B$49)/('Assumptions'!$D$49-'Assumptions'!$B$49)),'Assumptions'!$B$49+SQRT(D876*('Assumptions'!$D$49-'Assumptions'!$B$49)*('Assumptions'!$C$49-'Assumptions'!$B$49)),'Assumptions'!$D$49-SQRT((1-D876)*('Assumptions'!$D$49-'Assumptions'!$B$49)*('Assumptions'!$D$49-'Assumptions'!$C$49)))</x:f>
        <x:v>0.07707387121474034</x:v>
      </x:c>
      <x:c r="J876" s="132" t="n">
        <x:f>IF(E876&lt;(('Assumptions'!$C$50-'Assumptions'!$B$50)/('Assumptions'!$D$50-'Assumptions'!$B$50)),'Assumptions'!$B$50+SQRT(E876*('Assumptions'!$D$50-'Assumptions'!$B$50)*('Assumptions'!$C$50-'Assumptions'!$B$50)),'Assumptions'!$D$50-SQRT((1-E876)*('Assumptions'!$D$50-'Assumptions'!$B$50)*('Assumptions'!$D$50-'Assumptions'!$C$50)))</x:f>
        <x:v>0.06263626365391906</x:v>
      </x:c>
      <x:c r="K876" s="132" t="n">
        <x:f>IF(F876&lt;(('Assumptions'!$C$51-'Assumptions'!$B$51)/('Assumptions'!$D$51-'Assumptions'!$B$51)),'Assumptions'!$B$51+SQRT(F876*('Assumptions'!$D$51-'Assumptions'!$B$51)*('Assumptions'!$C$51-'Assumptions'!$B$51)),'Assumptions'!$D$51-SQRT((1-F876)*('Assumptions'!$D$51-'Assumptions'!$B$51)*('Assumptions'!$D$51-'Assumptions'!$C$51)))</x:f>
        <x:v>0.06178895212359478</x:v>
      </x:c>
      <x:c r="L876" s="133" t="n">
        <x:f>(('Assumptions'!$B$17*(1+G876)+'Assumptions'!$B$18)*(1-H876-'Assumptions'!$B$20)-SUM('Assumptions'!$B$21:$B$25)*(1+I876))-(('Assumptions'!$B$17*(1+G876)+'Assumptions'!$B$18)*(1-H876-'Assumptions'!$B$20)*'Assumptions'!$B$26)</x:f>
        <x:v>189023.36865076062</x:v>
      </x:c>
      <x:c r="M876" s="133" t="n">
        <x:f>'Assumptions'!$B$10*'Assumptions'!$B$33</x:f>
        <x:v>1950000</x:v>
      </x:c>
      <x:c r="N876" s="133" t="n">
        <x:f>-PMT(K876/12,'Assumptions'!$B$35*12,M876)*12</x:f>
        <x:v>142997.43194605364</x:v>
      </x:c>
      <x:c r="O876" s="133" t="n">
        <x:f>(L876*(1+'Assumptions'!$B$29)^('Assumptions'!$B$14/12)/J876)*(1-'Assumptions'!$B$42)-'Debt Schedule'!$F$9</x:f>
        <x:v>3288543.8123985142</x:v>
      </x:c>
      <x:c r="P876" s="132" t="n">
        <x:f>((O876+(L876-N876-'Assumptions'!$B$27-'Assumptions'!$B$28)*('Assumptions'!$B$14/12))/ABS('Monthly Cash Flow'!$S$5))^(1/('Assumptions'!$B$14/12))-1</x:f>
        <x:v>0.20718128639604427</x:v>
      </x:c>
      <x:c r="Q876" s="133" t="n">
        <x:f>-ABS('Monthly Cash Flow'!$S$5)+((L876-N876-'Assumptions'!$B$27-'Assumptions'!$B$28)*(1-(1+'Assumptions'!$B$43)^-('Assumptions'!$B$14/12))/'Assumptions'!$B$43)+(O876/(1+'Assumptions'!$B$43)^('Assumptions'!$B$14/12))</x:f>
        <x:v>770270.0160659789</x:v>
      </x:c>
    </x:row>
    <x:row r="877">
      <x:c r="A877" s="131" t="n">
        <x:f>870</x:f>
        <x:v>870</x:v>
      </x:c>
      <x:c r="B877" s="131" t="n">
        <x:f>MOD(ABS(SIN((A877+1)*12.9898+78.233)*43758.5453),1)</x:f>
        <x:v>0.8694751148723299</x:v>
      </x:c>
      <x:c r="C877" s="131" t="n">
        <x:f>MOD(ABS(SIN((A877+2)*12.9898+78.233)*43758.5453),1)</x:f>
        <x:v>0.7537860990923946</x:v>
      </x:c>
      <x:c r="D877" s="131" t="n">
        <x:f>MOD(ABS(SIN((A877+3)*12.9898+78.233)*43758.5453),1)</x:f>
        <x:v>0.11724979698919924</x:v>
      </x:c>
      <x:c r="E877" s="131" t="n">
        <x:f>MOD(ABS(SIN((A877+4)*12.9898+78.233)*43758.5453),1)</x:f>
        <x:v>0.06689131024904782</x:v>
      </x:c>
      <x:c r="F877" s="131" t="n">
        <x:f>MOD(ABS(SIN((A877+5)*12.9898+78.233)*43758.5453),1)</x:f>
        <x:v>0.9258856914711941</x:v>
      </x:c>
      <x:c r="G877" s="132" t="n">
        <x:f>IF(B877&lt;(('Assumptions'!$C$47-'Assumptions'!$B$47)/('Assumptions'!$D$47-'Assumptions'!$B$47)),'Assumptions'!$B$47+SQRT(B877*('Assumptions'!$D$47-'Assumptions'!$B$47)*('Assumptions'!$C$47-'Assumptions'!$B$47)),'Assumptions'!$D$47-SQRT((1-B877)*('Assumptions'!$D$47-'Assumptions'!$B$47)*('Assumptions'!$D$47-'Assumptions'!$C$47)))</x:f>
        <x:v>0.05430100480270139</x:v>
      </x:c>
      <x:c r="H877" s="132" t="n">
        <x:f>IF(C877&lt;(('Assumptions'!$C$48-'Assumptions'!$B$48)/('Assumptions'!$D$48-'Assumptions'!$B$48)),'Assumptions'!$B$48+SQRT(C877*('Assumptions'!$D$48-'Assumptions'!$B$48)*('Assumptions'!$C$48-'Assumptions'!$B$48)),'Assumptions'!$D$48-SQRT((1-C877)*('Assumptions'!$D$48-'Assumptions'!$B$48)*('Assumptions'!$D$48-'Assumptions'!$C$48)))</x:f>
        <x:v>0.09345236495817508</x:v>
      </x:c>
      <x:c r="I877" s="132" t="n">
        <x:f>IF(D877&lt;(('Assumptions'!$C$49-'Assumptions'!$B$49)/('Assumptions'!$D$49-'Assumptions'!$B$49)),'Assumptions'!$B$49+SQRT(D877*('Assumptions'!$D$49-'Assumptions'!$B$49)*('Assumptions'!$C$49-'Assumptions'!$B$49)),'Assumptions'!$D$49-SQRT((1-D877)*('Assumptions'!$D$49-'Assumptions'!$B$49)*('Assumptions'!$D$49-'Assumptions'!$C$49)))</x:f>
        <x:v>0.005585078438628627</x:v>
      </x:c>
      <x:c r="J877" s="132" t="n">
        <x:f>IF(E877&lt;(('Assumptions'!$C$50-'Assumptions'!$B$50)/('Assumptions'!$D$50-'Assumptions'!$B$50)),'Assumptions'!$B$50+SQRT(E877*('Assumptions'!$D$50-'Assumptions'!$B$50)*('Assumptions'!$C$50-'Assumptions'!$B$50)),'Assumptions'!$D$50-SQRT((1-E877)*('Assumptions'!$D$50-'Assumptions'!$B$50)*('Assumptions'!$D$50-'Assumptions'!$C$50)))</x:f>
        <x:v>0.061379503164844154</x:v>
      </x:c>
      <x:c r="K877" s="132" t="n">
        <x:f>IF(F877&lt;(('Assumptions'!$C$51-'Assumptions'!$B$51)/('Assumptions'!$D$51-'Assumptions'!$B$51)),'Assumptions'!$B$51+SQRT(F877*('Assumptions'!$D$51-'Assumptions'!$B$51)*('Assumptions'!$C$51-'Assumptions'!$B$51)),'Assumptions'!$D$51-SQRT((1-F877)*('Assumptions'!$D$51-'Assumptions'!$B$51)*('Assumptions'!$D$51-'Assumptions'!$C$51)))</x:f>
        <x:v>0.07902777169060929</x:v>
      </x:c>
      <x:c r="L877" s="133" t="n">
        <x:f>(('Assumptions'!$B$17*(1+G877)+'Assumptions'!$B$18)*(1-H877-'Assumptions'!$B$20)-SUM('Assumptions'!$B$21:$B$25)*(1+I877))-(('Assumptions'!$B$17*(1+G877)+'Assumptions'!$B$18)*(1-H877-'Assumptions'!$B$20)*'Assumptions'!$B$26)</x:f>
        <x:v>215460.48189868056</x:v>
      </x:c>
      <x:c r="M877" s="133" t="n">
        <x:f>'Assumptions'!$B$10*'Assumptions'!$B$33</x:f>
        <x:v>1950000</x:v>
      </x:c>
      <x:c r="N877" s="133" t="n">
        <x:f>-PMT(K877/12,'Assumptions'!$B$35*12,M877)*12</x:f>
        <x:v>170117.61319877944</x:v>
      </x:c>
      <x:c r="O877" s="133" t="n">
        <x:f>(L877*(1+'Assumptions'!$B$29)^('Assumptions'!$B$14/12)/J877)*(1-'Assumptions'!$B$42)-'Debt Schedule'!$F$9</x:f>
        <x:v>3825236.0079989173</x:v>
      </x:c>
      <x:c r="P877" s="132" t="n">
        <x:f>((O877+(L877-N877-'Assumptions'!$B$27-'Assumptions'!$B$28)*('Assumptions'!$B$14/12))/ABS('Monthly Cash Flow'!$S$5))^(1/('Assumptions'!$B$14/12))-1</x:f>
        <x:v>0.2437002602408862</x:v>
      </x:c>
      <x:c r="Q877" s="133" t="n">
        <x:f>-ABS('Monthly Cash Flow'!$S$5)+((L877-N877-'Assumptions'!$B$27-'Assumptions'!$B$28)*(1-(1+'Assumptions'!$B$43)^-('Assumptions'!$B$14/12))/'Assumptions'!$B$43)+(O877/(1+'Assumptions'!$B$43)^('Assumptions'!$B$14/12))</x:f>
        <x:v>1100924.2790784799</x:v>
      </x:c>
    </x:row>
    <x:row r="878">
      <x:c r="A878" s="131" t="n">
        <x:f>871</x:f>
        <x:v>871</x:v>
      </x:c>
      <x:c r="B878" s="131" t="n">
        <x:f>MOD(ABS(SIN((A878+1)*12.9898+78.233)*43758.5453),1)</x:f>
        <x:v>0.7537860990923946</x:v>
      </x:c>
      <x:c r="C878" s="131" t="n">
        <x:f>MOD(ABS(SIN((A878+2)*12.9898+78.233)*43758.5453),1)</x:f>
        <x:v>0.11724979698919924</x:v>
      </x:c>
      <x:c r="D878" s="131" t="n">
        <x:f>MOD(ABS(SIN((A878+3)*12.9898+78.233)*43758.5453),1)</x:f>
        <x:v>0.06689131024904782</x:v>
      </x:c>
      <x:c r="E878" s="131" t="n">
        <x:f>MOD(ABS(SIN((A878+4)*12.9898+78.233)*43758.5453),1)</x:f>
        <x:v>0.9258856914711941</x:v>
      </x:c>
      <x:c r="F878" s="131" t="n">
        <x:f>MOD(ABS(SIN((A878+5)*12.9898+78.233)*43758.5453),1)</x:f>
        <x:v>0.43575286536861313</x:v>
      </x:c>
      <x:c r="G878" s="132" t="n">
        <x:f>IF(B878&lt;(('Assumptions'!$C$47-'Assumptions'!$B$47)/('Assumptions'!$D$47-'Assumptions'!$B$47)),'Assumptions'!$B$47+SQRT(B878*('Assumptions'!$D$47-'Assumptions'!$B$47)*('Assumptions'!$C$47-'Assumptions'!$B$47)),'Assumptions'!$D$47-SQRT((1-B878)*('Assumptions'!$D$47-'Assumptions'!$B$47)*('Assumptions'!$D$47-'Assumptions'!$C$47)))</x:f>
        <x:v>0.0372351817136249</x:v>
      </x:c>
      <x:c r="H878" s="132" t="n">
        <x:f>IF(C878&lt;(('Assumptions'!$C$48-'Assumptions'!$B$48)/('Assumptions'!$D$48-'Assumptions'!$B$48)),'Assumptions'!$B$48+SQRT(C878*('Assumptions'!$D$48-'Assumptions'!$B$48)*('Assumptions'!$C$48-'Assumptions'!$B$48)),'Assumptions'!$D$48-SQRT((1-C878)*('Assumptions'!$D$48-'Assumptions'!$B$48)*('Assumptions'!$D$48-'Assumptions'!$C$48)))</x:f>
        <x:v>0.04967039221938285</x:v>
      </x:c>
      <x:c r="I878" s="132" t="n">
        <x:f>IF(D878&lt;(('Assumptions'!$C$49-'Assumptions'!$B$49)/('Assumptions'!$D$49-'Assumptions'!$B$49)),'Assumptions'!$B$49+SQRT(D878*('Assumptions'!$D$49-'Assumptions'!$B$49)*('Assumptions'!$C$49-'Assumptions'!$B$49)),'Assumptions'!$D$49-SQRT((1-D878)*('Assumptions'!$D$49-'Assumptions'!$B$49)*('Assumptions'!$D$49-'Assumptions'!$C$49)))</x:f>
        <x:v>-0.0031220136414627127</x:v>
      </x:c>
      <x:c r="J878" s="132" t="n">
        <x:f>IF(E878&lt;(('Assumptions'!$C$50-'Assumptions'!$B$50)/('Assumptions'!$D$50-'Assumptions'!$B$50)),'Assumptions'!$B$50+SQRT(E878*('Assumptions'!$D$50-'Assumptions'!$B$50)*('Assumptions'!$C$50-'Assumptions'!$B$50)),'Assumptions'!$D$50-SQRT((1-E878)*('Assumptions'!$D$50-'Assumptions'!$B$50)*('Assumptions'!$D$50-'Assumptions'!$C$50)))</x:f>
        <x:v>0.07543440592324212</x:v>
      </x:c>
      <x:c r="K878" s="132" t="n">
        <x:f>IF(F878&lt;(('Assumptions'!$C$51-'Assumptions'!$B$51)/('Assumptions'!$D$51-'Assumptions'!$B$51)),'Assumptions'!$B$51+SQRT(F878*('Assumptions'!$D$51-'Assumptions'!$B$51)*('Assumptions'!$C$51-'Assumptions'!$B$51)),'Assumptions'!$D$51-SQRT((1-F878)*('Assumptions'!$D$51-'Assumptions'!$B$51)*('Assumptions'!$D$51-'Assumptions'!$C$51)))</x:f>
        <x:v>0.06852140984363787</x:v>
      </x:c>
      <x:c r="L878" s="133" t="n">
        <x:f>(('Assumptions'!$B$17*(1+G878)+'Assumptions'!$B$18)*(1-H878-'Assumptions'!$B$20)-SUM('Assumptions'!$B$21:$B$25)*(1+I878))-(('Assumptions'!$B$17*(1+G878)+'Assumptions'!$B$18)*(1-H878-'Assumptions'!$B$20)*'Assumptions'!$B$26)</x:f>
        <x:v>227720.79341320696</x:v>
      </x:c>
      <x:c r="M878" s="133" t="n">
        <x:f>'Assumptions'!$B$10*'Assumptions'!$B$33</x:f>
        <x:v>1950000</x:v>
      </x:c>
      <x:c r="N878" s="133" t="n">
        <x:f>-PMT(K878/12,'Assumptions'!$B$35*12,M878)*12</x:f>
        <x:v>153364.09829344315</x:v>
      </x:c>
      <x:c r="O878" s="133" t="n">
        <x:f>(L878*(1+'Assumptions'!$B$29)^('Assumptions'!$B$14/12)/J878)*(1-'Assumptions'!$B$42)-'Debt Schedule'!$F$9</x:f>
        <x:v>3289631.040728083</x:v>
      </x:c>
      <x:c r="P878" s="132" t="n">
        <x:f>((O878+(L878-N878-'Assumptions'!$B$27-'Assumptions'!$B$28)*('Assumptions'!$B$14/12))/ABS('Monthly Cash Flow'!$S$5))^(1/('Assumptions'!$B$14/12))-1</x:f>
        <x:v>0.21739162910734056</x:v>
      </x:c>
      <x:c r="Q878" s="133" t="n">
        <x:f>-ABS('Monthly Cash Flow'!$S$5)+((L878-N878-'Assumptions'!$B$27-'Assumptions'!$B$28)*(1-(1+'Assumptions'!$B$43)^-('Assumptions'!$B$14/12))/'Assumptions'!$B$43)+(O878/(1+'Assumptions'!$B$43)^('Assumptions'!$B$14/12))</x:f>
        <x:v>878340.9634859466</x:v>
      </x:c>
    </x:row>
    <x:row r="879">
      <x:c r="A879" s="131" t="n">
        <x:f>872</x:f>
        <x:v>872</x:v>
      </x:c>
      <x:c r="B879" s="131" t="n">
        <x:f>MOD(ABS(SIN((A879+1)*12.9898+78.233)*43758.5453),1)</x:f>
        <x:v>0.11724979698919924</x:v>
      </x:c>
      <x:c r="C879" s="131" t="n">
        <x:f>MOD(ABS(SIN((A879+2)*12.9898+78.233)*43758.5453),1)</x:f>
        <x:v>0.06689131024904782</x:v>
      </x:c>
      <x:c r="D879" s="131" t="n">
        <x:f>MOD(ABS(SIN((A879+3)*12.9898+78.233)*43758.5453),1)</x:f>
        <x:v>0.9258856914711941</x:v>
      </x:c>
      <x:c r="E879" s="131" t="n">
        <x:f>MOD(ABS(SIN((A879+4)*12.9898+78.233)*43758.5453),1)</x:f>
        <x:v>0.43575286536861313</x:v>
      </x:c>
      <x:c r="F879" s="131" t="n">
        <x:f>MOD(ABS(SIN((A879+5)*12.9898+78.233)*43758.5453),1)</x:f>
        <x:v>0.4078862516598747</x:v>
      </x:c>
      <x:c r="G879" s="132" t="n">
        <x:f>IF(B879&lt;(('Assumptions'!$C$47-'Assumptions'!$B$47)/('Assumptions'!$D$47-'Assumptions'!$B$47)),'Assumptions'!$B$47+SQRT(B879*('Assumptions'!$D$47-'Assumptions'!$B$47)*('Assumptions'!$C$47-'Assumptions'!$B$47)),'Assumptions'!$D$47-SQRT((1-B879)*('Assumptions'!$D$47-'Assumptions'!$B$47)*('Assumptions'!$D$47-'Assumptions'!$C$47)))</x:f>
        <x:v>-0.04695289708437621</x:v>
      </x:c>
      <x:c r="H879" s="132" t="n">
        <x:f>IF(C879&lt;(('Assumptions'!$C$48-'Assumptions'!$B$48)/('Assumptions'!$D$48-'Assumptions'!$B$48)),'Assumptions'!$B$48+SQRT(C879*('Assumptions'!$D$48-'Assumptions'!$B$48)*('Assumptions'!$C$48-'Assumptions'!$B$48)),'Assumptions'!$D$48-SQRT((1-C879)*('Assumptions'!$D$48-'Assumptions'!$B$48)*('Assumptions'!$D$48-'Assumptions'!$C$48)))</x:f>
        <x:v>0.04485736597859317</x:v>
      </x:c>
      <x:c r="I879" s="132" t="n">
        <x:f>IF(D879&lt;(('Assumptions'!$C$49-'Assumptions'!$B$49)/('Assumptions'!$D$49-'Assumptions'!$B$49)),'Assumptions'!$B$49+SQRT(D879*('Assumptions'!$D$49-'Assumptions'!$B$49)*('Assumptions'!$C$49-'Assumptions'!$B$49)),'Assumptions'!$D$49-SQRT((1-D879)*('Assumptions'!$D$49-'Assumptions'!$B$49)*('Assumptions'!$D$49-'Assumptions'!$C$49)))</x:f>
        <x:v>0.10998913817196376</x:v>
      </x:c>
      <x:c r="J879" s="132" t="n">
        <x:f>IF(E879&lt;(('Assumptions'!$C$50-'Assumptions'!$B$50)/('Assumptions'!$D$50-'Assumptions'!$B$50)),'Assumptions'!$B$50+SQRT(E879*('Assumptions'!$D$50-'Assumptions'!$B$50)*('Assumptions'!$C$50-'Assumptions'!$B$50)),'Assumptions'!$D$50-SQRT((1-E879)*('Assumptions'!$D$50-'Assumptions'!$B$50)*('Assumptions'!$D$50-'Assumptions'!$C$50)))</x:f>
        <x:v>0.0674017369540873</x:v>
      </x:c>
      <x:c r="K879" s="132" t="n">
        <x:f>IF(F879&lt;(('Assumptions'!$C$51-'Assumptions'!$B$51)/('Assumptions'!$D$51-'Assumptions'!$B$51)),'Assumptions'!$B$51+SQRT(F879*('Assumptions'!$D$51-'Assumptions'!$B$51)*('Assumptions'!$C$51-'Assumptions'!$B$51)),'Assumptions'!$D$51-SQRT((1-F879)*('Assumptions'!$D$51-'Assumptions'!$B$51)*('Assumptions'!$D$51-'Assumptions'!$C$51)))</x:f>
        <x:v>0.06811939748146752</x:v>
      </x:c>
      <x:c r="L879" s="133" t="n">
        <x:f>(('Assumptions'!$B$17*(1+G879)+'Assumptions'!$B$18)*(1-H879-'Assumptions'!$B$20)-SUM('Assumptions'!$B$21:$B$25)*(1+I879))-(('Assumptions'!$B$17*(1+G879)+'Assumptions'!$B$18)*(1-H879-'Assumptions'!$B$20)*'Assumptions'!$B$26)</x:f>
        <x:v>187777.97254840969</x:v>
      </x:c>
      <x:c r="M879" s="133" t="n">
        <x:f>'Assumptions'!$B$10*'Assumptions'!$B$33</x:f>
        <x:v>1950000</x:v>
      </x:c>
      <x:c r="N879" s="133" t="n">
        <x:f>-PMT(K879/12,'Assumptions'!$B$35*12,M879)*12</x:f>
        <x:v>152736.64564875822</x:v>
      </x:c>
      <x:c r="O879" s="133" t="n">
        <x:f>(L879*(1+'Assumptions'!$B$29)^('Assumptions'!$B$14/12)/J879)*(1-'Assumptions'!$B$42)-'Debt Schedule'!$F$9</x:f>
        <x:v>3035900.503890212</x:v>
      </x:c>
      <x:c r="P879" s="132" t="n">
        <x:f>((O879+(L879-N879-'Assumptions'!$B$27-'Assumptions'!$B$28)*('Assumptions'!$B$14/12))/ABS('Monthly Cash Flow'!$S$5))^(1/('Assumptions'!$B$14/12))-1</x:f>
        <x:v>0.18392674313677637</x:v>
      </x:c>
      <x:c r="Q879" s="133" t="n">
        <x:f>-ABS('Monthly Cash Flow'!$S$5)+((L879-N879-'Assumptions'!$B$27-'Assumptions'!$B$28)*(1-(1+'Assumptions'!$B$43)^-('Assumptions'!$B$14/12))/'Assumptions'!$B$43)+(O879/(1+'Assumptions'!$B$43)^('Assumptions'!$B$14/12))</x:f>
        <x:v>571758.0851688429</x:v>
      </x:c>
    </x:row>
    <x:row r="880">
      <x:c r="A880" s="131" t="n">
        <x:f>873</x:f>
        <x:v>873</x:v>
      </x:c>
      <x:c r="B880" s="131" t="n">
        <x:f>MOD(ABS(SIN((A880+1)*12.9898+78.233)*43758.5453),1)</x:f>
        <x:v>0.06689131024904782</x:v>
      </x:c>
      <x:c r="C880" s="131" t="n">
        <x:f>MOD(ABS(SIN((A880+2)*12.9898+78.233)*43758.5453),1)</x:f>
        <x:v>0.9258856914711941</x:v>
      </x:c>
      <x:c r="D880" s="131" t="n">
        <x:f>MOD(ABS(SIN((A880+3)*12.9898+78.233)*43758.5453),1)</x:f>
        <x:v>0.43575286536861313</x:v>
      </x:c>
      <x:c r="E880" s="131" t="n">
        <x:f>MOD(ABS(SIN((A880+4)*12.9898+78.233)*43758.5453),1)</x:f>
        <x:v>0.4078862516598747</x:v>
      </x:c>
      <x:c r="F880" s="131" t="n">
        <x:f>MOD(ABS(SIN((A880+5)*12.9898+78.233)*43758.5453),1)</x:f>
        <x:v>0.08288874712889083</x:v>
      </x:c>
      <x:c r="G880" s="132" t="n">
        <x:f>IF(B880&lt;(('Assumptions'!$C$47-'Assumptions'!$B$47)/('Assumptions'!$D$47-'Assumptions'!$B$47)),'Assumptions'!$B$47+SQRT(B880*('Assumptions'!$D$47-'Assumptions'!$B$47)*('Assumptions'!$C$47-'Assumptions'!$B$47)),'Assumptions'!$D$47-SQRT((1-B880)*('Assumptions'!$D$47-'Assumptions'!$B$47)*('Assumptions'!$D$47-'Assumptions'!$C$47)))</x:f>
        <x:v>-0.059932663602665734</x:v>
      </x:c>
      <x:c r="H880" s="132" t="n">
        <x:f>IF(C880&lt;(('Assumptions'!$C$48-'Assumptions'!$B$48)/('Assumptions'!$D$48-'Assumptions'!$B$48)),'Assumptions'!$B$48+SQRT(C880*('Assumptions'!$D$48-'Assumptions'!$B$48)*('Assumptions'!$C$48-'Assumptions'!$B$48)),'Assumptions'!$D$48-SQRT((1-C880)*('Assumptions'!$D$48-'Assumptions'!$B$48)*('Assumptions'!$D$48-'Assumptions'!$C$48)))</x:f>
        <x:v>0.11446167752076321</x:v>
      </x:c>
      <x:c r="I880" s="132" t="n">
        <x:f>IF(D880&lt;(('Assumptions'!$C$49-'Assumptions'!$B$49)/('Assumptions'!$D$49-'Assumptions'!$B$49)),'Assumptions'!$B$49+SQRT(D880*('Assumptions'!$D$49-'Assumptions'!$B$49)*('Assumptions'!$C$49-'Assumptions'!$B$49)),'Assumptions'!$D$49-SQRT((1-D880)*('Assumptions'!$D$49-'Assumptions'!$B$49)*('Assumptions'!$D$49-'Assumptions'!$C$49)))</x:f>
        <x:v>0.03960191075911705</x:v>
      </x:c>
      <x:c r="J880" s="132" t="n">
        <x:f>IF(E880&lt;(('Assumptions'!$C$50-'Assumptions'!$B$50)/('Assumptions'!$D$50-'Assumptions'!$B$50)),'Assumptions'!$B$50+SQRT(E880*('Assumptions'!$D$50-'Assumptions'!$B$50)*('Assumptions'!$C$50-'Assumptions'!$B$50)),'Assumptions'!$D$50-SQRT((1-E880)*('Assumptions'!$D$50-'Assumptions'!$B$50)*('Assumptions'!$D$50-'Assumptions'!$C$50)))</x:f>
        <x:v>0.06707989596099415</x:v>
      </x:c>
      <x:c r="K880" s="132" t="n">
        <x:f>IF(F880&lt;(('Assumptions'!$C$51-'Assumptions'!$B$51)/('Assumptions'!$D$51-'Assumptions'!$B$51)),'Assumptions'!$B$51+SQRT(F880*('Assumptions'!$D$51-'Assumptions'!$B$51)*('Assumptions'!$C$51-'Assumptions'!$B$51)),'Assumptions'!$D$51-SQRT((1-F880)*('Assumptions'!$D$51-'Assumptions'!$B$51)*('Assumptions'!$D$51-'Assumptions'!$C$51)))</x:f>
        <x:v>0.06227434869489494</x:v>
      </x:c>
      <x:c r="L880" s="133" t="n">
        <x:f>(('Assumptions'!$B$17*(1+G880)+'Assumptions'!$B$18)*(1-H880-'Assumptions'!$B$20)-SUM('Assumptions'!$B$21:$B$25)*(1+I880))-(('Assumptions'!$B$17*(1+G880)+'Assumptions'!$B$18)*(1-H880-'Assumptions'!$B$20)*'Assumptions'!$B$26)</x:f>
        <x:v>168590.7181047906</x:v>
      </x:c>
      <x:c r="M880" s="133" t="n">
        <x:f>'Assumptions'!$B$10*'Assumptions'!$B$33</x:f>
        <x:v>1950000</x:v>
      </x:c>
      <x:c r="N880" s="133" t="n">
        <x:f>-PMT(K880/12,'Assumptions'!$B$35*12,M880)*12</x:f>
        <x:v>143734.58296441124</x:v>
      </x:c>
      <x:c r="O880" s="133" t="n">
        <x:f>(L880*(1+'Assumptions'!$B$29)^('Assumptions'!$B$14/12)/J880)*(1-'Assumptions'!$B$42)-'Debt Schedule'!$F$9</x:f>
        <x:v>2738768.0781935197</x:v>
      </x:c>
      <x:c r="P880" s="132" t="n">
        <x:f>((O880+(L880-N880-'Assumptions'!$B$27-'Assumptions'!$B$28)*('Assumptions'!$B$14/12))/ABS('Monthly Cash Flow'!$S$5))^(1/('Assumptions'!$B$14/12))-1</x:f>
        <x:v>0.15519529801212095</x:v>
      </x:c>
      <x:c r="Q880" s="133" t="n">
        <x:f>-ABS('Monthly Cash Flow'!$S$5)+((L880-N880-'Assumptions'!$B$27-'Assumptions'!$B$28)*(1-(1+'Assumptions'!$B$43)^-('Assumptions'!$B$14/12))/'Assumptions'!$B$43)+(O880/(1+'Assumptions'!$B$43)^('Assumptions'!$B$14/12))</x:f>
        <x:v>348652.33611654</x:v>
      </x:c>
    </x:row>
    <x:row r="881">
      <x:c r="A881" s="131" t="n">
        <x:f>874</x:f>
        <x:v>874</x:v>
      </x:c>
      <x:c r="B881" s="131" t="n">
        <x:f>MOD(ABS(SIN((A881+1)*12.9898+78.233)*43758.5453),1)</x:f>
        <x:v>0.9258856914711941</x:v>
      </x:c>
      <x:c r="C881" s="131" t="n">
        <x:f>MOD(ABS(SIN((A881+2)*12.9898+78.233)*43758.5453),1)</x:f>
        <x:v>0.43575286536861313</x:v>
      </x:c>
      <x:c r="D881" s="131" t="n">
        <x:f>MOD(ABS(SIN((A881+3)*12.9898+78.233)*43758.5453),1)</x:f>
        <x:v>0.4078862516598747</x:v>
      </x:c>
      <x:c r="E881" s="131" t="n">
        <x:f>MOD(ABS(SIN((A881+4)*12.9898+78.233)*43758.5453),1)</x:f>
        <x:v>0.08288874712889083</x:v>
      </x:c>
      <x:c r="F881" s="131" t="n">
        <x:f>MOD(ABS(SIN((A881+5)*12.9898+78.233)*43758.5453),1)</x:f>
        <x:v>0.0866081620042678</x:v>
      </x:c>
      <x:c r="G881" s="132" t="n">
        <x:f>IF(B881&lt;(('Assumptions'!$C$47-'Assumptions'!$B$47)/('Assumptions'!$D$47-'Assumptions'!$B$47)),'Assumptions'!$B$47+SQRT(B881*('Assumptions'!$D$47-'Assumptions'!$B$47)*('Assumptions'!$C$47-'Assumptions'!$B$47)),'Assumptions'!$D$47-SQRT((1-B881)*('Assumptions'!$D$47-'Assumptions'!$B$47)*('Assumptions'!$D$47-'Assumptions'!$C$47)))</x:f>
        <x:v>0.06556413299391325</x:v>
      </x:c>
      <x:c r="H881" s="132" t="n">
        <x:f>IF(C881&lt;(('Assumptions'!$C$48-'Assumptions'!$B$48)/('Assumptions'!$D$48-'Assumptions'!$B$48)),'Assumptions'!$B$48+SQRT(C881*('Assumptions'!$D$48-'Assumptions'!$B$48)*('Assumptions'!$C$48-'Assumptions'!$B$48)),'Assumptions'!$D$48-SQRT((1-C881)*('Assumptions'!$D$48-'Assumptions'!$B$48)*('Assumptions'!$D$48-'Assumptions'!$C$48)))</x:f>
        <x:v>0.06953458447751688</x:v>
      </x:c>
      <x:c r="I881" s="132" t="n">
        <x:f>IF(D881&lt;(('Assumptions'!$C$49-'Assumptions'!$B$49)/('Assumptions'!$D$49-'Assumptions'!$B$49)),'Assumptions'!$B$49+SQRT(D881*('Assumptions'!$D$49-'Assumptions'!$B$49)*('Assumptions'!$C$49-'Assumptions'!$B$49)),'Assumptions'!$D$49-SQRT((1-D881)*('Assumptions'!$D$49-'Assumptions'!$B$49)*('Assumptions'!$D$49-'Assumptions'!$C$49)))</x:f>
        <x:v>0.0369086344403486</x:v>
      </x:c>
      <x:c r="J881" s="132" t="n">
        <x:f>IF(E881&lt;(('Assumptions'!$C$50-'Assumptions'!$B$50)/('Assumptions'!$D$50-'Assumptions'!$B$50)),'Assumptions'!$B$50+SQRT(E881*('Assumptions'!$D$50-'Assumptions'!$B$50)*('Assumptions'!$C$50-'Assumptions'!$B$50)),'Assumptions'!$D$50-SQRT((1-E881)*('Assumptions'!$D$50-'Assumptions'!$B$50)*('Assumptions'!$D$50-'Assumptions'!$C$50)))</x:f>
        <x:v>0.06181856088344259</x:v>
      </x:c>
      <x:c r="K881" s="132" t="n">
        <x:f>IF(F881&lt;(('Assumptions'!$C$51-'Assumptions'!$B$51)/('Assumptions'!$D$51-'Assumptions'!$B$51)),'Assumptions'!$B$51+SQRT(F881*('Assumptions'!$D$51-'Assumptions'!$B$51)*('Assumptions'!$C$51-'Assumptions'!$B$51)),'Assumptions'!$D$51-SQRT((1-F881)*('Assumptions'!$D$51-'Assumptions'!$B$51)*('Assumptions'!$D$51-'Assumptions'!$C$51)))</x:f>
        <x:v>0.062380291441212675</x:v>
      </x:c>
      <x:c r="L881" s="133" t="n">
        <x:f>(('Assumptions'!$B$17*(1+G881)+'Assumptions'!$B$18)*(1-H881-'Assumptions'!$B$20)-SUM('Assumptions'!$B$21:$B$25)*(1+I881))-(('Assumptions'!$B$17*(1+G881)+'Assumptions'!$B$18)*(1-H881-'Assumptions'!$B$20)*'Assumptions'!$B$26)</x:f>
        <x:v>224224.7950927332</x:v>
      </x:c>
      <x:c r="M881" s="133" t="n">
        <x:f>'Assumptions'!$B$10*'Assumptions'!$B$33</x:f>
        <x:v>1950000</x:v>
      </x:c>
      <x:c r="N881" s="133" t="n">
        <x:f>-PMT(K881/12,'Assumptions'!$B$35*12,M881)*12</x:f>
        <x:v>143895.69045650726</x:v>
      </x:c>
      <x:c r="O881" s="133" t="n">
        <x:f>(L881*(1+'Assumptions'!$B$29)^('Assumptions'!$B$14/12)/J881)*(1-'Assumptions'!$B$42)-'Debt Schedule'!$F$9</x:f>
        <x:v>3952562.2849901295</x:v>
      </x:c>
      <x:c r="P881" s="132" t="n">
        <x:f>((O881+(L881-N881-'Assumptions'!$B$27-'Assumptions'!$B$28)*('Assumptions'!$B$14/12))/ABS('Monthly Cash Flow'!$S$5))^(1/('Assumptions'!$B$14/12))-1</x:f>
        <x:v>0.26263328138185993</x:v>
      </x:c>
      <x:c r="Q881" s="133" t="n">
        <x:f>-ABS('Monthly Cash Flow'!$S$5)+((L881-N881-'Assumptions'!$B$27-'Assumptions'!$B$28)*(1-(1+'Assumptions'!$B$43)^-('Assumptions'!$B$14/12))/'Assumptions'!$B$43)+(O881/(1+'Assumptions'!$B$43)^('Assumptions'!$B$14/12))</x:f>
        <x:v>1312609.239746882</x:v>
      </x:c>
    </x:row>
    <x:row r="882">
      <x:c r="A882" s="131" t="n">
        <x:f>875</x:f>
        <x:v>875</x:v>
      </x:c>
      <x:c r="B882" s="131" t="n">
        <x:f>MOD(ABS(SIN((A882+1)*12.9898+78.233)*43758.5453),1)</x:f>
        <x:v>0.43575286536861313</x:v>
      </x:c>
      <x:c r="C882" s="131" t="n">
        <x:f>MOD(ABS(SIN((A882+2)*12.9898+78.233)*43758.5453),1)</x:f>
        <x:v>0.4078862516598747</x:v>
      </x:c>
      <x:c r="D882" s="131" t="n">
        <x:f>MOD(ABS(SIN((A882+3)*12.9898+78.233)*43758.5453),1)</x:f>
        <x:v>0.08288874712889083</x:v>
      </x:c>
      <x:c r="E882" s="131" t="n">
        <x:f>MOD(ABS(SIN((A882+4)*12.9898+78.233)*43758.5453),1)</x:f>
        <x:v>0.0866081620042678</x:v>
      </x:c>
      <x:c r="F882" s="131" t="n">
        <x:f>MOD(ABS(SIN((A882+5)*12.9898+78.233)*43758.5453),1)</x:f>
        <x:v>0.7016722091284464</x:v>
      </x:c>
      <x:c r="G882" s="132" t="n">
        <x:f>IF(B882&lt;(('Assumptions'!$C$47-'Assumptions'!$B$47)/('Assumptions'!$D$47-'Assumptions'!$B$47)),'Assumptions'!$B$47+SQRT(B882*('Assumptions'!$D$47-'Assumptions'!$B$47)*('Assumptions'!$C$47-'Assumptions'!$B$47)),'Assumptions'!$D$47-SQRT((1-B882)*('Assumptions'!$D$47-'Assumptions'!$B$47)*('Assumptions'!$D$47-'Assumptions'!$C$47)))</x:f>
        <x:v>0.0022646995245510643</x:v>
      </x:c>
      <x:c r="H882" s="132" t="n">
        <x:f>IF(C882&lt;(('Assumptions'!$C$48-'Assumptions'!$B$48)/('Assumptions'!$D$48-'Assumptions'!$B$48)),'Assumptions'!$B$48+SQRT(C882*('Assumptions'!$D$48-'Assumptions'!$B$48)*('Assumptions'!$C$48-'Assumptions'!$B$48)),'Assumptions'!$D$48-SQRT((1-C882)*('Assumptions'!$D$48-'Assumptions'!$B$48)*('Assumptions'!$D$48-'Assumptions'!$C$48)))</x:f>
        <x:v>0.06781550730667214</x:v>
      </x:c>
      <x:c r="I882" s="132" t="n">
        <x:f>IF(D882&lt;(('Assumptions'!$C$49-'Assumptions'!$B$49)/('Assumptions'!$D$49-'Assumptions'!$B$49)),'Assumptions'!$B$49+SQRT(D882*('Assumptions'!$D$49-'Assumptions'!$B$49)*('Assumptions'!$C$49-'Assumptions'!$B$49)),'Assumptions'!$D$49-SQRT((1-D882)*('Assumptions'!$D$49-'Assumptions'!$B$49)*('Assumptions'!$D$49-'Assumptions'!$C$49)))</x:f>
        <x:v>-0.00008013253719159688</x:v>
      </x:c>
      <x:c r="J882" s="132" t="n">
        <x:f>IF(E882&lt;(('Assumptions'!$C$50-'Assumptions'!$B$50)/('Assumptions'!$D$50-'Assumptions'!$B$50)),'Assumptions'!$B$50+SQRT(E882*('Assumptions'!$D$50-'Assumptions'!$B$50)*('Assumptions'!$C$50-'Assumptions'!$B$50)),'Assumptions'!$D$50-SQRT((1-E882)*('Assumptions'!$D$50-'Assumptions'!$B$50)*('Assumptions'!$D$50-'Assumptions'!$C$50)))</x:f>
        <x:v>0.06191438970311416</x:v>
      </x:c>
      <x:c r="K882" s="132" t="n">
        <x:f>IF(F882&lt;(('Assumptions'!$C$51-'Assumptions'!$B$51)/('Assumptions'!$D$51-'Assumptions'!$B$51)),'Assumptions'!$B$51+SQRT(F882*('Assumptions'!$D$51-'Assumptions'!$B$51)*('Assumptions'!$C$51-'Assumptions'!$B$51)),'Assumptions'!$D$51-SQRT((1-F882)*('Assumptions'!$D$51-'Assumptions'!$B$51)*('Assumptions'!$D$51-'Assumptions'!$C$51)))</x:f>
        <x:v>0.07301791965654816</x:v>
      </x:c>
      <x:c r="L882" s="133" t="n">
        <x:f>(('Assumptions'!$B$17*(1+G882)+'Assumptions'!$B$18)*(1-H882-'Assumptions'!$B$20)-SUM('Assumptions'!$B$21:$B$25)*(1+I882))-(('Assumptions'!$B$17*(1+G882)+'Assumptions'!$B$18)*(1-H882-'Assumptions'!$B$20)*'Assumptions'!$B$26)</x:f>
        <x:v>209374.18091055227</x:v>
      </x:c>
      <x:c r="M882" s="133" t="n">
        <x:f>'Assumptions'!$B$10*'Assumptions'!$B$33</x:f>
        <x:v>1950000</x:v>
      </x:c>
      <x:c r="N882" s="133" t="n">
        <x:f>-PMT(K882/12,'Assumptions'!$B$35*12,M882)*12</x:f>
        <x:v>160452.09456726836</x:v>
      </x:c>
      <x:c r="O882" s="133" t="n">
        <x:f>(L882*(1+'Assumptions'!$B$29)^('Assumptions'!$B$14/12)/J882)*(1-'Assumptions'!$B$42)-'Debt Schedule'!$F$9</x:f>
        <x:v>3685067.9989902456</x:v>
      </x:c>
      <x:c r="P882" s="132" t="n">
        <x:f>((O882+(L882-N882-'Assumptions'!$B$27-'Assumptions'!$B$28)*('Assumptions'!$B$14/12))/ABS('Monthly Cash Flow'!$S$5))^(1/('Assumptions'!$B$14/12))-1</x:f>
        <x:v>0.23570233361745307</x:v>
      </x:c>
      <x:c r="Q882" s="133" t="n">
        <x:f>-ABS('Monthly Cash Flow'!$S$5)+((L882-N882-'Assumptions'!$B$27-'Assumptions'!$B$28)*(1-(1+'Assumptions'!$B$43)^-('Assumptions'!$B$14/12))/'Assumptions'!$B$43)+(O882/(1+'Assumptions'!$B$43)^('Assumptions'!$B$14/12))</x:f>
        <x:v>1027459.0243616165</x:v>
      </x:c>
    </x:row>
    <x:row r="883">
      <x:c r="A883" s="131" t="n">
        <x:f>876</x:f>
        <x:v>876</x:v>
      </x:c>
      <x:c r="B883" s="131" t="n">
        <x:f>MOD(ABS(SIN((A883+1)*12.9898+78.233)*43758.5453),1)</x:f>
        <x:v>0.4078862516598747</x:v>
      </x:c>
      <x:c r="C883" s="131" t="n">
        <x:f>MOD(ABS(SIN((A883+2)*12.9898+78.233)*43758.5453),1)</x:f>
        <x:v>0.08288874712889083</x:v>
      </x:c>
      <x:c r="D883" s="131" t="n">
        <x:f>MOD(ABS(SIN((A883+3)*12.9898+78.233)*43758.5453),1)</x:f>
        <x:v>0.0866081620042678</x:v>
      </x:c>
      <x:c r="E883" s="131" t="n">
        <x:f>MOD(ABS(SIN((A883+4)*12.9898+78.233)*43758.5453),1)</x:f>
        <x:v>0.7016722091284464</x:v>
      </x:c>
      <x:c r="F883" s="131" t="n">
        <x:f>MOD(ABS(SIN((A883+5)*12.9898+78.233)*43758.5453),1)</x:f>
        <x:v>0.2977637301082723</x:v>
      </x:c>
      <x:c r="G883" s="132" t="n">
        <x:f>IF(B883&lt;(('Assumptions'!$C$47-'Assumptions'!$B$47)/('Assumptions'!$D$47-'Assumptions'!$B$47)),'Assumptions'!$B$47+SQRT(B883*('Assumptions'!$D$47-'Assumptions'!$B$47)*('Assumptions'!$C$47-'Assumptions'!$B$47)),'Assumptions'!$D$47-SQRT((1-B883)*('Assumptions'!$D$47-'Assumptions'!$B$47)*('Assumptions'!$D$47-'Assumptions'!$C$47)))</x:f>
        <x:v>-0.0010592599591200125</x:v>
      </x:c>
      <x:c r="H883" s="132" t="n">
        <x:f>IF(C883&lt;(('Assumptions'!$C$48-'Assumptions'!$B$48)/('Assumptions'!$D$48-'Assumptions'!$B$48)),'Assumptions'!$B$48+SQRT(C883*('Assumptions'!$D$48-'Assumptions'!$B$48)*('Assumptions'!$C$48-'Assumptions'!$B$48)),'Assumptions'!$D$48-SQRT((1-C883)*('Assumptions'!$D$48-'Assumptions'!$B$48)*('Assumptions'!$D$48-'Assumptions'!$C$48)))</x:f>
        <x:v>0.046538829025216374</x:v>
      </x:c>
      <x:c r="I883" s="132" t="n">
        <x:f>IF(D883&lt;(('Assumptions'!$C$49-'Assumptions'!$B$49)/('Assumptions'!$D$49-'Assumptions'!$B$49)),'Assumptions'!$B$49+SQRT(D883*('Assumptions'!$D$49-'Assumptions'!$B$49)*('Assumptions'!$C$49-'Assumptions'!$B$49)),'Assumptions'!$D$49-SQRT((1-D883)*('Assumptions'!$D$49-'Assumptions'!$B$49)*('Assumptions'!$D$49-'Assumptions'!$C$49)))</x:f>
        <x:v>0.0005837890008104155</x:v>
      </x:c>
      <x:c r="J883" s="132" t="n">
        <x:f>IF(E883&lt;(('Assumptions'!$C$50-'Assumptions'!$B$50)/('Assumptions'!$D$50-'Assumptions'!$B$50)),'Assumptions'!$B$50+SQRT(E883*('Assumptions'!$D$50-'Assumptions'!$B$50)*('Assumptions'!$C$50-'Assumptions'!$B$50)),'Assumptions'!$D$50-SQRT((1-E883)*('Assumptions'!$D$50-'Assumptions'!$B$50)*('Assumptions'!$D$50-'Assumptions'!$C$50)))</x:f>
        <x:v>0.07084004960806968</x:v>
      </x:c>
      <x:c r="K883" s="132" t="n">
        <x:f>IF(F883&lt;(('Assumptions'!$C$51-'Assumptions'!$B$51)/('Assumptions'!$D$51-'Assumptions'!$B$51)),'Assumptions'!$B$51+SQRT(F883*('Assumptions'!$D$51-'Assumptions'!$B$51)*('Assumptions'!$C$51-'Assumptions'!$B$51)),'Assumptions'!$D$51-SQRT((1-F883)*('Assumptions'!$D$51-'Assumptions'!$B$51)*('Assumptions'!$D$51-'Assumptions'!$C$51)))</x:f>
        <x:v>0.06654903452196835</x:v>
      </x:c>
      <x:c r="L883" s="133" t="n">
        <x:f>(('Assumptions'!$B$17*(1+G883)+'Assumptions'!$B$18)*(1-H883-'Assumptions'!$B$20)-SUM('Assumptions'!$B$21:$B$25)*(1+I883))-(('Assumptions'!$B$17*(1+G883)+'Assumptions'!$B$18)*(1-H883-'Assumptions'!$B$20)*'Assumptions'!$B$26)</x:f>
        <x:v>215944.2498155602</x:v>
      </x:c>
      <x:c r="M883" s="133" t="n">
        <x:f>'Assumptions'!$B$10*'Assumptions'!$B$33</x:f>
        <x:v>1950000</x:v>
      </x:c>
      <x:c r="N883" s="133" t="n">
        <x:f>-PMT(K883/12,'Assumptions'!$B$35*12,M883)*12</x:f>
        <x:v>150295.7369026217</x:v>
      </x:c>
      <x:c r="O883" s="133" t="n">
        <x:f>(L883*(1+'Assumptions'!$B$29)^('Assumptions'!$B$14/12)/J883)*(1-'Assumptions'!$B$42)-'Debt Schedule'!$F$9</x:f>
        <x:v>3321825.1171328225</x:v>
      </x:c>
      <x:c r="P883" s="132" t="n">
        <x:f>((O883+(L883-N883-'Assumptions'!$B$27-'Assumptions'!$B$28)*('Assumptions'!$B$14/12))/ABS('Monthly Cash Flow'!$S$5))^(1/('Assumptions'!$B$14/12))-1</x:f>
        <x:v>0.2165924361785727</x:v>
      </x:c>
      <x:c r="Q883" s="133" t="n">
        <x:f>-ABS('Monthly Cash Flow'!$S$5)+((L883-N883-'Assumptions'!$B$27-'Assumptions'!$B$28)*(1-(1+'Assumptions'!$B$43)^-('Assumptions'!$B$14/12))/'Assumptions'!$B$43)+(O883/(1+'Assumptions'!$B$43)^('Assumptions'!$B$14/12))</x:f>
        <x:v>865320.0901066137</x:v>
      </x:c>
    </x:row>
    <x:row r="884">
      <x:c r="A884" s="131" t="n">
        <x:f>877</x:f>
        <x:v>877</x:v>
      </x:c>
      <x:c r="B884" s="131" t="n">
        <x:f>MOD(ABS(SIN((A884+1)*12.9898+78.233)*43758.5453),1)</x:f>
        <x:v>0.08288874712889083</x:v>
      </x:c>
      <x:c r="C884" s="131" t="n">
        <x:f>MOD(ABS(SIN((A884+2)*12.9898+78.233)*43758.5453),1)</x:f>
        <x:v>0.0866081620042678</x:v>
      </x:c>
      <x:c r="D884" s="131" t="n">
        <x:f>MOD(ABS(SIN((A884+3)*12.9898+78.233)*43758.5453),1)</x:f>
        <x:v>0.7016722091284464</x:v>
      </x:c>
      <x:c r="E884" s="131" t="n">
        <x:f>MOD(ABS(SIN((A884+4)*12.9898+78.233)*43758.5453),1)</x:f>
        <x:v>0.2977637301082723</x:v>
      </x:c>
      <x:c r="F884" s="131" t="n">
        <x:f>MOD(ABS(SIN((A884+5)*12.9898+78.233)*43758.5453),1)</x:f>
        <x:v>0.7114849601639435</x:v>
      </x:c>
      <x:c r="G884" s="132" t="n">
        <x:f>IF(B884&lt;(('Assumptions'!$C$47-'Assumptions'!$B$47)/('Assumptions'!$D$47-'Assumptions'!$B$47)),'Assumptions'!$B$47+SQRT(B884*('Assumptions'!$D$47-'Assumptions'!$B$47)*('Assumptions'!$C$47-'Assumptions'!$B$47)),'Assumptions'!$D$47-SQRT((1-B884)*('Assumptions'!$D$47-'Assumptions'!$B$47)*('Assumptions'!$D$47-'Assumptions'!$C$47)))</x:f>
        <x:v>-0.05539809498358417</x:v>
      </x:c>
      <x:c r="H884" s="132" t="n">
        <x:f>IF(C884&lt;(('Assumptions'!$C$48-'Assumptions'!$B$48)/('Assumptions'!$D$48-'Assumptions'!$B$48)),'Assumptions'!$B$48+SQRT(C884*('Assumptions'!$D$48-'Assumptions'!$B$48)*('Assumptions'!$C$48-'Assumptions'!$B$48)),'Assumptions'!$D$48-SQRT((1-C884)*('Assumptions'!$D$48-'Assumptions'!$B$48)*('Assumptions'!$D$48-'Assumptions'!$C$48)))</x:f>
        <x:v>0.04690582546384777</x:v>
      </x:c>
      <x:c r="I884" s="132" t="n">
        <x:f>IF(D884&lt;(('Assumptions'!$C$49-'Assumptions'!$B$49)/('Assumptions'!$D$49-'Assumptions'!$B$49)),'Assumptions'!$B$49+SQRT(D884*('Assumptions'!$D$49-'Assumptions'!$B$49)*('Assumptions'!$C$49-'Assumptions'!$B$49)),'Assumptions'!$D$49-SQRT((1-D884)*('Assumptions'!$D$49-'Assumptions'!$B$49)*('Assumptions'!$D$49-'Assumptions'!$C$49)))</x:f>
        <x:v>0.06972621671538361</x:v>
      </x:c>
      <x:c r="J884" s="132" t="n">
        <x:f>IF(E884&lt;(('Assumptions'!$C$50-'Assumptions'!$B$50)/('Assumptions'!$D$50-'Assumptions'!$B$50)),'Assumptions'!$B$50+SQRT(E884*('Assumptions'!$D$50-'Assumptions'!$B$50)*('Assumptions'!$C$50-'Assumptions'!$B$50)),'Assumptions'!$D$50-SQRT((1-E884)*('Assumptions'!$D$50-'Assumptions'!$B$50)*('Assumptions'!$D$50-'Assumptions'!$C$50)))</x:f>
        <x:v>0.06568515969754783</x:v>
      </x:c>
      <x:c r="K884" s="132" t="n">
        <x:f>IF(F884&lt;(('Assumptions'!$C$51-'Assumptions'!$B$51)/('Assumptions'!$D$51-'Assumptions'!$B$51)),'Assumptions'!$B$51+SQRT(F884*('Assumptions'!$D$51-'Assumptions'!$B$51)*('Assumptions'!$C$51-'Assumptions'!$B$51)),'Assumptions'!$D$51-SQRT((1-F884)*('Assumptions'!$D$51-'Assumptions'!$B$51)*('Assumptions'!$D$51-'Assumptions'!$C$51)))</x:f>
        <x:v>0.0732166276931813</x:v>
      </x:c>
      <x:c r="L884" s="133" t="n">
        <x:f>(('Assumptions'!$B$17*(1+G884)+'Assumptions'!$B$18)*(1-H884-'Assumptions'!$B$20)-SUM('Assumptions'!$B$21:$B$25)*(1+I884))-(('Assumptions'!$B$17*(1+G884)+'Assumptions'!$B$18)*(1-H884-'Assumptions'!$B$20)*'Assumptions'!$B$26)</x:f>
        <x:v>189388.4242496455</x:v>
      </x:c>
      <x:c r="M884" s="133" t="n">
        <x:f>'Assumptions'!$B$10*'Assumptions'!$B$33</x:f>
        <x:v>1950000</x:v>
      </x:c>
      <x:c r="N884" s="133" t="n">
        <x:f>-PMT(K884/12,'Assumptions'!$B$35*12,M884)*12</x:f>
        <x:v>160768.22822075573</x:v>
      </x:c>
      <x:c r="O884" s="133" t="n">
        <x:f>(L884*(1+'Assumptions'!$B$29)^('Assumptions'!$B$14/12)/J884)*(1-'Assumptions'!$B$42)-'Debt Schedule'!$F$9</x:f>
        <x:v>3141956.3527458315</x:v>
      </x:c>
      <x:c r="P884" s="132" t="n">
        <x:f>((O884+(L884-N884-'Assumptions'!$B$27-'Assumptions'!$B$28)*('Assumptions'!$B$14/12))/ABS('Monthly Cash Flow'!$S$5))^(1/('Assumptions'!$B$14/12))-1</x:f>
        <x:v>0.1896856877283044</x:v>
      </x:c>
      <x:c r="Q884" s="133" t="n">
        <x:f>-ABS('Monthly Cash Flow'!$S$5)+((L884-N884-'Assumptions'!$B$27-'Assumptions'!$B$28)*(1-(1+'Assumptions'!$B$43)^-('Assumptions'!$B$14/12))/'Assumptions'!$B$43)+(O884/(1+'Assumptions'!$B$43)^('Assumptions'!$B$14/12))</x:f>
        <x:v>613269.2852089123</x:v>
      </x:c>
    </x:row>
    <x:row r="885">
      <x:c r="A885" s="131" t="n">
        <x:f>878</x:f>
        <x:v>878</x:v>
      </x:c>
      <x:c r="B885" s="131" t="n">
        <x:f>MOD(ABS(SIN((A885+1)*12.9898+78.233)*43758.5453),1)</x:f>
        <x:v>0.0866081620042678</x:v>
      </x:c>
      <x:c r="C885" s="131" t="n">
        <x:f>MOD(ABS(SIN((A885+2)*12.9898+78.233)*43758.5453),1)</x:f>
        <x:v>0.7016722091284464</x:v>
      </x:c>
      <x:c r="D885" s="131" t="n">
        <x:f>MOD(ABS(SIN((A885+3)*12.9898+78.233)*43758.5453),1)</x:f>
        <x:v>0.2977637301082723</x:v>
      </x:c>
      <x:c r="E885" s="131" t="n">
        <x:f>MOD(ABS(SIN((A885+4)*12.9898+78.233)*43758.5453),1)</x:f>
        <x:v>0.7114849601639435</x:v>
      </x:c>
      <x:c r="F885" s="131" t="n">
        <x:f>MOD(ABS(SIN((A885+5)*12.9898+78.233)*43758.5453),1)</x:f>
        <x:v>0.6209915686795284</x:v>
      </x:c>
      <x:c r="G885" s="132" t="n">
        <x:f>IF(B885&lt;(('Assumptions'!$C$47-'Assumptions'!$B$47)/('Assumptions'!$D$47-'Assumptions'!$B$47)),'Assumptions'!$B$47+SQRT(B885*('Assumptions'!$D$47-'Assumptions'!$B$47)*('Assumptions'!$C$47-'Assumptions'!$B$47)),'Assumptions'!$D$47-SQRT((1-B885)*('Assumptions'!$D$47-'Assumptions'!$B$47)*('Assumptions'!$D$47-'Assumptions'!$C$47)))</x:f>
        <x:v>-0.054408379189785035</x:v>
      </x:c>
      <x:c r="H885" s="132" t="n">
        <x:f>IF(C885&lt;(('Assumptions'!$C$48-'Assumptions'!$B$48)/('Assumptions'!$D$48-'Assumptions'!$B$48)),'Assumptions'!$B$48+SQRT(C885*('Assumptions'!$D$48-'Assumptions'!$B$48)*('Assumptions'!$C$48-'Assumptions'!$B$48)),'Assumptions'!$D$48-SQRT((1-C885)*('Assumptions'!$D$48-'Assumptions'!$B$48)*('Assumptions'!$D$48-'Assumptions'!$C$48)))</x:f>
        <x:v>0.08876246922743378</x:v>
      </x:c>
      <x:c r="I885" s="132" t="n">
        <x:f>IF(D885&lt;(('Assumptions'!$C$49-'Assumptions'!$B$49)/('Assumptions'!$D$49-'Assumptions'!$B$49)),'Assumptions'!$B$49+SQRT(D885*('Assumptions'!$D$49-'Assumptions'!$B$49)*('Assumptions'!$C$49-'Assumptions'!$B$49)),'Assumptions'!$D$49-SQRT((1-D885)*('Assumptions'!$D$49-'Assumptions'!$B$49)*('Assumptions'!$D$49-'Assumptions'!$C$49)))</x:f>
        <x:v>0.026708449856871777</x:v>
      </x:c>
      <x:c r="J885" s="132" t="n">
        <x:f>IF(E885&lt;(('Assumptions'!$C$50-'Assumptions'!$B$50)/('Assumptions'!$D$50-'Assumptions'!$B$50)),'Assumptions'!$B$50+SQRT(E885*('Assumptions'!$D$50-'Assumptions'!$B$50)*('Assumptions'!$C$50-'Assumptions'!$B$50)),'Assumptions'!$D$50-SQRT((1-E885)*('Assumptions'!$D$50-'Assumptions'!$B$50)*('Assumptions'!$D$50-'Assumptions'!$C$50)))</x:f>
        <x:v>0.07099195609724893</x:v>
      </x:c>
      <x:c r="K885" s="132" t="n">
        <x:f>IF(F885&lt;(('Assumptions'!$C$51-'Assumptions'!$B$51)/('Assumptions'!$D$51-'Assumptions'!$B$51)),'Assumptions'!$B$51+SQRT(F885*('Assumptions'!$D$51-'Assumptions'!$B$51)*('Assumptions'!$C$51-'Assumptions'!$B$51)),'Assumptions'!$D$51-SQRT((1-F885)*('Assumptions'!$D$51-'Assumptions'!$B$51)*('Assumptions'!$D$51-'Assumptions'!$C$51)))</x:f>
        <x:v>0.07149452675494203</x:v>
      </x:c>
      <x:c r="L885" s="133" t="n">
        <x:f>(('Assumptions'!$B$17*(1+G885)+'Assumptions'!$B$18)*(1-H885-'Assumptions'!$B$20)-SUM('Assumptions'!$B$21:$B$25)*(1+I885))-(('Assumptions'!$B$17*(1+G885)+'Assumptions'!$B$18)*(1-H885-'Assumptions'!$B$20)*'Assumptions'!$B$26)</x:f>
        <x:v>180729.3582673473</x:v>
      </x:c>
      <x:c r="M885" s="133" t="n">
        <x:f>'Assumptions'!$B$10*'Assumptions'!$B$33</x:f>
        <x:v>1950000</x:v>
      </x:c>
      <x:c r="N885" s="133" t="n">
        <x:f>-PMT(K885/12,'Assumptions'!$B$35*12,M885)*12</x:f>
        <x:v>158036.52801743633</x:v>
      </x:c>
      <x:c r="O885" s="133" t="n">
        <x:f>(L885*(1+'Assumptions'!$B$29)^('Assumptions'!$B$14/12)/J885)*(1-'Assumptions'!$B$42)-'Debt Schedule'!$F$9</x:f>
        <x:v>2774173.0015746295</x:v>
      </x:c>
      <x:c r="P885" s="132" t="n">
        <x:f>((O885+(L885-N885-'Assumptions'!$B$27-'Assumptions'!$B$28)*('Assumptions'!$B$14/12))/ABS('Monthly Cash Flow'!$S$5))^(1/('Assumptions'!$B$14/12))-1</x:f>
        <x:v>0.1573206871982198</x:v>
      </x:c>
      <x:c r="Q885" s="133" t="n">
        <x:f>-ABS('Monthly Cash Flow'!$S$5)+((L885-N885-'Assumptions'!$B$27-'Assumptions'!$B$28)*(1-(1+'Assumptions'!$B$43)^-('Assumptions'!$B$14/12))/'Assumptions'!$B$43)+(O885/(1+'Assumptions'!$B$43)^('Assumptions'!$B$14/12))</x:f>
        <x:v>362435.38042816264</x:v>
      </x:c>
    </x:row>
    <x:row r="886">
      <x:c r="A886" s="131" t="n">
        <x:f>879</x:f>
        <x:v>879</x:v>
      </x:c>
      <x:c r="B886" s="131" t="n">
        <x:f>MOD(ABS(SIN((A886+1)*12.9898+78.233)*43758.5453),1)</x:f>
        <x:v>0.7016722091284464</x:v>
      </x:c>
      <x:c r="C886" s="131" t="n">
        <x:f>MOD(ABS(SIN((A886+2)*12.9898+78.233)*43758.5453),1)</x:f>
        <x:v>0.2977637301082723</x:v>
      </x:c>
      <x:c r="D886" s="131" t="n">
        <x:f>MOD(ABS(SIN((A886+3)*12.9898+78.233)*43758.5453),1)</x:f>
        <x:v>0.7114849601639435</x:v>
      </x:c>
      <x:c r="E886" s="131" t="n">
        <x:f>MOD(ABS(SIN((A886+4)*12.9898+78.233)*43758.5453),1)</x:f>
        <x:v>0.6209915686795284</x:v>
      </x:c>
      <x:c r="F886" s="131" t="n">
        <x:f>MOD(ABS(SIN((A886+5)*12.9898+78.233)*43758.5453),1)</x:f>
        <x:v>0.5992614963861342</x:v>
      </x:c>
      <x:c r="G886" s="132" t="n">
        <x:f>IF(B886&lt;(('Assumptions'!$C$47-'Assumptions'!$B$47)/('Assumptions'!$D$47-'Assumptions'!$B$47)),'Assumptions'!$B$47+SQRT(B886*('Assumptions'!$D$47-'Assumptions'!$B$47)*('Assumptions'!$C$47-'Assumptions'!$B$47)),'Assumptions'!$D$47-SQRT((1-B886)*('Assumptions'!$D$47-'Assumptions'!$B$47)*('Assumptions'!$D$47-'Assumptions'!$C$47)))</x:f>
        <x:v>0.03091132760035943</x:v>
      </x:c>
      <x:c r="H886" s="132" t="n">
        <x:f>IF(C886&lt;(('Assumptions'!$C$48-'Assumptions'!$B$48)/('Assumptions'!$D$48-'Assumptions'!$B$48)),'Assumptions'!$B$48+SQRT(C886*('Assumptions'!$D$48-'Assumptions'!$B$48)*('Assumptions'!$C$48-'Assumptions'!$B$48)),'Assumptions'!$D$48-SQRT((1-C886)*('Assumptions'!$D$48-'Assumptions'!$B$48)*('Assumptions'!$D$48-'Assumptions'!$C$48)))</x:f>
        <x:v>0.06138906453267966</x:v>
      </x:c>
      <x:c r="I886" s="132" t="n">
        <x:f>IF(D886&lt;(('Assumptions'!$C$49-'Assumptions'!$B$49)/('Assumptions'!$D$49-'Assumptions'!$B$49)),'Assumptions'!$B$49+SQRT(D886*('Assumptions'!$D$49-'Assumptions'!$B$49)*('Assumptions'!$C$49-'Assumptions'!$B$49)),'Assumptions'!$D$49-SQRT((1-D886)*('Assumptions'!$D$49-'Assumptions'!$B$49)*('Assumptions'!$D$49-'Assumptions'!$C$49)))</x:f>
        <x:v>0.07105745848746177</x:v>
      </x:c>
      <x:c r="J886" s="132" t="n">
        <x:f>IF(E886&lt;(('Assumptions'!$C$50-'Assumptions'!$B$50)/('Assumptions'!$D$50-'Assumptions'!$B$50)),'Assumptions'!$B$50+SQRT(E886*('Assumptions'!$D$50-'Assumptions'!$B$50)*('Assumptions'!$C$50-'Assumptions'!$B$50)),'Assumptions'!$D$50-SQRT((1-E886)*('Assumptions'!$D$50-'Assumptions'!$B$50)*('Assumptions'!$D$50-'Assumptions'!$C$50)))</x:f>
        <x:v>0.0696754602374303</x:v>
      </x:c>
      <x:c r="K886" s="132" t="n">
        <x:f>IF(F886&lt;(('Assumptions'!$C$51-'Assumptions'!$B$51)/('Assumptions'!$D$51-'Assumptions'!$B$51)),'Assumptions'!$B$51+SQRT(F886*('Assumptions'!$D$51-'Assumptions'!$B$51)*('Assumptions'!$C$51-'Assumptions'!$B$51)),'Assumptions'!$D$51-SQRT((1-F886)*('Assumptions'!$D$51-'Assumptions'!$B$51)*('Assumptions'!$D$51-'Assumptions'!$C$51)))</x:f>
        <x:v>0.07111276107845145</x:v>
      </x:c>
      <x:c r="L886" s="133" t="n">
        <x:f>(('Assumptions'!$B$17*(1+G886)+'Assumptions'!$B$18)*(1-H886-'Assumptions'!$B$20)-SUM('Assumptions'!$B$21:$B$25)*(1+I886))-(('Assumptions'!$B$17*(1+G886)+'Assumptions'!$B$18)*(1-H886-'Assumptions'!$B$20)*'Assumptions'!$B$26)</x:f>
        <x:v>211941.4051606945</x:v>
      </x:c>
      <x:c r="M886" s="133" t="n">
        <x:f>'Assumptions'!$B$10*'Assumptions'!$B$33</x:f>
        <x:v>1950000</x:v>
      </x:c>
      <x:c r="N886" s="133" t="n">
        <x:f>-PMT(K886/12,'Assumptions'!$B$35*12,M886)*12</x:f>
        <x:v>157433.43742168116</x:v>
      </x:c>
      <x:c r="O886" s="133" t="n">
        <x:f>(L886*(1+'Assumptions'!$B$29)^('Assumptions'!$B$14/12)/J886)*(1-'Assumptions'!$B$42)-'Debt Schedule'!$F$9</x:f>
        <x:v>3314743.5971011096</x:v>
      </x:c>
      <x:c r="P886" s="132" t="n">
        <x:f>((O886+(L886-N886-'Assumptions'!$B$27-'Assumptions'!$B$28)*('Assumptions'!$B$14/12))/ABS('Monthly Cash Flow'!$S$5))^(1/('Assumptions'!$B$14/12))-1</x:f>
        <x:v>0.21213194436828187</x:v>
      </x:c>
      <x:c r="Q886" s="133" t="n">
        <x:f>-ABS('Monthly Cash Flow'!$S$5)+((L886-N886-'Assumptions'!$B$27-'Assumptions'!$B$28)*(1-(1+'Assumptions'!$B$43)^-('Assumptions'!$B$14/12))/'Assumptions'!$B$43)+(O886/(1+'Assumptions'!$B$43)^('Assumptions'!$B$14/12))</x:f>
        <x:v>818691.5920699397</x:v>
      </x:c>
    </x:row>
    <x:row r="887">
      <x:c r="A887" s="131" t="n">
        <x:f>880</x:f>
        <x:v>880</x:v>
      </x:c>
      <x:c r="B887" s="131" t="n">
        <x:f>MOD(ABS(SIN((A887+1)*12.9898+78.233)*43758.5453),1)</x:f>
        <x:v>0.2977637301082723</x:v>
      </x:c>
      <x:c r="C887" s="131" t="n">
        <x:f>MOD(ABS(SIN((A887+2)*12.9898+78.233)*43758.5453),1)</x:f>
        <x:v>0.7114849601639435</x:v>
      </x:c>
      <x:c r="D887" s="131" t="n">
        <x:f>MOD(ABS(SIN((A887+3)*12.9898+78.233)*43758.5453),1)</x:f>
        <x:v>0.6209915686795284</x:v>
      </x:c>
      <x:c r="E887" s="131" t="n">
        <x:f>MOD(ABS(SIN((A887+4)*12.9898+78.233)*43758.5453),1)</x:f>
        <x:v>0.5992614963861342</x:v>
      </x:c>
      <x:c r="F887" s="131" t="n">
        <x:f>MOD(ABS(SIN((A887+5)*12.9898+78.233)*43758.5453),1)</x:f>
        <x:v>0.8145036192508996</x:v>
      </x:c>
      <x:c r="G887" s="132" t="n">
        <x:f>IF(B887&lt;(('Assumptions'!$C$47-'Assumptions'!$B$47)/('Assumptions'!$D$47-'Assumptions'!$B$47)),'Assumptions'!$B$47+SQRT(B887*('Assumptions'!$D$47-'Assumptions'!$B$47)*('Assumptions'!$C$47-'Assumptions'!$B$47)),'Assumptions'!$D$47-SQRT((1-B887)*('Assumptions'!$D$47-'Assumptions'!$B$47)*('Assumptions'!$D$47-'Assumptions'!$C$47)))</x:f>
        <x:v>-0.015464034147597658</x:v>
      </x:c>
      <x:c r="H887" s="132" t="n">
        <x:f>IF(C887&lt;(('Assumptions'!$C$48-'Assumptions'!$B$48)/('Assumptions'!$D$48-'Assumptions'!$B$48)),'Assumptions'!$B$48+SQRT(C887*('Assumptions'!$D$48-'Assumptions'!$B$48)*('Assumptions'!$C$48-'Assumptions'!$B$48)),'Assumptions'!$D$48-SQRT((1-C887)*('Assumptions'!$D$48-'Assumptions'!$B$48)*('Assumptions'!$D$48-'Assumptions'!$C$48)))</x:f>
        <x:v>0.08961218053381058</x:v>
      </x:c>
      <x:c r="I887" s="132" t="n">
        <x:f>IF(D887&lt;(('Assumptions'!$C$49-'Assumptions'!$B$49)/('Assumptions'!$D$49-'Assumptions'!$B$49)),'Assumptions'!$B$49+SQRT(D887*('Assumptions'!$D$49-'Assumptions'!$B$49)*('Assumptions'!$C$49-'Assumptions'!$B$49)),'Assumptions'!$D$49-SQRT((1-D887)*('Assumptions'!$D$49-'Assumptions'!$B$49)*('Assumptions'!$D$49-'Assumptions'!$C$49)))</x:f>
        <x:v>0.059520266818904766</x:v>
      </x:c>
      <x:c r="J887" s="132" t="n">
        <x:f>IF(E887&lt;(('Assumptions'!$C$50-'Assumptions'!$B$50)/('Assumptions'!$D$50-'Assumptions'!$B$50)),'Assumptions'!$B$50+SQRT(E887*('Assumptions'!$D$50-'Assumptions'!$B$50)*('Assumptions'!$C$50-'Assumptions'!$B$50)),'Assumptions'!$D$50-SQRT((1-E887)*('Assumptions'!$D$50-'Assumptions'!$B$50)*('Assumptions'!$D$50-'Assumptions'!$C$50)))</x:f>
        <x:v>0.06938361153021426</x:v>
      </x:c>
      <x:c r="K887" s="132" t="n">
        <x:f>IF(F887&lt;(('Assumptions'!$C$51-'Assumptions'!$B$51)/('Assumptions'!$D$51-'Assumptions'!$B$51)),'Assumptions'!$B$51+SQRT(F887*('Assumptions'!$D$51-'Assumptions'!$B$51)*('Assumptions'!$C$51-'Assumptions'!$B$51)),'Assumptions'!$D$51-SQRT((1-F887)*('Assumptions'!$D$51-'Assumptions'!$B$51)*('Assumptions'!$D$51-'Assumptions'!$C$51)))</x:f>
        <x:v>0.07555171268242204</x:v>
      </x:c>
      <x:c r="L887" s="133" t="n">
        <x:f>(('Assumptions'!$B$17*(1+G887)+'Assumptions'!$B$18)*(1-H887-'Assumptions'!$B$20)-SUM('Assumptions'!$B$21:$B$25)*(1+I887))-(('Assumptions'!$B$17*(1+G887)+'Assumptions'!$B$18)*(1-H887-'Assumptions'!$B$20)*'Assumptions'!$B$26)</x:f>
        <x:v>188421.17247664143</x:v>
      </x:c>
      <x:c r="M887" s="133" t="n">
        <x:f>'Assumptions'!$B$10*'Assumptions'!$B$33</x:f>
        <x:v>1950000</x:v>
      </x:c>
      <x:c r="N887" s="133" t="n">
        <x:f>-PMT(K887/12,'Assumptions'!$B$35*12,M887)*12</x:f>
        <x:v>164501.12212751558</x:v>
      </x:c>
      <x:c r="O887" s="133" t="n">
        <x:f>(L887*(1+'Assumptions'!$B$29)^('Assumptions'!$B$14/12)/J887)*(1-'Assumptions'!$B$42)-'Debt Schedule'!$F$9</x:f>
        <x:v>2959284.8938669586</x:v>
      </x:c>
      <x:c r="P887" s="132" t="n">
        <x:f>((O887+(L887-N887-'Assumptions'!$B$27-'Assumptions'!$B$28)*('Assumptions'!$B$14/12))/ABS('Monthly Cash Flow'!$S$5))^(1/('Assumptions'!$B$14/12))-1</x:f>
        <x:v>0.1733415683007764</x:v>
      </x:c>
      <x:c r="Q887" s="133" t="n">
        <x:f>-ABS('Monthly Cash Flow'!$S$5)+((L887-N887-'Assumptions'!$B$27-'Assumptions'!$B$28)*(1-(1+'Assumptions'!$B$43)^-('Assumptions'!$B$14/12))/'Assumptions'!$B$43)+(O887/(1+'Assumptions'!$B$43)^('Assumptions'!$B$14/12))</x:f>
        <x:v>482027.431219555</x:v>
      </x:c>
    </x:row>
    <x:row r="888">
      <x:c r="A888" s="131" t="n">
        <x:f>881</x:f>
        <x:v>881</x:v>
      </x:c>
      <x:c r="B888" s="131" t="n">
        <x:f>MOD(ABS(SIN((A888+1)*12.9898+78.233)*43758.5453),1)</x:f>
        <x:v>0.7114849601639435</x:v>
      </x:c>
      <x:c r="C888" s="131" t="n">
        <x:f>MOD(ABS(SIN((A888+2)*12.9898+78.233)*43758.5453),1)</x:f>
        <x:v>0.6209915686795284</x:v>
      </x:c>
      <x:c r="D888" s="131" t="n">
        <x:f>MOD(ABS(SIN((A888+3)*12.9898+78.233)*43758.5453),1)</x:f>
        <x:v>0.5992614963861342</x:v>
      </x:c>
      <x:c r="E888" s="131" t="n">
        <x:f>MOD(ABS(SIN((A888+4)*12.9898+78.233)*43758.5453),1)</x:f>
        <x:v>0.8145036192508996</x:v>
      </x:c>
      <x:c r="F888" s="131" t="n">
        <x:f>MOD(ABS(SIN((A888+5)*12.9898+78.233)*43758.5453),1)</x:f>
        <x:v>0.9632070495936205</x:v>
      </x:c>
      <x:c r="G888" s="132" t="n">
        <x:f>IF(B888&lt;(('Assumptions'!$C$47-'Assumptions'!$B$47)/('Assumptions'!$D$47-'Assumptions'!$B$47)),'Assumptions'!$B$47+SQRT(B888*('Assumptions'!$D$47-'Assumptions'!$B$47)*('Assumptions'!$C$47-'Assumptions'!$B$47)),'Assumptions'!$D$47-SQRT((1-B888)*('Assumptions'!$D$47-'Assumptions'!$B$47)*('Assumptions'!$D$47-'Assumptions'!$C$47)))</x:f>
        <x:v>0.032057078092144836</x:v>
      </x:c>
      <x:c r="H888" s="132" t="n">
        <x:f>IF(C888&lt;(('Assumptions'!$C$48-'Assumptions'!$B$48)/('Assumptions'!$D$48-'Assumptions'!$B$48)),'Assumptions'!$B$48+SQRT(C888*('Assumptions'!$D$48-'Assumptions'!$B$48)*('Assumptions'!$C$48-'Assumptions'!$B$48)),'Assumptions'!$D$48-SQRT((1-C888)*('Assumptions'!$D$48-'Assumptions'!$B$48)*('Assumptions'!$D$48-'Assumptions'!$C$48)))</x:f>
        <x:v>0.08224816716657254</x:v>
      </x:c>
      <x:c r="I888" s="132" t="n">
        <x:f>IF(D888&lt;(('Assumptions'!$C$49-'Assumptions'!$B$49)/('Assumptions'!$D$49-'Assumptions'!$B$49)),'Assumptions'!$B$49+SQRT(D888*('Assumptions'!$D$49-'Assumptions'!$B$49)*('Assumptions'!$C$49-'Assumptions'!$B$49)),'Assumptions'!$D$49-SQRT((1-D888)*('Assumptions'!$D$49-'Assumptions'!$B$49)*('Assumptions'!$D$49-'Assumptions'!$C$49)))</x:f>
        <x:v>0.0569626328937695</x:v>
      </x:c>
      <x:c r="J888" s="132" t="n">
        <x:f>IF(E888&lt;(('Assumptions'!$C$50-'Assumptions'!$B$50)/('Assumptions'!$D$50-'Assumptions'!$B$50)),'Assumptions'!$B$50+SQRT(E888*('Assumptions'!$D$50-'Assumptions'!$B$50)*('Assumptions'!$C$50-'Assumptions'!$B$50)),'Assumptions'!$D$50-SQRT((1-E888)*('Assumptions'!$D$50-'Assumptions'!$B$50)*('Assumptions'!$D$50-'Assumptions'!$C$50)))</x:f>
        <x:v>0.07277706035705099</x:v>
      </x:c>
      <x:c r="K888" s="132" t="n">
        <x:f>IF(F888&lt;(('Assumptions'!$C$51-'Assumptions'!$B$51)/('Assumptions'!$D$51-'Assumptions'!$B$51)),'Assumptions'!$B$51+SQRT(F888*('Assumptions'!$D$51-'Assumptions'!$B$51)*('Assumptions'!$C$51-'Assumptions'!$B$51)),'Assumptions'!$D$51-SQRT((1-F888)*('Assumptions'!$D$51-'Assumptions'!$B$51)*('Assumptions'!$D$51-'Assumptions'!$C$51)))</x:f>
        <x:v>0.08079207802079576</x:v>
      </x:c>
      <x:c r="L888" s="133" t="n">
        <x:f>(('Assumptions'!$B$17*(1+G888)+'Assumptions'!$B$18)*(1-H888-'Assumptions'!$B$20)-SUM('Assumptions'!$B$21:$B$25)*(1+I888))-(('Assumptions'!$B$17*(1+G888)+'Assumptions'!$B$18)*(1-H888-'Assumptions'!$B$20)*'Assumptions'!$B$26)</x:f>
        <x:v>206284.60890754813</x:v>
      </x:c>
      <x:c r="M888" s="133" t="n">
        <x:f>'Assumptions'!$B$10*'Assumptions'!$B$33</x:f>
        <x:v>1950000</x:v>
      </x:c>
      <x:c r="N888" s="133" t="n">
        <x:f>-PMT(K888/12,'Assumptions'!$B$35*12,M888)*12</x:f>
        <x:v>172994.747599661</x:v>
      </x:c>
      <x:c r="O888" s="133" t="n">
        <x:f>(L888*(1+'Assumptions'!$B$29)^('Assumptions'!$B$14/12)/J888)*(1-'Assumptions'!$B$42)-'Debt Schedule'!$F$9</x:f>
        <x:v>3088775.144101274</x:v>
      </x:c>
      <x:c r="P888" s="132" t="n">
        <x:f>((O888+(L888-N888-'Assumptions'!$B$27-'Assumptions'!$B$28)*('Assumptions'!$B$14/12))/ABS('Monthly Cash Flow'!$S$5))^(1/('Assumptions'!$B$14/12))-1</x:f>
        <x:v>0.18737585455546424</x:v>
      </x:c>
      <x:c r="Q888" s="133" t="n">
        <x:f>-ABS('Monthly Cash Flow'!$S$5)+((L888-N888-'Assumptions'!$B$27-'Assumptions'!$B$28)*(1-(1+'Assumptions'!$B$43)^-('Assumptions'!$B$14/12))/'Assumptions'!$B$43)+(O888/(1+'Assumptions'!$B$43)^('Assumptions'!$B$14/12))</x:f>
        <x:v>597949.6441326379</x:v>
      </x:c>
    </x:row>
    <x:row r="889">
      <x:c r="A889" s="131" t="n">
        <x:f>882</x:f>
        <x:v>882</x:v>
      </x:c>
      <x:c r="B889" s="131" t="n">
        <x:f>MOD(ABS(SIN((A889+1)*12.9898+78.233)*43758.5453),1)</x:f>
        <x:v>0.6209915686795284</x:v>
      </x:c>
      <x:c r="C889" s="131" t="n">
        <x:f>MOD(ABS(SIN((A889+2)*12.9898+78.233)*43758.5453),1)</x:f>
        <x:v>0.5992614963861342</x:v>
      </x:c>
      <x:c r="D889" s="131" t="n">
        <x:f>MOD(ABS(SIN((A889+3)*12.9898+78.233)*43758.5453),1)</x:f>
        <x:v>0.8145036192508996</x:v>
      </x:c>
      <x:c r="E889" s="131" t="n">
        <x:f>MOD(ABS(SIN((A889+4)*12.9898+78.233)*43758.5453),1)</x:f>
        <x:v>0.9632070495936205</x:v>
      </x:c>
      <x:c r="F889" s="131" t="n">
        <x:f>MOD(ABS(SIN((A889+5)*12.9898+78.233)*43758.5453),1)</x:f>
        <x:v>0.6088655692583416</x:v>
      </x:c>
      <x:c r="G889" s="132" t="n">
        <x:f>IF(B889&lt;(('Assumptions'!$C$47-'Assumptions'!$B$47)/('Assumptions'!$D$47-'Assumptions'!$B$47)),'Assumptions'!$B$47+SQRT(B889*('Assumptions'!$D$47-'Assumptions'!$B$47)*('Assumptions'!$C$47-'Assumptions'!$B$47)),'Assumptions'!$D$47-SQRT((1-B889)*('Assumptions'!$D$47-'Assumptions'!$B$47)*('Assumptions'!$D$47-'Assumptions'!$C$47)))</x:f>
        <x:v>0.022127444493406118</x:v>
      </x:c>
      <x:c r="H889" s="132" t="n">
        <x:f>IF(C889&lt;(('Assumptions'!$C$48-'Assumptions'!$B$48)/('Assumptions'!$D$48-'Assumptions'!$B$48)),'Assumptions'!$B$48+SQRT(C889*('Assumptions'!$D$48-'Assumptions'!$B$48)*('Assumptions'!$C$48-'Assumptions'!$B$48)),'Assumptions'!$D$48-SQRT((1-C889)*('Assumptions'!$D$48-'Assumptions'!$B$48)*('Assumptions'!$D$48-'Assumptions'!$C$48)))</x:f>
        <x:v>0.08061566846547805</x:v>
      </x:c>
      <x:c r="I889" s="132" t="n">
        <x:f>IF(D889&lt;(('Assumptions'!$C$49-'Assumptions'!$B$49)/('Assumptions'!$D$49-'Assumptions'!$B$49)),'Assumptions'!$B$49+SQRT(D889*('Assumptions'!$D$49-'Assumptions'!$B$49)*('Assumptions'!$C$49-'Assumptions'!$B$49)),'Assumptions'!$D$49-SQRT((1-D889)*('Assumptions'!$D$49-'Assumptions'!$B$49)*('Assumptions'!$D$49-'Assumptions'!$C$49)))</x:f>
        <x:v>0.0867013284169362</x:v>
      </x:c>
      <x:c r="J889" s="132" t="n">
        <x:f>IF(E889&lt;(('Assumptions'!$C$50-'Assumptions'!$B$50)/('Assumptions'!$D$50-'Assumptions'!$B$50)),'Assumptions'!$B$50+SQRT(E889*('Assumptions'!$D$50-'Assumptions'!$B$50)*('Assumptions'!$C$50-'Assumptions'!$B$50)),'Assumptions'!$D$50-SQRT((1-E889)*('Assumptions'!$D$50-'Assumptions'!$B$50)*('Assumptions'!$D$50-'Assumptions'!$C$50)))</x:f>
        <x:v>0.07678316657226486</x:v>
      </x:c>
      <x:c r="K889" s="132" t="n">
        <x:f>IF(F889&lt;(('Assumptions'!$C$51-'Assumptions'!$B$51)/('Assumptions'!$D$51-'Assumptions'!$B$51)),'Assumptions'!$B$51+SQRT(F889*('Assumptions'!$D$51-'Assumptions'!$B$51)*('Assumptions'!$C$51-'Assumptions'!$B$51)),'Assumptions'!$D$51-SQRT((1-F889)*('Assumptions'!$D$51-'Assumptions'!$B$51)*('Assumptions'!$D$51-'Assumptions'!$C$51)))</x:f>
        <x:v>0.07128018058448206</x:v>
      </x:c>
      <x:c r="L889" s="133" t="n">
        <x:f>(('Assumptions'!$B$17*(1+G889)+'Assumptions'!$B$18)*(1-H889-'Assumptions'!$B$20)-SUM('Assumptions'!$B$21:$B$25)*(1+I889))-(('Assumptions'!$B$17*(1+G889)+'Assumptions'!$B$18)*(1-H889-'Assumptions'!$B$20)*'Assumptions'!$B$26)</x:f>
        <x:v>200027.30346263002</x:v>
      </x:c>
      <x:c r="M889" s="133" t="n">
        <x:f>'Assumptions'!$B$10*'Assumptions'!$B$33</x:f>
        <x:v>1950000</x:v>
      </x:c>
      <x:c r="N889" s="133" t="n">
        <x:f>-PMT(K889/12,'Assumptions'!$B$35*12,M889)*12</x:f>
        <x:v>157697.80468075932</x:v>
      </x:c>
      <x:c r="O889" s="133" t="n">
        <x:f>(L889*(1+'Assumptions'!$B$29)^('Assumptions'!$B$14/12)/J889)*(1-'Assumptions'!$B$42)-'Debt Schedule'!$F$9</x:f>
        <x:v>2838815.964015199</x:v>
      </x:c>
      <x:c r="P889" s="132" t="n">
        <x:f>((O889+(L889-N889-'Assumptions'!$B$27-'Assumptions'!$B$28)*('Assumptions'!$B$14/12))/ABS('Monthly Cash Flow'!$S$5))^(1/('Assumptions'!$B$14/12))-1</x:f>
        <x:v>0.17101561060859716</x:v>
      </x:c>
      <x:c r="Q889" s="133" t="n">
        <x:f>-ABS('Monthly Cash Flow'!$S$5)+((L889-N889-'Assumptions'!$B$27-'Assumptions'!$B$28)*(1-(1+'Assumptions'!$B$43)^-('Assumptions'!$B$14/12))/'Assumptions'!$B$43)+(O889/(1+'Assumptions'!$B$43)^('Assumptions'!$B$14/12))</x:f>
        <x:v>477011.9974594363</x:v>
      </x:c>
    </x:row>
    <x:row r="890">
      <x:c r="A890" s="131" t="n">
        <x:f>883</x:f>
        <x:v>883</x:v>
      </x:c>
      <x:c r="B890" s="131" t="n">
        <x:f>MOD(ABS(SIN((A890+1)*12.9898+78.233)*43758.5453),1)</x:f>
        <x:v>0.5992614963861342</x:v>
      </x:c>
      <x:c r="C890" s="131" t="n">
        <x:f>MOD(ABS(SIN((A890+2)*12.9898+78.233)*43758.5453),1)</x:f>
        <x:v>0.8145036192508996</x:v>
      </x:c>
      <x:c r="D890" s="131" t="n">
        <x:f>MOD(ABS(SIN((A890+3)*12.9898+78.233)*43758.5453),1)</x:f>
        <x:v>0.9632070495936205</x:v>
      </x:c>
      <x:c r="E890" s="131" t="n">
        <x:f>MOD(ABS(SIN((A890+4)*12.9898+78.233)*43758.5453),1)</x:f>
        <x:v>0.6088655692583416</x:v>
      </x:c>
      <x:c r="F890" s="131" t="n">
        <x:f>MOD(ABS(SIN((A890+5)*12.9898+78.233)*43758.5453),1)</x:f>
        <x:v>0.6157035882133641</x:v>
      </x:c>
      <x:c r="G890" s="132" t="n">
        <x:f>IF(B890&lt;(('Assumptions'!$C$47-'Assumptions'!$B$47)/('Assumptions'!$D$47-'Assumptions'!$B$47)),'Assumptions'!$B$47+SQRT(B890*('Assumptions'!$D$47-'Assumptions'!$B$47)*('Assumptions'!$C$47-'Assumptions'!$B$47)),'Assumptions'!$D$47-SQRT((1-B890)*('Assumptions'!$D$47-'Assumptions'!$B$47)*('Assumptions'!$D$47-'Assumptions'!$C$47)))</x:f>
        <x:v>0.019926126900134733</x:v>
      </x:c>
      <x:c r="H890" s="132" t="n">
        <x:f>IF(C890&lt;(('Assumptions'!$C$48-'Assumptions'!$B$48)/('Assumptions'!$D$48-'Assumptions'!$B$48)),'Assumptions'!$B$48+SQRT(C890*('Assumptions'!$D$48-'Assumptions'!$B$48)*('Assumptions'!$C$48-'Assumptions'!$B$48)),'Assumptions'!$D$48-SQRT((1-C890)*('Assumptions'!$D$48-'Assumptions'!$B$48)*('Assumptions'!$D$48-'Assumptions'!$C$48)))</x:f>
        <x:v>0.09959742396093929</x:v>
      </x:c>
      <x:c r="I890" s="132" t="n">
        <x:f>IF(D890&lt;(('Assumptions'!$C$49-'Assumptions'!$B$49)/('Assumptions'!$D$49-'Assumptions'!$B$49)),'Assumptions'!$B$49+SQRT(D890*('Assumptions'!$D$49-'Assumptions'!$B$49)*('Assumptions'!$C$49-'Assumptions'!$B$49)),'Assumptions'!$D$49-SQRT((1-D890)*('Assumptions'!$D$49-'Assumptions'!$B$49)*('Assumptions'!$D$49-'Assumptions'!$C$49)))</x:f>
        <x:v>0.12180908428628473</x:v>
      </x:c>
      <x:c r="J890" s="132" t="n">
        <x:f>IF(E890&lt;(('Assumptions'!$C$50-'Assumptions'!$B$50)/('Assumptions'!$D$50-'Assumptions'!$B$50)),'Assumptions'!$B$50+SQRT(E890*('Assumptions'!$D$50-'Assumptions'!$B$50)*('Assumptions'!$C$50-'Assumptions'!$B$50)),'Assumptions'!$D$50-SQRT((1-E890)*('Assumptions'!$D$50-'Assumptions'!$B$50)*('Assumptions'!$D$50-'Assumptions'!$C$50)))</x:f>
        <x:v>0.06951159885177481</x:v>
      </x:c>
      <x:c r="K890" s="132" t="n">
        <x:f>IF(F890&lt;(('Assumptions'!$C$51-'Assumptions'!$B$51)/('Assumptions'!$D$51-'Assumptions'!$B$51)),'Assumptions'!$B$51+SQRT(F890*('Assumptions'!$D$51-'Assumptions'!$B$51)*('Assumptions'!$C$51-'Assumptions'!$B$51)),'Assumptions'!$D$51-SQRT((1-F890)*('Assumptions'!$D$51-'Assumptions'!$B$51)*('Assumptions'!$D$51-'Assumptions'!$C$51)))</x:f>
        <x:v>0.07140063794980374</x:v>
      </x:c>
      <x:c r="L890" s="133" t="n">
        <x:f>(('Assumptions'!$B$17*(1+G890)+'Assumptions'!$B$18)*(1-H890-'Assumptions'!$B$20)-SUM('Assumptions'!$B$21:$B$25)*(1+I890))-(('Assumptions'!$B$17*(1+G890)+'Assumptions'!$B$18)*(1-H890-'Assumptions'!$B$20)*'Assumptions'!$B$26)</x:f>
        <x:v>187893.07231703048</x:v>
      </x:c>
      <x:c r="M890" s="133" t="n">
        <x:f>'Assumptions'!$B$10*'Assumptions'!$B$33</x:f>
        <x:v>1950000</x:v>
      </x:c>
      <x:c r="N890" s="133" t="n">
        <x:f>-PMT(K890/12,'Assumptions'!$B$35*12,M890)*12</x:f>
        <x:v>157888.12372724342</x:v>
      </x:c>
      <x:c r="O890" s="133" t="n">
        <x:f>(L890*(1+'Assumptions'!$B$29)^('Assumptions'!$B$14/12)/J890)*(1-'Assumptions'!$B$42)-'Debt Schedule'!$F$9</x:f>
        <x:v>2945557.2424057135</x:v>
      </x:c>
      <x:c r="P890" s="132" t="n">
        <x:f>((O890+(L890-N890-'Assumptions'!$B$27-'Assumptions'!$B$28)*('Assumptions'!$B$14/12))/ABS('Monthly Cash Flow'!$S$5))^(1/('Assumptions'!$B$14/12))-1</x:f>
        <x:v>0.17469944144990213</x:v>
      </x:c>
      <x:c r="Q890" s="133" t="n">
        <x:f>-ABS('Monthly Cash Flow'!$S$5)+((L890-N890-'Assumptions'!$B$27-'Assumptions'!$B$28)*(1-(1+'Assumptions'!$B$43)^-('Assumptions'!$B$14/12))/'Assumptions'!$B$43)+(O890/(1+'Assumptions'!$B$43)^('Assumptions'!$B$14/12))</x:f>
        <x:v>496570.1914556392</x:v>
      </x:c>
    </x:row>
    <x:row r="891">
      <x:c r="A891" s="131" t="n">
        <x:f>884</x:f>
        <x:v>884</x:v>
      </x:c>
      <x:c r="B891" s="131" t="n">
        <x:f>MOD(ABS(SIN((A891+1)*12.9898+78.233)*43758.5453),1)</x:f>
        <x:v>0.8145036192508996</x:v>
      </x:c>
      <x:c r="C891" s="131" t="n">
        <x:f>MOD(ABS(SIN((A891+2)*12.9898+78.233)*43758.5453),1)</x:f>
        <x:v>0.9632070495936205</x:v>
      </x:c>
      <x:c r="D891" s="131" t="n">
        <x:f>MOD(ABS(SIN((A891+3)*12.9898+78.233)*43758.5453),1)</x:f>
        <x:v>0.6088655692583416</x:v>
      </x:c>
      <x:c r="E891" s="131" t="n">
        <x:f>MOD(ABS(SIN((A891+4)*12.9898+78.233)*43758.5453),1)</x:f>
        <x:v>0.6157035882133641</x:v>
      </x:c>
      <x:c r="F891" s="131" t="n">
        <x:f>MOD(ABS(SIN((A891+5)*12.9898+78.233)*43758.5453),1)</x:f>
        <x:v>0.6472403529623989</x:v>
      </x:c>
      <x:c r="G891" s="132" t="n">
        <x:f>IF(B891&lt;(('Assumptions'!$C$47-'Assumptions'!$B$47)/('Assumptions'!$D$47-'Assumptions'!$B$47)),'Assumptions'!$B$47+SQRT(B891*('Assumptions'!$D$47-'Assumptions'!$B$47)*('Assumptions'!$C$47-'Assumptions'!$B$47)),'Assumptions'!$D$47-SQRT((1-B891)*('Assumptions'!$D$47-'Assumptions'!$B$47)*('Assumptions'!$D$47-'Assumptions'!$C$47)))</x:f>
        <x:v>0.04552117758260917</x:v>
      </x:c>
      <x:c r="H891" s="132" t="n">
        <x:f>IF(C891&lt;(('Assumptions'!$C$48-'Assumptions'!$B$48)/('Assumptions'!$D$48-'Assumptions'!$B$48)),'Assumptions'!$B$48+SQRT(C891*('Assumptions'!$D$48-'Assumptions'!$B$48)*('Assumptions'!$C$48-'Assumptions'!$B$48)),'Assumptions'!$D$48-SQRT((1-C891)*('Assumptions'!$D$48-'Assumptions'!$B$48)*('Assumptions'!$D$48-'Assumptions'!$C$48)))</x:f>
        <x:v>0.12200616873547661</x:v>
      </x:c>
      <x:c r="I891" s="132" t="n">
        <x:f>IF(D891&lt;(('Assumptions'!$C$49-'Assumptions'!$B$49)/('Assumptions'!$D$49-'Assumptions'!$B$49)),'Assumptions'!$B$49+SQRT(D891*('Assumptions'!$D$49-'Assumptions'!$B$49)*('Assumptions'!$C$49-'Assumptions'!$B$49)),'Assumptions'!$D$49-SQRT((1-D891)*('Assumptions'!$D$49-'Assumptions'!$B$49)*('Assumptions'!$D$49-'Assumptions'!$C$49)))</x:f>
        <x:v>0.058084257583263674</x:v>
      </x:c>
      <x:c r="J891" s="132" t="n">
        <x:f>IF(E891&lt;(('Assumptions'!$C$50-'Assumptions'!$B$50)/('Assumptions'!$D$50-'Assumptions'!$B$50)),'Assumptions'!$B$50+SQRT(E891*('Assumptions'!$D$50-'Assumptions'!$B$50)*('Assumptions'!$C$50-'Assumptions'!$B$50)),'Assumptions'!$D$50-SQRT((1-E891)*('Assumptions'!$D$50-'Assumptions'!$B$50)*('Assumptions'!$D$50-'Assumptions'!$C$50)))</x:f>
        <x:v>0.06960368498866107</x:v>
      </x:c>
      <x:c r="K891" s="132" t="n">
        <x:f>IF(F891&lt;(('Assumptions'!$C$51-'Assumptions'!$B$51)/('Assumptions'!$D$51-'Assumptions'!$B$51)),'Assumptions'!$B$51+SQRT(F891*('Assumptions'!$D$51-'Assumptions'!$B$51)*('Assumptions'!$C$51-'Assumptions'!$B$51)),'Assumptions'!$D$51-SQRT((1-F891)*('Assumptions'!$D$51-'Assumptions'!$B$51)*('Assumptions'!$D$51-'Assumptions'!$C$51)))</x:f>
        <x:v>0.07197058788214736</x:v>
      </x:c>
      <x:c r="L891" s="133" t="n">
        <x:f>(('Assumptions'!$B$17*(1+G891)+'Assumptions'!$B$18)*(1-H891-'Assumptions'!$B$20)-SUM('Assumptions'!$B$21:$B$25)*(1+I891))-(('Assumptions'!$B$17*(1+G891)+'Assumptions'!$B$18)*(1-H891-'Assumptions'!$B$20)*'Assumptions'!$B$26)</x:f>
        <x:v>195314.36725467176</x:v>
      </x:c>
      <x:c r="M891" s="133" t="n">
        <x:f>'Assumptions'!$B$10*'Assumptions'!$B$33</x:f>
        <x:v>1950000</x:v>
      </x:c>
      <x:c r="N891" s="133" t="n">
        <x:f>-PMT(K891/12,'Assumptions'!$B$35*12,M891)*12</x:f>
        <x:v>158789.8527917412</x:v>
      </x:c>
      <x:c r="O891" s="133" t="n">
        <x:f>(L891*(1+'Assumptions'!$B$29)^('Assumptions'!$B$14/12)/J891)*(1-'Assumptions'!$B$42)-'Debt Schedule'!$F$9</x:f>
        <x:v>3057848.293427619</x:v>
      </x:c>
      <x:c r="P891" s="132" t="n">
        <x:f>((O891+(L891-N891-'Assumptions'!$B$27-'Assumptions'!$B$28)*('Assumptions'!$B$14/12))/ABS('Monthly Cash Flow'!$S$5))^(1/('Assumptions'!$B$14/12))-1</x:f>
        <x:v>0.186226872751732</x:v>
      </x:c>
      <x:c r="Q891" s="133" t="n">
        <x:f>-ABS('Monthly Cash Flow'!$S$5)+((L891-N891-'Assumptions'!$B$27-'Assumptions'!$B$28)*(1-(1+'Assumptions'!$B$43)^-('Assumptions'!$B$14/12))/'Assumptions'!$B$43)+(O891/(1+'Assumptions'!$B$43)^('Assumptions'!$B$14/12))</x:f>
        <x:v>591008.3834780629</x:v>
      </x:c>
    </x:row>
    <x:row r="892">
      <x:c r="A892" s="131" t="n">
        <x:f>885</x:f>
        <x:v>885</x:v>
      </x:c>
      <x:c r="B892" s="131" t="n">
        <x:f>MOD(ABS(SIN((A892+1)*12.9898+78.233)*43758.5453),1)</x:f>
        <x:v>0.9632070495936205</x:v>
      </x:c>
      <x:c r="C892" s="131" t="n">
        <x:f>MOD(ABS(SIN((A892+2)*12.9898+78.233)*43758.5453),1)</x:f>
        <x:v>0.6088655692583416</x:v>
      </x:c>
      <x:c r="D892" s="131" t="n">
        <x:f>MOD(ABS(SIN((A892+3)*12.9898+78.233)*43758.5453),1)</x:f>
        <x:v>0.6157035882133641</x:v>
      </x:c>
      <x:c r="E892" s="131" t="n">
        <x:f>MOD(ABS(SIN((A892+4)*12.9898+78.233)*43758.5453),1)</x:f>
        <x:v>0.6472403529623989</x:v>
      </x:c>
      <x:c r="F892" s="131" t="n">
        <x:f>MOD(ABS(SIN((A892+5)*12.9898+78.233)*43758.5453),1)</x:f>
        <x:v>0.07373161220675684</x:v>
      </x:c>
      <x:c r="G892" s="132" t="n">
        <x:f>IF(B892&lt;(('Assumptions'!$C$47-'Assumptions'!$B$47)/('Assumptions'!$D$47-'Assumptions'!$B$47)),'Assumptions'!$B$47+SQRT(B892*('Assumptions'!$D$47-'Assumptions'!$B$47)*('Assumptions'!$C$47-'Assumptions'!$B$47)),'Assumptions'!$D$47-SQRT((1-B892)*('Assumptions'!$D$47-'Assumptions'!$B$47)*('Assumptions'!$D$47-'Assumptions'!$C$47)))</x:f>
        <x:v>0.07573712287254308</x:v>
      </x:c>
      <x:c r="H892" s="132" t="n">
        <x:f>IF(C892&lt;(('Assumptions'!$C$48-'Assumptions'!$B$48)/('Assumptions'!$D$48-'Assumptions'!$B$48)),'Assumptions'!$B$48+SQRT(C892*('Assumptions'!$D$48-'Assumptions'!$B$48)*('Assumptions'!$C$48-'Assumptions'!$B$48)),'Assumptions'!$D$48-SQRT((1-C892)*('Assumptions'!$D$48-'Assumptions'!$B$48)*('Assumptions'!$D$48-'Assumptions'!$C$48)))</x:f>
        <x:v>0.08133158438711172</x:v>
      </x:c>
      <x:c r="I892" s="132" t="n">
        <x:f>IF(D892&lt;(('Assumptions'!$C$49-'Assumptions'!$B$49)/('Assumptions'!$D$49-'Assumptions'!$B$49)),'Assumptions'!$B$49+SQRT(D892*('Assumptions'!$D$49-'Assumptions'!$B$49)*('Assumptions'!$C$49-'Assumptions'!$B$49)),'Assumptions'!$D$49-SQRT((1-D892)*('Assumptions'!$D$49-'Assumptions'!$B$49)*('Assumptions'!$D$49-'Assumptions'!$C$49)))</x:f>
        <x:v>0.058891260053761385</x:v>
      </x:c>
      <x:c r="J892" s="132" t="n">
        <x:f>IF(E892&lt;(('Assumptions'!$C$50-'Assumptions'!$B$50)/('Assumptions'!$D$50-'Assumptions'!$B$50)),'Assumptions'!$B$50+SQRT(E892*('Assumptions'!$D$50-'Assumptions'!$B$50)*('Assumptions'!$C$50-'Assumptions'!$B$50)),'Assumptions'!$D$50-SQRT((1-E892)*('Assumptions'!$D$50-'Assumptions'!$B$50)*('Assumptions'!$D$50-'Assumptions'!$C$50)))</x:f>
        <x:v>0.07003939506207955</x:v>
      </x:c>
      <x:c r="K892" s="132" t="n">
        <x:f>IF(F892&lt;(('Assumptions'!$C$51-'Assumptions'!$B$51)/('Assumptions'!$D$51-'Assumptions'!$B$51)),'Assumptions'!$B$51+SQRT(F892*('Assumptions'!$D$51-'Assumptions'!$B$51)*('Assumptions'!$C$51-'Assumptions'!$B$51)),'Assumptions'!$D$51-SQRT((1-F892)*('Assumptions'!$D$51-'Assumptions'!$B$51)*('Assumptions'!$D$51-'Assumptions'!$C$51)))</x:f>
        <x:v>0.06200290943245122</x:v>
      </x:c>
      <x:c r="L892" s="133" t="n">
        <x:f>(('Assumptions'!$B$17*(1+G892)+'Assumptions'!$B$18)*(1-H892-'Assumptions'!$B$20)-SUM('Assumptions'!$B$21:$B$25)*(1+I892))-(('Assumptions'!$B$17*(1+G892)+'Assumptions'!$B$18)*(1-H892-'Assumptions'!$B$20)*'Assumptions'!$B$26)</x:f>
        <x:v>220101.4641977641</x:v>
      </x:c>
      <x:c r="M892" s="133" t="n">
        <x:f>'Assumptions'!$B$10*'Assumptions'!$B$33</x:f>
        <x:v>1950000</x:v>
      </x:c>
      <x:c r="N892" s="133" t="n">
        <x:f>-PMT(K892/12,'Assumptions'!$B$35*12,M892)*12</x:f>
        <x:v>143322.1585416915</x:v>
      </x:c>
      <x:c r="O892" s="133" t="n">
        <x:f>(L892*(1+'Assumptions'!$B$29)^('Assumptions'!$B$14/12)/J892)*(1-'Assumptions'!$B$42)-'Debt Schedule'!$F$9</x:f>
        <x:v>3424479.118898031</x:v>
      </x:c>
      <x:c r="P892" s="132" t="n">
        <x:f>((O892+(L892-N892-'Assumptions'!$B$27-'Assumptions'!$B$28)*('Assumptions'!$B$14/12))/ABS('Monthly Cash Flow'!$S$5))^(1/('Assumptions'!$B$14/12))-1</x:f>
        <x:v>0.22755776461473842</x:v>
      </x:c>
      <x:c r="Q892" s="133" t="n">
        <x:f>-ABS('Monthly Cash Flow'!$S$5)+((L892-N892-'Assumptions'!$B$27-'Assumptions'!$B$28)*(1-(1+'Assumptions'!$B$43)^-('Assumptions'!$B$14/12))/'Assumptions'!$B$43)+(O892/(1+'Assumptions'!$B$43)^('Assumptions'!$B$14/12))</x:f>
        <x:v>971254.610563684</x:v>
      </x:c>
    </x:row>
    <x:row r="893">
      <x:c r="A893" s="131" t="n">
        <x:f>886</x:f>
        <x:v>886</x:v>
      </x:c>
      <x:c r="B893" s="131" t="n">
        <x:f>MOD(ABS(SIN((A893+1)*12.9898+78.233)*43758.5453),1)</x:f>
        <x:v>0.6088655692583416</x:v>
      </x:c>
      <x:c r="C893" s="131" t="n">
        <x:f>MOD(ABS(SIN((A893+2)*12.9898+78.233)*43758.5453),1)</x:f>
        <x:v>0.6157035882133641</x:v>
      </x:c>
      <x:c r="D893" s="131" t="n">
        <x:f>MOD(ABS(SIN((A893+3)*12.9898+78.233)*43758.5453),1)</x:f>
        <x:v>0.6472403529623989</x:v>
      </x:c>
      <x:c r="E893" s="131" t="n">
        <x:f>MOD(ABS(SIN((A893+4)*12.9898+78.233)*43758.5453),1)</x:f>
        <x:v>0.07373161220675684</x:v>
      </x:c>
      <x:c r="F893" s="131" t="n">
        <x:f>MOD(ABS(SIN((A893+5)*12.9898+78.233)*43758.5453),1)</x:f>
        <x:v>0.016760629576083375</x:v>
      </x:c>
      <x:c r="G893" s="132" t="n">
        <x:f>IF(B893&lt;(('Assumptions'!$C$47-'Assumptions'!$B$47)/('Assumptions'!$D$47-'Assumptions'!$B$47)),'Assumptions'!$B$47+SQRT(B893*('Assumptions'!$D$47-'Assumptions'!$B$47)*('Assumptions'!$C$47-'Assumptions'!$B$47)),'Assumptions'!$D$47-SQRT((1-B893)*('Assumptions'!$D$47-'Assumptions'!$B$47)*('Assumptions'!$D$47-'Assumptions'!$C$47)))</x:f>
        <x:v>0.02089152452570879</x:v>
      </x:c>
      <x:c r="H893" s="132" t="n">
        <x:f>IF(C893&lt;(('Assumptions'!$C$48-'Assumptions'!$B$48)/('Assumptions'!$D$48-'Assumptions'!$B$48)),'Assumptions'!$B$48+SQRT(C893*('Assumptions'!$D$48-'Assumptions'!$B$48)*('Assumptions'!$C$48-'Assumptions'!$B$48)),'Assumptions'!$D$48-SQRT((1-C893)*('Assumptions'!$D$48-'Assumptions'!$B$48)*('Assumptions'!$D$48-'Assumptions'!$C$48)))</x:f>
        <x:v>0.08184668174796561</x:v>
      </x:c>
      <x:c r="I893" s="132" t="n">
        <x:f>IF(D893&lt;(('Assumptions'!$C$49-'Assumptions'!$B$49)/('Assumptions'!$D$49-'Assumptions'!$B$49)),'Assumptions'!$B$49+SQRT(D893*('Assumptions'!$D$49-'Assumptions'!$B$49)*('Assumptions'!$C$49-'Assumptions'!$B$49)),'Assumptions'!$D$49-SQRT((1-D893)*('Assumptions'!$D$49-'Assumptions'!$B$49)*('Assumptions'!$D$49-'Assumptions'!$C$49)))</x:f>
        <x:v>0.06270963182565797</x:v>
      </x:c>
      <x:c r="J893" s="132" t="n">
        <x:f>IF(E893&lt;(('Assumptions'!$C$50-'Assumptions'!$B$50)/('Assumptions'!$D$50-'Assumptions'!$B$50)),'Assumptions'!$B$50+SQRT(E893*('Assumptions'!$D$50-'Assumptions'!$B$50)*('Assumptions'!$C$50-'Assumptions'!$B$50)),'Assumptions'!$D$50-SQRT((1-E893)*('Assumptions'!$D$50-'Assumptions'!$B$50)*('Assumptions'!$D$50-'Assumptions'!$C$50)))</x:f>
        <x:v>0.061573034832470785</x:v>
      </x:c>
      <x:c r="K893" s="132" t="n">
        <x:f>IF(F893&lt;(('Assumptions'!$C$51-'Assumptions'!$B$51)/('Assumptions'!$D$51-'Assumptions'!$B$51)),'Assumptions'!$B$51+SQRT(F893*('Assumptions'!$D$51-'Assumptions'!$B$51)*('Assumptions'!$C$51-'Assumptions'!$B$51)),'Assumptions'!$D$51-SQRT((1-F893)*('Assumptions'!$D$51-'Assumptions'!$B$51)*('Assumptions'!$D$51-'Assumptions'!$C$51)))</x:f>
        <x:v>0.059646898491643924</x:v>
      </x:c>
      <x:c r="L893" s="133" t="n">
        <x:f>(('Assumptions'!$B$17*(1+G893)+'Assumptions'!$B$18)*(1-H893-'Assumptions'!$B$20)-SUM('Assumptions'!$B$21:$B$25)*(1+I893))-(('Assumptions'!$B$17*(1+G893)+'Assumptions'!$B$18)*(1-H893-'Assumptions'!$B$20)*'Assumptions'!$B$26)</x:f>
        <x:v>202206.23016752955</x:v>
      </x:c>
      <x:c r="M893" s="133" t="n">
        <x:f>'Assumptions'!$B$10*'Assumptions'!$B$33</x:f>
        <x:v>1950000</x:v>
      </x:c>
      <x:c r="N893" s="133" t="n">
        <x:f>-PMT(K893/12,'Assumptions'!$B$35*12,M893)*12</x:f>
        <x:v>139764.04781185414</x:v>
      </x:c>
      <x:c r="O893" s="133" t="n">
        <x:f>(L893*(1+'Assumptions'!$B$29)^('Assumptions'!$B$14/12)/J893)*(1-'Assumptions'!$B$42)-'Debt Schedule'!$F$9</x:f>
        <x:v>3578639.488486687</x:v>
      </x:c>
      <x:c r="P893" s="132" t="n">
        <x:f>((O893+(L893-N893-'Assumptions'!$B$27-'Assumptions'!$B$28)*('Assumptions'!$B$14/12))/ABS('Monthly Cash Flow'!$S$5))^(1/('Assumptions'!$B$14/12))-1</x:f>
        <x:v>0.23311868224666843</x:v>
      </x:c>
      <x:c r="Q893" s="133" t="n">
        <x:f>-ABS('Monthly Cash Flow'!$S$5)+((L893-N893-'Assumptions'!$B$27-'Assumptions'!$B$28)*(1-(1+'Assumptions'!$B$43)^-('Assumptions'!$B$14/12))/'Assumptions'!$B$43)+(O893/(1+'Assumptions'!$B$43)^('Assumptions'!$B$14/12))</x:f>
        <x:v>1012627.0938934376</x:v>
      </x:c>
    </x:row>
    <x:row r="894">
      <x:c r="A894" s="131" t="n">
        <x:f>887</x:f>
        <x:v>887</x:v>
      </x:c>
      <x:c r="B894" s="131" t="n">
        <x:f>MOD(ABS(SIN((A894+1)*12.9898+78.233)*43758.5453),1)</x:f>
        <x:v>0.6157035882133641</x:v>
      </x:c>
      <x:c r="C894" s="131" t="n">
        <x:f>MOD(ABS(SIN((A894+2)*12.9898+78.233)*43758.5453),1)</x:f>
        <x:v>0.6472403529623989</x:v>
      </x:c>
      <x:c r="D894" s="131" t="n">
        <x:f>MOD(ABS(SIN((A894+3)*12.9898+78.233)*43758.5453),1)</x:f>
        <x:v>0.07373161220675684</x:v>
      </x:c>
      <x:c r="E894" s="131" t="n">
        <x:f>MOD(ABS(SIN((A894+4)*12.9898+78.233)*43758.5453),1)</x:f>
        <x:v>0.016760629576083375</x:v>
      </x:c>
      <x:c r="F894" s="131" t="n">
        <x:f>MOD(ABS(SIN((A894+5)*12.9898+78.233)*43758.5453),1)</x:f>
        <x:v>0.7869080306663818</x:v>
      </x:c>
      <x:c r="G894" s="132" t="n">
        <x:f>IF(B894&lt;(('Assumptions'!$C$47-'Assumptions'!$B$47)/('Assumptions'!$D$47-'Assumptions'!$B$47)),'Assumptions'!$B$47+SQRT(B894*('Assumptions'!$D$47-'Assumptions'!$B$47)*('Assumptions'!$C$47-'Assumptions'!$B$47)),'Assumptions'!$D$47-SQRT((1-B894)*('Assumptions'!$D$47-'Assumptions'!$B$47)*('Assumptions'!$D$47-'Assumptions'!$C$47)))</x:f>
        <x:v>0.021586081665394538</x:v>
      </x:c>
      <x:c r="H894" s="132" t="n">
        <x:f>IF(C894&lt;(('Assumptions'!$C$48-'Assumptions'!$B$48)/('Assumptions'!$D$48-'Assumptions'!$B$48)),'Assumptions'!$B$48+SQRT(C894*('Assumptions'!$D$48-'Assumptions'!$B$48)*('Assumptions'!$C$48-'Assumptions'!$B$48)),'Assumptions'!$D$48-SQRT((1-C894)*('Assumptions'!$D$48-'Assumptions'!$B$48)*('Assumptions'!$D$48-'Assumptions'!$C$48)))</x:f>
        <x:v>0.08428389017590254</x:v>
      </x:c>
      <x:c r="I894" s="132" t="n">
        <x:f>IF(D894&lt;(('Assumptions'!$C$49-'Assumptions'!$B$49)/('Assumptions'!$D$49-'Assumptions'!$B$49)),'Assumptions'!$B$49+SQRT(D894*('Assumptions'!$D$49-'Assumptions'!$B$49)*('Assumptions'!$C$49-'Assumptions'!$B$49)),'Assumptions'!$D$49-SQRT((1-D894)*('Assumptions'!$D$49-'Assumptions'!$B$49)*('Assumptions'!$D$49-'Assumptions'!$C$49)))</x:f>
        <x:v>-0.0017811869166512624</x:v>
      </x:c>
      <x:c r="J894" s="132" t="n">
        <x:f>IF(E894&lt;(('Assumptions'!$C$50-'Assumptions'!$B$50)/('Assumptions'!$D$50-'Assumptions'!$B$50)),'Assumptions'!$B$50+SQRT(E894*('Assumptions'!$D$50-'Assumptions'!$B$50)*('Assumptions'!$C$50-'Assumptions'!$B$50)),'Assumptions'!$D$50-SQRT((1-E894)*('Assumptions'!$D$50-'Assumptions'!$B$50)*('Assumptions'!$D$50-'Assumptions'!$C$50)))</x:f>
        <x:v>0.059441942752662597</x:v>
      </x:c>
      <x:c r="K894" s="132" t="n">
        <x:f>IF(F894&lt;(('Assumptions'!$C$51-'Assumptions'!$B$51)/('Assumptions'!$D$51-'Assumptions'!$B$51)),'Assumptions'!$B$51+SQRT(F894*('Assumptions'!$D$51-'Assumptions'!$B$51)*('Assumptions'!$C$51-'Assumptions'!$B$51)),'Assumptions'!$D$51-SQRT((1-F894)*('Assumptions'!$D$51-'Assumptions'!$B$51)*('Assumptions'!$D$51-'Assumptions'!$C$51)))</x:f>
        <x:v>0.07487327741854238</x:v>
      </x:c>
      <x:c r="L894" s="133" t="n">
        <x:f>(('Assumptions'!$B$17*(1+G894)+'Assumptions'!$B$18)*(1-H894-'Assumptions'!$B$20)-SUM('Assumptions'!$B$21:$B$25)*(1+I894))-(('Assumptions'!$B$17*(1+G894)+'Assumptions'!$B$18)*(1-H894-'Assumptions'!$B$20)*'Assumptions'!$B$26)</x:f>
        <x:v>209647.46936136656</x:v>
      </x:c>
      <x:c r="M894" s="133" t="n">
        <x:f>'Assumptions'!$B$10*'Assumptions'!$B$33</x:f>
        <x:v>1950000</x:v>
      </x:c>
      <x:c r="N894" s="133" t="n">
        <x:f>-PMT(K894/12,'Assumptions'!$B$35*12,M894)*12</x:f>
        <x:v>163413.19284197863</x:v>
      </x:c>
      <x:c r="O894" s="133" t="n">
        <x:f>(L894*(1+'Assumptions'!$B$29)^('Assumptions'!$B$14/12)/J894)*(1-'Assumptions'!$B$42)-'Debt Schedule'!$F$9</x:f>
        <x:v>3843355.9341330305</x:v>
      </x:c>
      <x:c r="P894" s="132" t="n">
        <x:f>((O894+(L894-N894-'Assumptions'!$B$27-'Assumptions'!$B$28)*('Assumptions'!$B$14/12))/ABS('Monthly Cash Flow'!$S$5))^(1/('Assumptions'!$B$14/12))-1</x:f>
        <x:v>0.24515476381378076</x:v>
      </x:c>
      <x:c r="Q894" s="133" t="n">
        <x:f>-ABS('Monthly Cash Flow'!$S$5)+((L894-N894-'Assumptions'!$B$27-'Assumptions'!$B$28)*(1-(1+'Assumptions'!$B$43)^-('Assumptions'!$B$14/12))/'Assumptions'!$B$43)+(O894/(1+'Assumptions'!$B$43)^('Assumptions'!$B$14/12))</x:f>
        <x:v>1115554.4645556654</x:v>
      </x:c>
    </x:row>
    <x:row r="895">
      <x:c r="A895" s="131" t="n">
        <x:f>888</x:f>
        <x:v>888</x:v>
      </x:c>
      <x:c r="B895" s="131" t="n">
        <x:f>MOD(ABS(SIN((A895+1)*12.9898+78.233)*43758.5453),1)</x:f>
        <x:v>0.6472403529623989</x:v>
      </x:c>
      <x:c r="C895" s="131" t="n">
        <x:f>MOD(ABS(SIN((A895+2)*12.9898+78.233)*43758.5453),1)</x:f>
        <x:v>0.07373161220675684</x:v>
      </x:c>
      <x:c r="D895" s="131" t="n">
        <x:f>MOD(ABS(SIN((A895+3)*12.9898+78.233)*43758.5453),1)</x:f>
        <x:v>0.016760629576083375</x:v>
      </x:c>
      <x:c r="E895" s="131" t="n">
        <x:f>MOD(ABS(SIN((A895+4)*12.9898+78.233)*43758.5453),1)</x:f>
        <x:v>0.7869080306663818</x:v>
      </x:c>
      <x:c r="F895" s="131" t="n">
        <x:f>MOD(ABS(SIN((A895+5)*12.9898+78.233)*43758.5453),1)</x:f>
        <x:v>0.08833151825456298</x:v>
      </x:c>
      <x:c r="G895" s="132" t="n">
        <x:f>IF(B895&lt;(('Assumptions'!$C$47-'Assumptions'!$B$47)/('Assumptions'!$D$47-'Assumptions'!$B$47)),'Assumptions'!$B$47+SQRT(B895*('Assumptions'!$D$47-'Assumptions'!$B$47)*('Assumptions'!$C$47-'Assumptions'!$B$47)),'Assumptions'!$D$47-SQRT((1-B895)*('Assumptions'!$D$47-'Assumptions'!$B$47)*('Assumptions'!$D$47-'Assumptions'!$C$47)))</x:f>
        <x:v>0.024872412839213195</x:v>
      </x:c>
      <x:c r="H895" s="132" t="n">
        <x:f>IF(C895&lt;(('Assumptions'!$C$48-'Assumptions'!$B$48)/('Assumptions'!$D$48-'Assumptions'!$B$48)),'Assumptions'!$B$48+SQRT(C895*('Assumptions'!$D$48-'Assumptions'!$B$48)*('Assumptions'!$C$48-'Assumptions'!$B$48)),'Assumptions'!$D$48-SQRT((1-C895)*('Assumptions'!$D$48-'Assumptions'!$B$48)*('Assumptions'!$D$48-'Assumptions'!$C$48)))</x:f>
        <x:v>0.04559853583777329</x:v>
      </x:c>
      <x:c r="I895" s="132" t="n">
        <x:f>IF(D895&lt;(('Assumptions'!$C$49-'Assumptions'!$B$49)/('Assumptions'!$D$49-'Assumptions'!$B$49)),'Assumptions'!$B$49+SQRT(D895*('Assumptions'!$D$49-'Assumptions'!$B$49)*('Assumptions'!$C$49-'Assumptions'!$B$49)),'Assumptions'!$D$49-SQRT((1-D895)*('Assumptions'!$D$49-'Assumptions'!$B$49)*('Assumptions'!$D$49-'Assumptions'!$C$49)))</x:f>
        <x:v>-0.016545825947992927</x:v>
      </x:c>
      <x:c r="J895" s="132" t="n">
        <x:f>IF(E895&lt;(('Assumptions'!$C$50-'Assumptions'!$B$50)/('Assumptions'!$D$50-'Assumptions'!$B$50)),'Assumptions'!$B$50+SQRT(E895*('Assumptions'!$D$50-'Assumptions'!$B$50)*('Assumptions'!$C$50-'Assumptions'!$B$50)),'Assumptions'!$D$50-SQRT((1-E895)*('Assumptions'!$D$50-'Assumptions'!$B$50)*('Assumptions'!$D$50-'Assumptions'!$C$50)))</x:f>
        <x:v>0.07225841641683821</x:v>
      </x:c>
      <x:c r="K895" s="132" t="n">
        <x:f>IF(F895&lt;(('Assumptions'!$C$51-'Assumptions'!$B$51)/('Assumptions'!$D$51-'Assumptions'!$B$51)),'Assumptions'!$B$51+SQRT(F895*('Assumptions'!$D$51-'Assumptions'!$B$51)*('Assumptions'!$C$51-'Assumptions'!$B$51)),'Assumptions'!$D$51-SQRT((1-F895)*('Assumptions'!$D$51-'Assumptions'!$B$51)*('Assumptions'!$D$51-'Assumptions'!$C$51)))</x:f>
        <x:v>0.062428607056766124</x:v>
      </x:c>
      <x:c r="L895" s="133" t="n">
        <x:f>(('Assumptions'!$B$17*(1+G895)+'Assumptions'!$B$18)*(1-H895-'Assumptions'!$B$20)-SUM('Assumptions'!$B$21:$B$25)*(1+I895))-(('Assumptions'!$B$17*(1+G895)+'Assumptions'!$B$18)*(1-H895-'Assumptions'!$B$20)*'Assumptions'!$B$26)</x:f>
        <x:v>226907.1634808946</x:v>
      </x:c>
      <x:c r="M895" s="133" t="n">
        <x:f>'Assumptions'!$B$10*'Assumptions'!$B$33</x:f>
        <x:v>1950000</x:v>
      </x:c>
      <x:c r="N895" s="133" t="n">
        <x:f>-PMT(K895/12,'Assumptions'!$B$35*12,M895)*12</x:f>
        <x:v>143969.18990716277</x:v>
      </x:c>
      <x:c r="O895" s="133" t="n">
        <x:f>(L895*(1+'Assumptions'!$B$29)^('Assumptions'!$B$14/12)/J895)*(1-'Assumptions'!$B$42)-'Debt Schedule'!$F$9</x:f>
        <x:v>3421950.66877984</x:v>
      </x:c>
      <x:c r="P895" s="132" t="n">
        <x:f>((O895+(L895-N895-'Assumptions'!$B$27-'Assumptions'!$B$28)*('Assumptions'!$B$14/12))/ABS('Monthly Cash Flow'!$S$5))^(1/('Assumptions'!$B$14/12))-1</x:f>
        <x:v>0.2294748920011762</x:v>
      </x:c>
      <x:c r="Q895" s="133" t="n">
        <x:f>-ABS('Monthly Cash Flow'!$S$5)+((L895-N895-'Assumptions'!$B$27-'Assumptions'!$B$28)*(1-(1+'Assumptions'!$B$43)^-('Assumptions'!$B$14/12))/'Assumptions'!$B$43)+(O895/(1+'Assumptions'!$B$43)^('Assumptions'!$B$14/12))</x:f>
        <x:v>993030.838830451</x:v>
      </x:c>
    </x:row>
    <x:row r="896">
      <x:c r="A896" s="131" t="n">
        <x:f>889</x:f>
        <x:v>889</x:v>
      </x:c>
      <x:c r="B896" s="131" t="n">
        <x:f>MOD(ABS(SIN((A896+1)*12.9898+78.233)*43758.5453),1)</x:f>
        <x:v>0.07373161220675684</x:v>
      </x:c>
      <x:c r="C896" s="131" t="n">
        <x:f>MOD(ABS(SIN((A896+2)*12.9898+78.233)*43758.5453),1)</x:f>
        <x:v>0.016760629576083375</x:v>
      </x:c>
      <x:c r="D896" s="131" t="n">
        <x:f>MOD(ABS(SIN((A896+3)*12.9898+78.233)*43758.5453),1)</x:f>
        <x:v>0.7869080306663818</x:v>
      </x:c>
      <x:c r="E896" s="131" t="n">
        <x:f>MOD(ABS(SIN((A896+4)*12.9898+78.233)*43758.5453),1)</x:f>
        <x:v>0.08833151825456298</x:v>
      </x:c>
      <x:c r="F896" s="131" t="n">
        <x:f>MOD(ABS(SIN((A896+5)*12.9898+78.233)*43758.5453),1)</x:f>
        <x:v>0.6187459309803671</x:v>
      </x:c>
      <x:c r="G896" s="132" t="n">
        <x:f>IF(B896&lt;(('Assumptions'!$C$47-'Assumptions'!$B$47)/('Assumptions'!$D$47-'Assumptions'!$B$47)),'Assumptions'!$B$47+SQRT(B896*('Assumptions'!$D$47-'Assumptions'!$B$47)*('Assumptions'!$C$47-'Assumptions'!$B$47)),'Assumptions'!$D$47-SQRT((1-B896)*('Assumptions'!$D$47-'Assumptions'!$B$47)*('Assumptions'!$D$47-'Assumptions'!$C$47)))</x:f>
        <x:v>-0.057933877134181196</x:v>
      </x:c>
      <x:c r="H896" s="132" t="n">
        <x:f>IF(C896&lt;(('Assumptions'!$C$48-'Assumptions'!$B$48)/('Assumptions'!$D$48-'Assumptions'!$B$48)),'Assumptions'!$B$48+SQRT(C896*('Assumptions'!$D$48-'Assumptions'!$B$48)*('Assumptions'!$C$48-'Assumptions'!$B$48)),'Assumptions'!$D$48-SQRT((1-C896)*('Assumptions'!$D$48-'Assumptions'!$B$48)*('Assumptions'!$D$48-'Assumptions'!$C$48)))</x:f>
        <x:v>0.0374370745324405</x:v>
      </x:c>
      <x:c r="I896" s="132" t="n">
        <x:f>IF(D896&lt;(('Assumptions'!$C$49-'Assumptions'!$B$49)/('Assumptions'!$D$49-'Assumptions'!$B$49)),'Assumptions'!$B$49+SQRT(D896*('Assumptions'!$D$49-'Assumptions'!$B$49)*('Assumptions'!$C$49-'Assumptions'!$B$49)),'Assumptions'!$D$49-SQRT((1-D896)*('Assumptions'!$D$49-'Assumptions'!$B$49)*('Assumptions'!$D$49-'Assumptions'!$C$49)))</x:f>
        <x:v>0.08215616065104987</x:v>
      </x:c>
      <x:c r="J896" s="132" t="n">
        <x:f>IF(E896&lt;(('Assumptions'!$C$50-'Assumptions'!$B$50)/('Assumptions'!$D$50-'Assumptions'!$B$50)),'Assumptions'!$B$50+SQRT(E896*('Assumptions'!$D$50-'Assumptions'!$B$50)*('Assumptions'!$C$50-'Assumptions'!$B$50)),'Assumptions'!$D$50-SQRT((1-E896)*('Assumptions'!$D$50-'Assumptions'!$B$50)*('Assumptions'!$D$50-'Assumptions'!$C$50)))</x:f>
        <x:v>0.06195809282174303</x:v>
      </x:c>
      <x:c r="K896" s="132" t="n">
        <x:f>IF(F896&lt;(('Assumptions'!$C$51-'Assumptions'!$B$51)/('Assumptions'!$D$51-'Assumptions'!$B$51)),'Assumptions'!$B$51+SQRT(F896*('Assumptions'!$D$51-'Assumptions'!$B$51)*('Assumptions'!$C$51-'Assumptions'!$B$51)),'Assumptions'!$D$51-SQRT((1-F896)*('Assumptions'!$D$51-'Assumptions'!$B$51)*('Assumptions'!$D$51-'Assumptions'!$C$51)))</x:f>
        <x:v>0.07145457565390814</x:v>
      </x:c>
      <x:c r="L896" s="133" t="n">
        <x:f>(('Assumptions'!$B$17*(1+G896)+'Assumptions'!$B$18)*(1-H896-'Assumptions'!$B$20)-SUM('Assumptions'!$B$21:$B$25)*(1+I896))-(('Assumptions'!$B$17*(1+G896)+'Assumptions'!$B$18)*(1-H896-'Assumptions'!$B$20)*'Assumptions'!$B$26)</x:f>
        <x:v>190242.19285066196</x:v>
      </x:c>
      <x:c r="M896" s="133" t="n">
        <x:f>'Assumptions'!$B$10*'Assumptions'!$B$33</x:f>
        <x:v>1950000</x:v>
      </x:c>
      <x:c r="N896" s="133" t="n">
        <x:f>-PMT(K896/12,'Assumptions'!$B$35*12,M896)*12</x:f>
        <x:v>157973.373038983</x:v>
      </x:c>
      <x:c r="O896" s="133" t="n">
        <x:f>(L896*(1+'Assumptions'!$B$29)^('Assumptions'!$B$14/12)/J896)*(1-'Assumptions'!$B$42)-'Debt Schedule'!$F$9</x:f>
        <x:v>3345975.675616929</x:v>
      </x:c>
      <x:c r="P896" s="132" t="n">
        <x:f>((O896+(L896-N896-'Assumptions'!$B$27-'Assumptions'!$B$28)*('Assumptions'!$B$14/12))/ABS('Monthly Cash Flow'!$S$5))^(1/('Assumptions'!$B$14/12))-1</x:f>
        <x:v>0.20635416106352755</x:v>
      </x:c>
      <x:c r="Q896" s="133" t="n">
        <x:f>-ABS('Monthly Cash Flow'!$S$5)+((L896-N896-'Assumptions'!$B$27-'Assumptions'!$B$28)*(1-(1+'Assumptions'!$B$43)^-('Assumptions'!$B$14/12))/'Assumptions'!$B$43)+(O896/(1+'Assumptions'!$B$43)^('Assumptions'!$B$14/12))</x:f>
        <x:v>753780.3878580134</x:v>
      </x:c>
    </x:row>
    <x:row r="897">
      <x:c r="A897" s="131" t="n">
        <x:f>890</x:f>
        <x:v>890</x:v>
      </x:c>
      <x:c r="B897" s="131" t="n">
        <x:f>MOD(ABS(SIN((A897+1)*12.9898+78.233)*43758.5453),1)</x:f>
        <x:v>0.016760629576083375</x:v>
      </x:c>
      <x:c r="C897" s="131" t="n">
        <x:f>MOD(ABS(SIN((A897+2)*12.9898+78.233)*43758.5453),1)</x:f>
        <x:v>0.7869080306663818</x:v>
      </x:c>
      <x:c r="D897" s="131" t="n">
        <x:f>MOD(ABS(SIN((A897+3)*12.9898+78.233)*43758.5453),1)</x:f>
        <x:v>0.08833151825456298</x:v>
      </x:c>
      <x:c r="E897" s="131" t="n">
        <x:f>MOD(ABS(SIN((A897+4)*12.9898+78.233)*43758.5453),1)</x:f>
        <x:v>0.6187459309803671</x:v>
      </x:c>
      <x:c r="F897" s="131" t="n">
        <x:f>MOD(ABS(SIN((A897+5)*12.9898+78.233)*43758.5453),1)</x:f>
        <x:v>0.44185328654566547</x:v>
      </x:c>
      <x:c r="G897" s="132" t="n">
        <x:f>IF(B897&lt;(('Assumptions'!$C$47-'Assumptions'!$B$47)/('Assumptions'!$D$47-'Assumptions'!$B$47)),'Assumptions'!$B$47+SQRT(B897*('Assumptions'!$D$47-'Assumptions'!$B$47)*('Assumptions'!$C$47-'Assumptions'!$B$47)),'Assumptions'!$D$47-SQRT((1-B897)*('Assumptions'!$D$47-'Assumptions'!$B$47)*('Assumptions'!$D$47-'Assumptions'!$C$47)))</x:f>
        <x:v>-0.07994370149239893</x:v>
      </x:c>
      <x:c r="H897" s="132" t="n">
        <x:f>IF(C897&lt;(('Assumptions'!$C$48-'Assumptions'!$B$48)/('Assumptions'!$D$48-'Assumptions'!$B$48)),'Assumptions'!$B$48+SQRT(C897*('Assumptions'!$D$48-'Assumptions'!$B$48)*('Assumptions'!$C$48-'Assumptions'!$B$48)),'Assumptions'!$D$48-SQRT((1-C897)*('Assumptions'!$D$48-'Assumptions'!$B$48)*('Assumptions'!$D$48-'Assumptions'!$C$48)))</x:f>
        <x:v>0.09669631274203269</x:v>
      </x:c>
      <x:c r="I897" s="132" t="n">
        <x:f>IF(D897&lt;(('Assumptions'!$C$49-'Assumptions'!$B$49)/('Assumptions'!$D$49-'Assumptions'!$B$49)),'Assumptions'!$B$49+SQRT(D897*('Assumptions'!$D$49-'Assumptions'!$B$49)*('Assumptions'!$C$49-'Assumptions'!$B$49)),'Assumptions'!$D$49-SQRT((1-D897)*('Assumptions'!$D$49-'Assumptions'!$B$49)*('Assumptions'!$D$49-'Assumptions'!$C$49)))</x:f>
        <x:v>0.0008865730884680713</x:v>
      </x:c>
      <x:c r="J897" s="132" t="n">
        <x:f>IF(E897&lt;(('Assumptions'!$C$50-'Assumptions'!$B$50)/('Assumptions'!$D$50-'Assumptions'!$B$50)),'Assumptions'!$B$50+SQRT(E897*('Assumptions'!$D$50-'Assumptions'!$B$50)*('Assumptions'!$C$50-'Assumptions'!$B$50)),'Assumptions'!$D$50-SQRT((1-E897)*('Assumptions'!$D$50-'Assumptions'!$B$50)*('Assumptions'!$D$50-'Assumptions'!$C$50)))</x:f>
        <x:v>0.06964491878777516</x:v>
      </x:c>
      <x:c r="K897" s="132" t="n">
        <x:f>IF(F897&lt;(('Assumptions'!$C$51-'Assumptions'!$B$51)/('Assumptions'!$D$51-'Assumptions'!$B$51)),'Assumptions'!$B$51+SQRT(F897*('Assumptions'!$D$51-'Assumptions'!$B$51)*('Assumptions'!$C$51-'Assumptions'!$B$51)),'Assumptions'!$D$51-SQRT((1-F897)*('Assumptions'!$D$51-'Assumptions'!$B$51)*('Assumptions'!$D$51-'Assumptions'!$C$51)))</x:f>
        <x:v>0.0686107319916386</x:v>
      </x:c>
      <x:c r="L897" s="133" t="n">
        <x:f>(('Assumptions'!$B$17*(1+G897)+'Assumptions'!$B$18)*(1-H897-'Assumptions'!$B$20)-SUM('Assumptions'!$B$21:$B$25)*(1+I897))-(('Assumptions'!$B$17*(1+G897)+'Assumptions'!$B$18)*(1-H897-'Assumptions'!$B$20)*'Assumptions'!$B$26)</x:f>
        <x:v>173369.65427694193</x:v>
      </x:c>
      <x:c r="M897" s="133" t="n">
        <x:f>'Assumptions'!$B$10*'Assumptions'!$B$33</x:f>
        <x:v>1950000</x:v>
      </x:c>
      <x:c r="N897" s="133" t="n">
        <x:f>-PMT(K897/12,'Assumptions'!$B$35*12,M897)*12</x:f>
        <x:v>153503.65220169915</x:v>
      </x:c>
      <x:c r="O897" s="133" t="n">
        <x:f>(L897*(1+'Assumptions'!$B$29)^('Assumptions'!$B$14/12)/J897)*(1-'Assumptions'!$B$42)-'Debt Schedule'!$F$9</x:f>
        <x:v>2712674.119427046</x:v>
      </x:c>
      <x:c r="P897" s="132" t="n">
        <x:f>((O897+(L897-N897-'Assumptions'!$B$27-'Assumptions'!$B$28)*('Assumptions'!$B$14/12))/ABS('Monthly Cash Flow'!$S$5))^(1/('Assumptions'!$B$14/12))-1</x:f>
        <x:v>0.1507324520515223</x:v>
      </x:c>
      <x:c r="Q897" s="133" t="n">
        <x:f>-ABS('Monthly Cash Flow'!$S$5)+((L897-N897-'Assumptions'!$B$27-'Assumptions'!$B$28)*(1-(1+'Assumptions'!$B$43)^-('Assumptions'!$B$14/12))/'Assumptions'!$B$43)+(O897/(1+'Assumptions'!$B$43)^('Assumptions'!$B$14/12))</x:f>
        <x:v>313533.5103145025</x:v>
      </x:c>
    </x:row>
    <x:row r="898">
      <x:c r="A898" s="131" t="n">
        <x:f>891</x:f>
        <x:v>891</x:v>
      </x:c>
      <x:c r="B898" s="131" t="n">
        <x:f>MOD(ABS(SIN((A898+1)*12.9898+78.233)*43758.5453),1)</x:f>
        <x:v>0.7869080306663818</x:v>
      </x:c>
      <x:c r="C898" s="131" t="n">
        <x:f>MOD(ABS(SIN((A898+2)*12.9898+78.233)*43758.5453),1)</x:f>
        <x:v>0.08833151825456298</x:v>
      </x:c>
      <x:c r="D898" s="131" t="n">
        <x:f>MOD(ABS(SIN((A898+3)*12.9898+78.233)*43758.5453),1)</x:f>
        <x:v>0.6187459309803671</x:v>
      </x:c>
      <x:c r="E898" s="131" t="n">
        <x:f>MOD(ABS(SIN((A898+4)*12.9898+78.233)*43758.5453),1)</x:f>
        <x:v>0.44185328654566547</x:v>
      </x:c>
      <x:c r="F898" s="131" t="n">
        <x:f>MOD(ABS(SIN((A898+5)*12.9898+78.233)*43758.5453),1)</x:f>
        <x:v>0.26453827807563357</x:v>
      </x:c>
      <x:c r="G898" s="132" t="n">
        <x:f>IF(B898&lt;(('Assumptions'!$C$47-'Assumptions'!$B$47)/('Assumptions'!$D$47-'Assumptions'!$B$47)),'Assumptions'!$B$47+SQRT(B898*('Assumptions'!$D$47-'Assumptions'!$B$47)*('Assumptions'!$C$47-'Assumptions'!$B$47)),'Assumptions'!$D$47-SQRT((1-B898)*('Assumptions'!$D$47-'Assumptions'!$B$47)*('Assumptions'!$D$47-'Assumptions'!$C$47)))</x:f>
        <x:v>0.04160932001305439</x:v>
      </x:c>
      <x:c r="H898" s="132" t="n">
        <x:f>IF(C898&lt;(('Assumptions'!$C$48-'Assumptions'!$B$48)/('Assumptions'!$D$48-'Assumptions'!$B$48)),'Assumptions'!$B$48+SQRT(C898*('Assumptions'!$D$48-'Assumptions'!$B$48)*('Assumptions'!$C$48-'Assumptions'!$B$48)),'Assumptions'!$D$48-SQRT((1-C898)*('Assumptions'!$D$48-'Assumptions'!$B$48)*('Assumptions'!$D$48-'Assumptions'!$C$48)))</x:f>
        <x:v>0.04707319566572286</x:v>
      </x:c>
      <x:c r="I898" s="132" t="n">
        <x:f>IF(D898&lt;(('Assumptions'!$C$49-'Assumptions'!$B$49)/('Assumptions'!$D$49-'Assumptions'!$B$49)),'Assumptions'!$B$49+SQRT(D898*('Assumptions'!$D$49-'Assumptions'!$B$49)*('Assumptions'!$C$49-'Assumptions'!$B$49)),'Assumptions'!$D$49-SQRT((1-D898)*('Assumptions'!$D$49-'Assumptions'!$B$49)*('Assumptions'!$D$49-'Assumptions'!$C$49)))</x:f>
        <x:v>0.05925261496426429</x:v>
      </x:c>
      <x:c r="J898" s="132" t="n">
        <x:f>IF(E898&lt;(('Assumptions'!$C$50-'Assumptions'!$B$50)/('Assumptions'!$D$50-'Assumptions'!$B$50)),'Assumptions'!$B$50+SQRT(E898*('Assumptions'!$D$50-'Assumptions'!$B$50)*('Assumptions'!$C$50-'Assumptions'!$B$50)),'Assumptions'!$D$50-SQRT((1-E898)*('Assumptions'!$D$50-'Assumptions'!$B$50)*('Assumptions'!$D$50-'Assumptions'!$C$50)))</x:f>
        <x:v>0.06747080686167246</x:v>
      </x:c>
      <x:c r="K898" s="132" t="n">
        <x:f>IF(F898&lt;(('Assumptions'!$C$51-'Assumptions'!$B$51)/('Assumptions'!$D$51-'Assumptions'!$B$51)),'Assumptions'!$B$51+SQRT(F898*('Assumptions'!$D$51-'Assumptions'!$B$51)*('Assumptions'!$C$51-'Assumptions'!$B$51)),'Assumptions'!$D$51-SQRT((1-F898)*('Assumptions'!$D$51-'Assumptions'!$B$51)*('Assumptions'!$D$51-'Assumptions'!$C$51)))</x:f>
        <x:v>0.06602924536350077</x:v>
      </x:c>
      <x:c r="L898" s="133" t="n">
        <x:f>(('Assumptions'!$B$17*(1+G898)+'Assumptions'!$B$18)*(1-H898-'Assumptions'!$B$20)-SUM('Assumptions'!$B$21:$B$25)*(1+I898))-(('Assumptions'!$B$17*(1+G898)+'Assumptions'!$B$18)*(1-H898-'Assumptions'!$B$20)*'Assumptions'!$B$26)</x:f>
        <x:v>222262.90738411437</x:v>
      </x:c>
      <x:c r="M898" s="133" t="n">
        <x:f>'Assumptions'!$B$10*'Assumptions'!$B$33</x:f>
        <x:v>1950000</x:v>
      </x:c>
      <x:c r="N898" s="133" t="n">
        <x:f>-PMT(K898/12,'Assumptions'!$B$35*12,M898)*12</x:f>
        <x:v>149491.36721632924</x:v>
      </x:c>
      <x:c r="O898" s="133" t="n">
        <x:f>(L898*(1+'Assumptions'!$B$29)^('Assumptions'!$B$14/12)/J898)*(1-'Assumptions'!$B$42)-'Debt Schedule'!$F$9</x:f>
        <x:v>3589757.109811527</x:v>
      </x:c>
      <x:c r="P898" s="132" t="n">
        <x:f>((O898+(L898-N898-'Assumptions'!$B$27-'Assumptions'!$B$28)*('Assumptions'!$B$14/12))/ABS('Monthly Cash Flow'!$S$5))^(1/('Assumptions'!$B$14/12))-1</x:f>
        <x:v>0.23728437888661258</x:v>
      </x:c>
      <x:c r="Q898" s="133" t="n">
        <x:f>-ABS('Monthly Cash Flow'!$S$5)+((L898-N898-'Assumptions'!$B$27-'Assumptions'!$B$28)*(1-(1+'Assumptions'!$B$43)^-('Assumptions'!$B$14/12))/'Assumptions'!$B$43)+(O898/(1+'Assumptions'!$B$43)^('Assumptions'!$B$14/12))</x:f>
        <x:v>1058686.6549663593</x:v>
      </x:c>
    </x:row>
    <x:row r="899">
      <x:c r="A899" s="131" t="n">
        <x:f>892</x:f>
        <x:v>892</x:v>
      </x:c>
      <x:c r="B899" s="131" t="n">
        <x:f>MOD(ABS(SIN((A899+1)*12.9898+78.233)*43758.5453),1)</x:f>
        <x:v>0.08833151825456298</x:v>
      </x:c>
      <x:c r="C899" s="131" t="n">
        <x:f>MOD(ABS(SIN((A899+2)*12.9898+78.233)*43758.5453),1)</x:f>
        <x:v>0.6187459309803671</x:v>
      </x:c>
      <x:c r="D899" s="131" t="n">
        <x:f>MOD(ABS(SIN((A899+3)*12.9898+78.233)*43758.5453),1)</x:f>
        <x:v>0.44185328654566547</x:v>
      </x:c>
      <x:c r="E899" s="131" t="n">
        <x:f>MOD(ABS(SIN((A899+4)*12.9898+78.233)*43758.5453),1)</x:f>
        <x:v>0.26453827807563357</x:v>
      </x:c>
      <x:c r="F899" s="131" t="n">
        <x:f>MOD(ABS(SIN((A899+5)*12.9898+78.233)*43758.5453),1)</x:f>
        <x:v>0.07529288501245901</x:v>
      </x:c>
      <x:c r="G899" s="132" t="n">
        <x:f>IF(B899&lt;(('Assumptions'!$C$47-'Assumptions'!$B$47)/('Assumptions'!$D$47-'Assumptions'!$B$47)),'Assumptions'!$B$47+SQRT(B899*('Assumptions'!$D$47-'Assumptions'!$B$47)*('Assumptions'!$C$47-'Assumptions'!$B$47)),'Assumptions'!$D$47-SQRT((1-B899)*('Assumptions'!$D$47-'Assumptions'!$B$47)*('Assumptions'!$D$47-'Assumptions'!$C$47)))</x:f>
        <x:v>-0.05395701532144651</x:v>
      </x:c>
      <x:c r="H899" s="132" t="n">
        <x:f>IF(C899&lt;(('Assumptions'!$C$48-'Assumptions'!$B$48)/('Assumptions'!$D$48-'Assumptions'!$B$48)),'Assumptions'!$B$48+SQRT(C899*('Assumptions'!$D$48-'Assumptions'!$B$48)*('Assumptions'!$C$48-'Assumptions'!$B$48)),'Assumptions'!$D$48-SQRT((1-C899)*('Assumptions'!$D$48-'Assumptions'!$B$48)*('Assumptions'!$D$48-'Assumptions'!$C$48)))</x:f>
        <x:v>0.08207732907252319</x:v>
      </x:c>
      <x:c r="I899" s="132" t="n">
        <x:f>IF(D899&lt;(('Assumptions'!$C$49-'Assumptions'!$B$49)/('Assumptions'!$D$49-'Assumptions'!$B$49)),'Assumptions'!$B$49+SQRT(D899*('Assumptions'!$D$49-'Assumptions'!$B$49)*('Assumptions'!$C$49-'Assumptions'!$B$49)),'Assumptions'!$D$49-SQRT((1-D899)*('Assumptions'!$D$49-'Assumptions'!$B$49)*('Assumptions'!$D$49-'Assumptions'!$C$49)))</x:f>
        <x:v>0.04020032326726264</x:v>
      </x:c>
      <x:c r="J899" s="132" t="n">
        <x:f>IF(E899&lt;(('Assumptions'!$C$50-'Assumptions'!$B$50)/('Assumptions'!$D$50-'Assumptions'!$B$50)),'Assumptions'!$B$50+SQRT(E899*('Assumptions'!$D$50-'Assumptions'!$B$50)*('Assumptions'!$C$50-'Assumptions'!$B$50)),'Assumptions'!$D$50-SQRT((1-E899)*('Assumptions'!$D$50-'Assumptions'!$B$50)*('Assumptions'!$D$50-'Assumptions'!$C$50)))</x:f>
        <x:v>0.06521499271334831</x:v>
      </x:c>
      <x:c r="K899" s="132" t="n">
        <x:f>IF(F899&lt;(('Assumptions'!$C$51-'Assumptions'!$B$51)/('Assumptions'!$D$51-'Assumptions'!$B$51)),'Assumptions'!$B$51+SQRT(F899*('Assumptions'!$D$51-'Assumptions'!$B$51)*('Assumptions'!$C$51-'Assumptions'!$B$51)),'Assumptions'!$D$51-SQRT((1-F899)*('Assumptions'!$D$51-'Assumptions'!$B$51)*('Assumptions'!$D$51-'Assumptions'!$C$51)))</x:f>
        <x:v>0.062050334424899586</x:v>
      </x:c>
      <x:c r="L899" s="133" t="n">
        <x:f>(('Assumptions'!$B$17*(1+G899)+'Assumptions'!$B$18)*(1-H899-'Assumptions'!$B$20)-SUM('Assumptions'!$B$21:$B$25)*(1+I899))-(('Assumptions'!$B$17*(1+G899)+'Assumptions'!$B$18)*(1-H899-'Assumptions'!$B$20)*'Assumptions'!$B$26)</x:f>
        <x:v>181471.2096902649</x:v>
      </x:c>
      <x:c r="M899" s="133" t="n">
        <x:f>'Assumptions'!$B$10*'Assumptions'!$B$33</x:f>
        <x:v>1950000</x:v>
      </x:c>
      <x:c r="N899" s="133" t="n">
        <x:f>-PMT(K899/12,'Assumptions'!$B$35*12,M899)*12</x:f>
        <x:v>143394.17923119402</x:v>
      </x:c>
      <x:c r="O899" s="133" t="n">
        <x:f>(L899*(1+'Assumptions'!$B$29)^('Assumptions'!$B$14/12)/J899)*(1-'Assumptions'!$B$42)-'Debt Schedule'!$F$9</x:f>
        <x:v>3032314.630125839</x:v>
      </x:c>
      <x:c r="P899" s="132" t="n">
        <x:f>((O899+(L899-N899-'Assumptions'!$B$27-'Assumptions'!$B$28)*('Assumptions'!$B$14/12))/ABS('Monthly Cash Flow'!$S$5))^(1/('Assumptions'!$B$14/12))-1</x:f>
        <x:v>0.18483695677695056</x:v>
      </x:c>
      <x:c r="Q899" s="133" t="n">
        <x:f>-ABS('Monthly Cash Flow'!$S$5)+((L899-N899-'Assumptions'!$B$27-'Assumptions'!$B$28)*(1-(1+'Assumptions'!$B$43)^-('Assumptions'!$B$14/12))/'Assumptions'!$B$43)+(O899/(1+'Assumptions'!$B$43)^('Assumptions'!$B$14/12))</x:f>
        <x:v>581039.2445756383</x:v>
      </x:c>
    </x:row>
    <x:row r="900">
      <x:c r="A900" s="131" t="n">
        <x:f>893</x:f>
        <x:v>893</x:v>
      </x:c>
      <x:c r="B900" s="131" t="n">
        <x:f>MOD(ABS(SIN((A900+1)*12.9898+78.233)*43758.5453),1)</x:f>
        <x:v>0.6187459309803671</x:v>
      </x:c>
      <x:c r="C900" s="131" t="n">
        <x:f>MOD(ABS(SIN((A900+2)*12.9898+78.233)*43758.5453),1)</x:f>
        <x:v>0.44185328654566547</x:v>
      </x:c>
      <x:c r="D900" s="131" t="n">
        <x:f>MOD(ABS(SIN((A900+3)*12.9898+78.233)*43758.5453),1)</x:f>
        <x:v>0.26453827807563357</x:v>
      </x:c>
      <x:c r="E900" s="131" t="n">
        <x:f>MOD(ABS(SIN((A900+4)*12.9898+78.233)*43758.5453),1)</x:f>
        <x:v>0.07529288501245901</x:v>
      </x:c>
      <x:c r="F900" s="131" t="n">
        <x:f>MOD(ABS(SIN((A900+5)*12.9898+78.233)*43758.5453),1)</x:f>
        <x:v>0.8699199405982654</x:v>
      </x:c>
      <x:c r="G900" s="132" t="n">
        <x:f>IF(B900&lt;(('Assumptions'!$C$47-'Assumptions'!$B$47)/('Assumptions'!$D$47-'Assumptions'!$B$47)),'Assumptions'!$B$47+SQRT(B900*('Assumptions'!$D$47-'Assumptions'!$B$47)*('Assumptions'!$C$47-'Assumptions'!$B$47)),'Assumptions'!$D$47-SQRT((1-B900)*('Assumptions'!$D$47-'Assumptions'!$B$47)*('Assumptions'!$D$47-'Assumptions'!$C$47)))</x:f>
        <x:v>0.021897086454382986</x:v>
      </x:c>
      <x:c r="H900" s="132" t="n">
        <x:f>IF(C900&lt;(('Assumptions'!$C$48-'Assumptions'!$B$48)/('Assumptions'!$D$48-'Assumptions'!$B$48)),'Assumptions'!$B$48+SQRT(C900*('Assumptions'!$D$48-'Assumptions'!$B$48)*('Assumptions'!$C$48-'Assumptions'!$B$48)),'Assumptions'!$D$48-SQRT((1-C900)*('Assumptions'!$D$48-'Assumptions'!$B$48)*('Assumptions'!$D$48-'Assumptions'!$C$48)))</x:f>
        <x:v>0.06991654204879626</x:v>
      </x:c>
      <x:c r="I900" s="132" t="n">
        <x:f>IF(D900&lt;(('Assumptions'!$C$49-'Assumptions'!$B$49)/('Assumptions'!$D$49-'Assumptions'!$B$49)),'Assumptions'!$B$49+SQRT(D900*('Assumptions'!$D$49-'Assumptions'!$B$49)*('Assumptions'!$C$49-'Assumptions'!$B$49)),'Assumptions'!$D$49-SQRT((1-D900)*('Assumptions'!$D$49-'Assumptions'!$B$49)*('Assumptions'!$D$49-'Assumptions'!$C$49)))</x:f>
        <x:v>0.02345103743817179</x:v>
      </x:c>
      <x:c r="J900" s="132" t="n">
        <x:f>IF(E900&lt;(('Assumptions'!$C$50-'Assumptions'!$B$50)/('Assumptions'!$D$50-'Assumptions'!$B$50)),'Assumptions'!$B$50+SQRT(E900*('Assumptions'!$D$50-'Assumptions'!$B$50)*('Assumptions'!$C$50-'Assumptions'!$B$50)),'Assumptions'!$D$50-SQRT((1-E900)*('Assumptions'!$D$50-'Assumptions'!$B$50)*('Assumptions'!$D$50-'Assumptions'!$C$50)))</x:f>
        <x:v>0.06161593235218988</x:v>
      </x:c>
      <x:c r="K900" s="132" t="n">
        <x:f>IF(F900&lt;(('Assumptions'!$C$51-'Assumptions'!$B$51)/('Assumptions'!$D$51-'Assumptions'!$B$51)),'Assumptions'!$B$51+SQRT(F900*('Assumptions'!$D$51-'Assumptions'!$B$51)*('Assumptions'!$C$51-'Assumptions'!$B$51)),'Assumptions'!$D$51-SQRT((1-F900)*('Assumptions'!$D$51-'Assumptions'!$B$51)*('Assumptions'!$D$51-'Assumptions'!$C$51)))</x:f>
        <x:v>0.07708791882074731</x:v>
      </x:c>
      <x:c r="L900" s="133" t="n">
        <x:f>(('Assumptions'!$B$17*(1+G900)+'Assumptions'!$B$18)*(1-H900-'Assumptions'!$B$20)-SUM('Assumptions'!$B$21:$B$25)*(1+I900))-(('Assumptions'!$B$17*(1+G900)+'Assumptions'!$B$18)*(1-H900-'Assumptions'!$B$20)*'Assumptions'!$B$26)</x:f>
        <x:v>211887.90851561938</x:v>
      </x:c>
      <x:c r="M900" s="133" t="n">
        <x:f>'Assumptions'!$B$10*'Assumptions'!$B$33</x:f>
        <x:v>1950000</x:v>
      </x:c>
      <x:c r="N900" s="133" t="n">
        <x:f>-PMT(K900/12,'Assumptions'!$B$35*12,M900)*12</x:f>
        <x:v>166974.61439965092</x:v>
      </x:c>
      <x:c r="O900" s="133" t="n">
        <x:f>(L900*(1+'Assumptions'!$B$29)^('Assumptions'!$B$14/12)/J900)*(1-'Assumptions'!$B$42)-'Debt Schedule'!$F$9</x:f>
        <x:v>3747374.755932148</x:v>
      </x:c>
      <x:c r="P900" s="132" t="n">
        <x:f>((O900+(L900-N900-'Assumptions'!$B$27-'Assumptions'!$B$28)*('Assumptions'!$B$14/12))/ABS('Monthly Cash Flow'!$S$5))^(1/('Assumptions'!$B$14/12))-1</x:f>
        <x:v>0.23849019438484498</x:v>
      </x:c>
      <x:c r="Q900" s="133" t="n">
        <x:f>-ABS('Monthly Cash Flow'!$S$5)+((L900-N900-'Assumptions'!$B$27-'Assumptions'!$B$28)*(1-(1+'Assumptions'!$B$43)^-('Assumptions'!$B$14/12))/'Assumptions'!$B$43)+(O900/(1+'Assumptions'!$B$43)^('Assumptions'!$B$14/12))</x:f>
        <x:v>1050950.1417808929</x:v>
      </x:c>
    </x:row>
    <x:row r="901">
      <x:c r="A901" s="131" t="n">
        <x:f>894</x:f>
        <x:v>894</x:v>
      </x:c>
      <x:c r="B901" s="131" t="n">
        <x:f>MOD(ABS(SIN((A901+1)*12.9898+78.233)*43758.5453),1)</x:f>
        <x:v>0.44185328654566547</x:v>
      </x:c>
      <x:c r="C901" s="131" t="n">
        <x:f>MOD(ABS(SIN((A901+2)*12.9898+78.233)*43758.5453),1)</x:f>
        <x:v>0.26453827807563357</x:v>
      </x:c>
      <x:c r="D901" s="131" t="n">
        <x:f>MOD(ABS(SIN((A901+3)*12.9898+78.233)*43758.5453),1)</x:f>
        <x:v>0.07529288501245901</x:v>
      </x:c>
      <x:c r="E901" s="131" t="n">
        <x:f>MOD(ABS(SIN((A901+4)*12.9898+78.233)*43758.5453),1)</x:f>
        <x:v>0.8699199405982654</x:v>
      </x:c>
      <x:c r="F901" s="131" t="n">
        <x:f>MOD(ABS(SIN((A901+5)*12.9898+78.233)*43758.5453),1)</x:f>
        <x:v>0.4002273016649269</x:v>
      </x:c>
      <x:c r="G901" s="132" t="n">
        <x:f>IF(B901&lt;(('Assumptions'!$C$47-'Assumptions'!$B$47)/('Assumptions'!$D$47-'Assumptions'!$B$47)),'Assumptions'!$B$47+SQRT(B901*('Assumptions'!$D$47-'Assumptions'!$B$47)*('Assumptions'!$C$47-'Assumptions'!$B$47)),'Assumptions'!$D$47-SQRT((1-B901)*('Assumptions'!$D$47-'Assumptions'!$B$47)*('Assumptions'!$D$47-'Assumptions'!$C$47)))</x:f>
        <x:v>0.0029780504626882726</x:v>
      </x:c>
      <x:c r="H901" s="132" t="n">
        <x:f>IF(C901&lt;(('Assumptions'!$C$48-'Assumptions'!$B$48)/('Assumptions'!$D$48-'Assumptions'!$B$48)),'Assumptions'!$B$48+SQRT(C901*('Assumptions'!$D$48-'Assumptions'!$B$48)*('Assumptions'!$C$48-'Assumptions'!$B$48)),'Assumptions'!$D$48-SQRT((1-C901)*('Assumptions'!$D$48-'Assumptions'!$B$48)*('Assumptions'!$D$48-'Assumptions'!$C$48)))</x:f>
        <x:v>0.05954617263960919</x:v>
      </x:c>
      <x:c r="I901" s="132" t="n">
        <x:f>IF(D901&lt;(('Assumptions'!$C$49-'Assumptions'!$B$49)/('Assumptions'!$D$49-'Assumptions'!$B$49)),'Assumptions'!$B$49+SQRT(D901*('Assumptions'!$D$49-'Assumptions'!$B$49)*('Assumptions'!$C$49-'Assumptions'!$B$49)),'Assumptions'!$D$49-SQRT((1-D901)*('Assumptions'!$D$49-'Assumptions'!$B$49)*('Assumptions'!$D$49-'Assumptions'!$C$49)))</x:f>
        <x:v>-0.0014839841819626332</x:v>
      </x:c>
      <x:c r="J901" s="132" t="n">
        <x:f>IF(E901&lt;(('Assumptions'!$C$50-'Assumptions'!$B$50)/('Assumptions'!$D$50-'Assumptions'!$B$50)),'Assumptions'!$B$50+SQRT(E901*('Assumptions'!$D$50-'Assumptions'!$B$50)*('Assumptions'!$C$50-'Assumptions'!$B$50)),'Assumptions'!$D$50-SQRT((1-E901)*('Assumptions'!$D$50-'Assumptions'!$B$50)*('Assumptions'!$D$50-'Assumptions'!$C$50)))</x:f>
        <x:v>0.07395144507285105</x:v>
      </x:c>
      <x:c r="K901" s="132" t="n">
        <x:f>IF(F901&lt;(('Assumptions'!$C$51-'Assumptions'!$B$51)/('Assumptions'!$D$51-'Assumptions'!$B$51)),'Assumptions'!$B$51+SQRT(F901*('Assumptions'!$D$51-'Assumptions'!$B$51)*('Assumptions'!$C$51-'Assumptions'!$B$51)),'Assumptions'!$D$51-SQRT((1-F901)*('Assumptions'!$D$51-'Assumptions'!$B$51)*('Assumptions'!$D$51-'Assumptions'!$C$51)))</x:f>
        <x:v>0.06801057355077124</x:v>
      </x:c>
      <x:c r="L901" s="133" t="n">
        <x:f>(('Assumptions'!$B$17*(1+G901)+'Assumptions'!$B$18)*(1-H901-'Assumptions'!$B$20)-SUM('Assumptions'!$B$21:$B$25)*(1+I901))-(('Assumptions'!$B$17*(1+G901)+'Assumptions'!$B$18)*(1-H901-'Assumptions'!$B$20)*'Assumptions'!$B$26)</x:f>
        <x:v>212787.70320815936</x:v>
      </x:c>
      <x:c r="M901" s="133" t="n">
        <x:f>'Assumptions'!$B$10*'Assumptions'!$B$33</x:f>
        <x:v>1950000</x:v>
      </x:c>
      <x:c r="N901" s="133" t="n">
        <x:f>-PMT(K901/12,'Assumptions'!$B$35*12,M901)*12</x:f>
        <x:v>152566.9754335285</x:v>
      </x:c>
      <x:c r="O901" s="133" t="n">
        <x:f>(L901*(1+'Assumptions'!$B$29)^('Assumptions'!$B$14/12)/J901)*(1-'Assumptions'!$B$42)-'Debt Schedule'!$F$9</x:f>
        <x:v>3135550.784316523</x:v>
      </x:c>
      <x:c r="P901" s="132" t="n">
        <x:f>((O901+(L901-N901-'Assumptions'!$B$27-'Assumptions'!$B$28)*('Assumptions'!$B$14/12))/ABS('Monthly Cash Flow'!$S$5))^(1/('Assumptions'!$B$14/12))-1</x:f>
        <x:v>0.2011544525705371</x:v>
      </x:c>
      <x:c r="Q901" s="133" t="n">
        <x:f>-ABS('Monthly Cash Flow'!$S$5)+((L901-N901-'Assumptions'!$B$27-'Assumptions'!$B$28)*(1-(1+'Assumptions'!$B$43)^-('Assumptions'!$B$14/12))/'Assumptions'!$B$43)+(O901/(1+'Assumptions'!$B$43)^('Assumptions'!$B$14/12))</x:f>
        <x:v>729082.8088328671</x:v>
      </x:c>
    </x:row>
    <x:row r="902">
      <x:c r="A902" s="131" t="n">
        <x:f>895</x:f>
        <x:v>895</x:v>
      </x:c>
      <x:c r="B902" s="131" t="n">
        <x:f>MOD(ABS(SIN((A902+1)*12.9898+78.233)*43758.5453),1)</x:f>
        <x:v>0.26453827807563357</x:v>
      </x:c>
      <x:c r="C902" s="131" t="n">
        <x:f>MOD(ABS(SIN((A902+2)*12.9898+78.233)*43758.5453),1)</x:f>
        <x:v>0.07529288501245901</x:v>
      </x:c>
      <x:c r="D902" s="131" t="n">
        <x:f>MOD(ABS(SIN((A902+3)*12.9898+78.233)*43758.5453),1)</x:f>
        <x:v>0.8699199405982654</x:v>
      </x:c>
      <x:c r="E902" s="131" t="n">
        <x:f>MOD(ABS(SIN((A902+4)*12.9898+78.233)*43758.5453),1)</x:f>
        <x:v>0.4002273016649269</x:v>
      </x:c>
      <x:c r="F902" s="131" t="n">
        <x:f>MOD(ABS(SIN((A902+5)*12.9898+78.233)*43758.5453),1)</x:f>
        <x:v>0.645936973985954</x:v>
      </x:c>
      <x:c r="G902" s="132" t="n">
        <x:f>IF(B902&lt;(('Assumptions'!$C$47-'Assumptions'!$B$47)/('Assumptions'!$D$47-'Assumptions'!$B$47)),'Assumptions'!$B$47+SQRT(B902*('Assumptions'!$D$47-'Assumptions'!$B$47)*('Assumptions'!$C$47-'Assumptions'!$B$47)),'Assumptions'!$D$47-SQRT((1-B902)*('Assumptions'!$D$47-'Assumptions'!$B$47)*('Assumptions'!$D$47-'Assumptions'!$C$47)))</x:f>
        <x:v>-0.020319897880241106</x:v>
      </x:c>
      <x:c r="H902" s="132" t="n">
        <x:f>IF(C902&lt;(('Assumptions'!$C$48-'Assumptions'!$B$48)/('Assumptions'!$D$48-'Assumptions'!$B$48)),'Assumptions'!$B$48+SQRT(C902*('Assumptions'!$D$48-'Assumptions'!$B$48)*('Assumptions'!$C$48-'Assumptions'!$B$48)),'Assumptions'!$D$48-SQRT((1-C902)*('Assumptions'!$D$48-'Assumptions'!$B$48)*('Assumptions'!$D$48-'Assumptions'!$C$48)))</x:f>
        <x:v>0.04576282083071158</x:v>
      </x:c>
      <x:c r="I902" s="132" t="n">
        <x:f>IF(D902&lt;(('Assumptions'!$C$49-'Assumptions'!$B$49)/('Assumptions'!$D$49-'Assumptions'!$B$49)),'Assumptions'!$B$49+SQRT(D902*('Assumptions'!$D$49-'Assumptions'!$B$49)*('Assumptions'!$C$49-'Assumptions'!$B$49)),'Assumptions'!$D$49-SQRT((1-D902)*('Assumptions'!$D$49-'Assumptions'!$B$49)*('Assumptions'!$D$49-'Assumptions'!$C$49)))</x:f>
        <x:v>0.09699312041746404</x:v>
      </x:c>
      <x:c r="J902" s="132" t="n">
        <x:f>IF(E902&lt;(('Assumptions'!$C$50-'Assumptions'!$B$50)/('Assumptions'!$D$50-'Assumptions'!$B$50)),'Assumptions'!$B$50+SQRT(E902*('Assumptions'!$D$50-'Assumptions'!$B$50)*('Assumptions'!$C$50-'Assumptions'!$B$50)),'Assumptions'!$D$50-SQRT((1-E902)*('Assumptions'!$D$50-'Assumptions'!$B$50)*('Assumptions'!$D$50-'Assumptions'!$C$50)))</x:f>
        <x:v>0.06698952806385063</x:v>
      </x:c>
      <x:c r="K902" s="132" t="n">
        <x:f>IF(F902&lt;(('Assumptions'!$C$51-'Assumptions'!$B$51)/('Assumptions'!$D$51-'Assumptions'!$B$51)),'Assumptions'!$B$51+SQRT(F902*('Assumptions'!$D$51-'Assumptions'!$B$51)*('Assumptions'!$C$51-'Assumptions'!$B$51)),'Assumptions'!$D$51-SQRT((1-F902)*('Assumptions'!$D$51-'Assumptions'!$B$51)*('Assumptions'!$D$51-'Assumptions'!$C$51)))</x:f>
        <x:v>0.0719465394906462</x:v>
      </x:c>
      <x:c r="L902" s="133" t="n">
        <x:f>(('Assumptions'!$B$17*(1+G902)+'Assumptions'!$B$18)*(1-H902-'Assumptions'!$B$20)-SUM('Assumptions'!$B$21:$B$25)*(1+I902))-(('Assumptions'!$B$17*(1+G902)+'Assumptions'!$B$18)*(1-H902-'Assumptions'!$B$20)*'Assumptions'!$B$26)</x:f>
        <x:v>197792.69526838846</x:v>
      </x:c>
      <x:c r="M902" s="133" t="n">
        <x:f>'Assumptions'!$B$10*'Assumptions'!$B$33</x:f>
        <x:v>1950000</x:v>
      </x:c>
      <x:c r="N902" s="133" t="n">
        <x:f>-PMT(K902/12,'Assumptions'!$B$35*12,M902)*12</x:f>
        <x:v>158751.7645892806</x:v>
      </x:c>
      <x:c r="O902" s="133" t="n">
        <x:f>(L902*(1+'Assumptions'!$B$29)^('Assumptions'!$B$14/12)/J902)*(1-'Assumptions'!$B$42)-'Debt Schedule'!$F$9</x:f>
        <x:v>3217490.752920224</x:v>
      </x:c>
      <x:c r="P902" s="132" t="n">
        <x:f>((O902+(L902-N902-'Assumptions'!$B$27-'Assumptions'!$B$28)*('Assumptions'!$B$14/12))/ABS('Monthly Cash Flow'!$S$5))^(1/('Assumptions'!$B$14/12))-1</x:f>
        <x:v>0.19937087802664766</x:v>
      </x:c>
      <x:c r="Q902" s="133" t="n">
        <x:f>-ABS('Monthly Cash Flow'!$S$5)+((L902-N902-'Assumptions'!$B$27-'Assumptions'!$B$28)*(1-(1+'Assumptions'!$B$43)^-('Assumptions'!$B$14/12))/'Assumptions'!$B$43)+(O902/(1+'Assumptions'!$B$43)^('Assumptions'!$B$14/12))</x:f>
        <x:v>699672.9879412386</x:v>
      </x:c>
    </x:row>
    <x:row r="903">
      <x:c r="A903" s="131" t="n">
        <x:f>896</x:f>
        <x:v>896</x:v>
      </x:c>
      <x:c r="B903" s="131" t="n">
        <x:f>MOD(ABS(SIN((A903+1)*12.9898+78.233)*43758.5453),1)</x:f>
        <x:v>0.07529288501245901</x:v>
      </x:c>
      <x:c r="C903" s="131" t="n">
        <x:f>MOD(ABS(SIN((A903+2)*12.9898+78.233)*43758.5453),1)</x:f>
        <x:v>0.8699199405982654</x:v>
      </x:c>
      <x:c r="D903" s="131" t="n">
        <x:f>MOD(ABS(SIN((A903+3)*12.9898+78.233)*43758.5453),1)</x:f>
        <x:v>0.4002273016649269</x:v>
      </x:c>
      <x:c r="E903" s="131" t="n">
        <x:f>MOD(ABS(SIN((A903+4)*12.9898+78.233)*43758.5453),1)</x:f>
        <x:v>0.645936973985954</x:v>
      </x:c>
      <x:c r="F903" s="131" t="n">
        <x:f>MOD(ABS(SIN((A903+5)*12.9898+78.233)*43758.5453),1)</x:f>
        <x:v>0.34879802938667126</x:v>
      </x:c>
      <x:c r="G903" s="132" t="n">
        <x:f>IF(B903&lt;(('Assumptions'!$C$47-'Assumptions'!$B$47)/('Assumptions'!$D$47-'Assumptions'!$B$47)),'Assumptions'!$B$47+SQRT(B903*('Assumptions'!$D$47-'Assumptions'!$B$47)*('Assumptions'!$C$47-'Assumptions'!$B$47)),'Assumptions'!$D$47-SQRT((1-B903)*('Assumptions'!$D$47-'Assumptions'!$B$47)*('Assumptions'!$D$47-'Assumptions'!$C$47)))</x:f>
        <x:v>-0.05749083345560612</x:v>
      </x:c>
      <x:c r="H903" s="132" t="n">
        <x:f>IF(C903&lt;(('Assumptions'!$C$48-'Assumptions'!$B$48)/('Assumptions'!$D$48-'Assumptions'!$B$48)),'Assumptions'!$B$48+SQRT(C903*('Assumptions'!$D$48-'Assumptions'!$B$48)*('Assumptions'!$C$48-'Assumptions'!$B$48)),'Assumptions'!$D$48-SQRT((1-C903)*('Assumptions'!$D$48-'Assumptions'!$B$48)*('Assumptions'!$D$48-'Assumptions'!$C$48)))</x:f>
        <x:v>0.10616651772673608</x:v>
      </x:c>
      <x:c r="I903" s="132" t="n">
        <x:f>IF(D903&lt;(('Assumptions'!$C$49-'Assumptions'!$B$49)/('Assumptions'!$D$49-'Assumptions'!$B$49)),'Assumptions'!$B$49+SQRT(D903*('Assumptions'!$D$49-'Assumptions'!$B$49)*('Assumptions'!$C$49-'Assumptions'!$B$49)),'Assumptions'!$D$49-SQRT((1-D903)*('Assumptions'!$D$49-'Assumptions'!$B$49)*('Assumptions'!$D$49-'Assumptions'!$C$49)))</x:f>
        <x:v>0.036179570005918635</x:v>
      </x:c>
      <x:c r="J903" s="132" t="n">
        <x:f>IF(E903&lt;(('Assumptions'!$C$50-'Assumptions'!$B$50)/('Assumptions'!$D$50-'Assumptions'!$B$50)),'Assumptions'!$B$50+SQRT(E903*('Assumptions'!$D$50-'Assumptions'!$B$50)*('Assumptions'!$C$50-'Assumptions'!$B$50)),'Assumptions'!$D$50-SQRT((1-E903)*('Assumptions'!$D$50-'Assumptions'!$B$50)*('Assumptions'!$D$50-'Assumptions'!$C$50)))</x:f>
        <x:v>0.07002101076929881</x:v>
      </x:c>
      <x:c r="K903" s="132" t="n">
        <x:f>IF(F903&lt;(('Assumptions'!$C$51-'Assumptions'!$B$51)/('Assumptions'!$D$51-'Assumptions'!$B$51)),'Assumptions'!$B$51+SQRT(F903*('Assumptions'!$D$51-'Assumptions'!$B$51)*('Assumptions'!$C$51-'Assumptions'!$B$51)),'Assumptions'!$D$51-SQRT((1-F903)*('Assumptions'!$D$51-'Assumptions'!$B$51)*('Assumptions'!$D$51-'Assumptions'!$C$51)))</x:f>
        <x:v>0.06729384797111608</x:v>
      </x:c>
      <x:c r="L903" s="133" t="n">
        <x:f>(('Assumptions'!$B$17*(1+G903)+'Assumptions'!$B$18)*(1-H903-'Assumptions'!$B$20)-SUM('Assumptions'!$B$21:$B$25)*(1+I903))-(('Assumptions'!$B$17*(1+G903)+'Assumptions'!$B$18)*(1-H903-'Assumptions'!$B$20)*'Assumptions'!$B$26)</x:f>
        <x:v>172606.12921396518</x:v>
      </x:c>
      <x:c r="M903" s="133" t="n">
        <x:f>'Assumptions'!$B$10*'Assumptions'!$B$33</x:f>
        <x:v>1950000</x:v>
      </x:c>
      <x:c r="N903" s="133" t="n">
        <x:f>-PMT(K903/12,'Assumptions'!$B$35*12,M903)*12</x:f>
        <x:v>151451.43417030998</x:v>
      </x:c>
      <x:c r="O903" s="133" t="n">
        <x:f>(L903*(1+'Assumptions'!$B$29)^('Assumptions'!$B$14/12)/J903)*(1-'Assumptions'!$B$42)-'Debt Schedule'!$F$9</x:f>
        <x:v>2686221.4634827054</x:v>
      </x:c>
      <x:c r="P903" s="132" t="n">
        <x:f>((O903+(L903-N903-'Assumptions'!$B$27-'Assumptions'!$B$28)*('Assumptions'!$B$14/12))/ABS('Monthly Cash Flow'!$S$5))^(1/('Assumptions'!$B$14/12))-1</x:f>
        <x:v>0.148963993497228</x:v>
      </x:c>
      <x:c r="Q903" s="133" t="n">
        <x:f>-ABS('Monthly Cash Flow'!$S$5)+((L903-N903-'Assumptions'!$B$27-'Assumptions'!$B$28)*(1-(1+'Assumptions'!$B$43)^-('Assumptions'!$B$14/12))/'Assumptions'!$B$43)+(O903/(1+'Assumptions'!$B$43)^('Assumptions'!$B$14/12))</x:f>
        <x:v>301993.65244160173</x:v>
      </x:c>
    </x:row>
    <x:row r="904">
      <x:c r="A904" s="131" t="n">
        <x:f>897</x:f>
        <x:v>897</x:v>
      </x:c>
      <x:c r="B904" s="131" t="n">
        <x:f>MOD(ABS(SIN((A904+1)*12.9898+78.233)*43758.5453),1)</x:f>
        <x:v>0.8699199405982654</x:v>
      </x:c>
      <x:c r="C904" s="131" t="n">
        <x:f>MOD(ABS(SIN((A904+2)*12.9898+78.233)*43758.5453),1)</x:f>
        <x:v>0.4002273016649269</x:v>
      </x:c>
      <x:c r="D904" s="131" t="n">
        <x:f>MOD(ABS(SIN((A904+3)*12.9898+78.233)*43758.5453),1)</x:f>
        <x:v>0.645936973985954</x:v>
      </x:c>
      <x:c r="E904" s="131" t="n">
        <x:f>MOD(ABS(SIN((A904+4)*12.9898+78.233)*43758.5453),1)</x:f>
        <x:v>0.34879802938667126</x:v>
      </x:c>
      <x:c r="F904" s="131" t="n">
        <x:f>MOD(ABS(SIN((A904+5)*12.9898+78.233)*43758.5453),1)</x:f>
        <x:v>0.8269038709695451</x:v>
      </x:c>
      <x:c r="G904" s="132" t="n">
        <x:f>IF(B904&lt;(('Assumptions'!$C$47-'Assumptions'!$B$47)/('Assumptions'!$D$47-'Assumptions'!$B$47)),'Assumptions'!$B$47+SQRT(B904*('Assumptions'!$D$47-'Assumptions'!$B$47)*('Assumptions'!$C$47-'Assumptions'!$B$47)),'Assumptions'!$D$47-SQRT((1-B904)*('Assumptions'!$D$47-'Assumptions'!$B$47)*('Assumptions'!$D$47-'Assumptions'!$C$47)))</x:f>
        <x:v>0.05437894180942584</x:v>
      </x:c>
      <x:c r="H904" s="132" t="n">
        <x:f>IF(C904&lt;(('Assumptions'!$C$48-'Assumptions'!$B$48)/('Assumptions'!$D$48-'Assumptions'!$B$48)),'Assumptions'!$B$48+SQRT(C904*('Assumptions'!$D$48-'Assumptions'!$B$48)*('Assumptions'!$C$48-'Assumptions'!$B$48)),'Assumptions'!$D$48-SQRT((1-C904)*('Assumptions'!$D$48-'Assumptions'!$B$48)*('Assumptions'!$D$48-'Assumptions'!$C$48)))</x:f>
        <x:v>0.06735015660478928</x:v>
      </x:c>
      <x:c r="I904" s="132" t="n">
        <x:f>IF(D904&lt;(('Assumptions'!$C$49-'Assumptions'!$B$49)/('Assumptions'!$D$49-'Assumptions'!$B$49)),'Assumptions'!$B$49+SQRT(D904*('Assumptions'!$D$49-'Assumptions'!$B$49)*('Assumptions'!$C$49-'Assumptions'!$B$49)),'Assumptions'!$D$49-SQRT((1-D904)*('Assumptions'!$D$49-'Assumptions'!$B$49)*('Assumptions'!$D$49-'Assumptions'!$C$49)))</x:f>
        <x:v>0.0625485199559013</x:v>
      </x:c>
      <x:c r="J904" s="132" t="n">
        <x:f>IF(E904&lt;(('Assumptions'!$C$50-'Assumptions'!$B$50)/('Assumptions'!$D$50-'Assumptions'!$B$50)),'Assumptions'!$B$50+SQRT(E904*('Assumptions'!$D$50-'Assumptions'!$B$50)*('Assumptions'!$C$50-'Assumptions'!$B$50)),'Assumptions'!$D$50-SQRT((1-E904)*('Assumptions'!$D$50-'Assumptions'!$B$50)*('Assumptions'!$D$50-'Assumptions'!$C$50)))</x:f>
        <x:v>0.06635886881108424</x:v>
      </x:c>
      <x:c r="K904" s="132" t="n">
        <x:f>IF(F904&lt;(('Assumptions'!$C$51-'Assumptions'!$B$51)/('Assumptions'!$D$51-'Assumptions'!$B$51)),'Assumptions'!$B$51+SQRT(F904*('Assumptions'!$D$51-'Assumptions'!$B$51)*('Assumptions'!$C$51-'Assumptions'!$B$51)),'Assumptions'!$D$51-SQRT((1-F904)*('Assumptions'!$D$51-'Assumptions'!$B$51)*('Assumptions'!$D$51-'Assumptions'!$C$51)))</x:f>
        <x:v>0.0758729790130675</x:v>
      </x:c>
      <x:c r="L904" s="133" t="n">
        <x:f>(('Assumptions'!$B$17*(1+G904)+'Assumptions'!$B$18)*(1-H904-'Assumptions'!$B$20)-SUM('Assumptions'!$B$21:$B$25)*(1+I904))-(('Assumptions'!$B$17*(1+G904)+'Assumptions'!$B$18)*(1-H904-'Assumptions'!$B$20)*'Assumptions'!$B$26)</x:f>
        <x:v>218269.75442993728</x:v>
      </x:c>
      <x:c r="M904" s="133" t="n">
        <x:f>'Assumptions'!$B$10*'Assumptions'!$B$33</x:f>
        <x:v>1950000</x:v>
      </x:c>
      <x:c r="N904" s="133" t="n">
        <x:f>-PMT(K904/12,'Assumptions'!$B$35*12,M904)*12</x:f>
        <x:v>165017.25419452324</x:v>
      </x:c>
      <x:c r="O904" s="133" t="n">
        <x:f>(L904*(1+'Assumptions'!$B$29)^('Assumptions'!$B$14/12)/J904)*(1-'Assumptions'!$B$42)-'Debt Schedule'!$F$9</x:f>
        <x:v>3584334.75020082</x:v>
      </x:c>
      <x:c r="P904" s="132" t="n">
        <x:f>((O904+(L904-N904-'Assumptions'!$B$27-'Assumptions'!$B$28)*('Assumptions'!$B$14/12))/ABS('Monthly Cash Flow'!$S$5))^(1/('Assumptions'!$B$14/12))-1</x:f>
        <x:v>0.23041714344681785</x:v>
      </x:c>
      <x:c r="Q904" s="133" t="n">
        <x:f>-ABS('Monthly Cash Flow'!$S$5)+((L904-N904-'Assumptions'!$B$27-'Assumptions'!$B$28)*(1-(1+'Assumptions'!$B$43)^-('Assumptions'!$B$14/12))/'Assumptions'!$B$43)+(O904/(1+'Assumptions'!$B$43)^('Assumptions'!$B$14/12))</x:f>
        <x:v>981327.2779355892</x:v>
      </x:c>
    </x:row>
    <x:row r="905">
      <x:c r="A905" s="131" t="n">
        <x:f>898</x:f>
        <x:v>898</x:v>
      </x:c>
      <x:c r="B905" s="131" t="n">
        <x:f>MOD(ABS(SIN((A905+1)*12.9898+78.233)*43758.5453),1)</x:f>
        <x:v>0.4002273016649269</x:v>
      </x:c>
      <x:c r="C905" s="131" t="n">
        <x:f>MOD(ABS(SIN((A905+2)*12.9898+78.233)*43758.5453),1)</x:f>
        <x:v>0.645936973985954</x:v>
      </x:c>
      <x:c r="D905" s="131" t="n">
        <x:f>MOD(ABS(SIN((A905+3)*12.9898+78.233)*43758.5453),1)</x:f>
        <x:v>0.34879802938667126</x:v>
      </x:c>
      <x:c r="E905" s="131" t="n">
        <x:f>MOD(ABS(SIN((A905+4)*12.9898+78.233)*43758.5453),1)</x:f>
        <x:v>0.8269038709695451</x:v>
      </x:c>
      <x:c r="F905" s="131" t="n">
        <x:f>MOD(ABS(SIN((A905+5)*12.9898+78.233)*43758.5453),1)</x:f>
        <x:v>0.16328350171534112</x:v>
      </x:c>
      <x:c r="G905" s="132" t="n">
        <x:f>IF(B905&lt;(('Assumptions'!$C$47-'Assumptions'!$B$47)/('Assumptions'!$D$47-'Assumptions'!$B$47)),'Assumptions'!$B$47+SQRT(B905*('Assumptions'!$D$47-'Assumptions'!$B$47)*('Assumptions'!$C$47-'Assumptions'!$B$47)),'Assumptions'!$D$47-SQRT((1-B905)*('Assumptions'!$D$47-'Assumptions'!$B$47)*('Assumptions'!$D$47-'Assumptions'!$C$47)))</x:f>
        <x:v>-0.00199257558756967</x:v>
      </x:c>
      <x:c r="H905" s="132" t="n">
        <x:f>IF(C905&lt;(('Assumptions'!$C$48-'Assumptions'!$B$48)/('Assumptions'!$D$48-'Assumptions'!$B$48)),'Assumptions'!$B$48+SQRT(C905*('Assumptions'!$D$48-'Assumptions'!$B$48)*('Assumptions'!$C$48-'Assumptions'!$B$48)),'Assumptions'!$D$48-SQRT((1-C905)*('Assumptions'!$D$48-'Assumptions'!$B$48)*('Assumptions'!$D$48-'Assumptions'!$C$48)))</x:f>
        <x:v>0.08418105492824499</x:v>
      </x:c>
      <x:c r="I905" s="132" t="n">
        <x:f>IF(D905&lt;(('Assumptions'!$C$49-'Assumptions'!$B$49)/('Assumptions'!$D$49-'Assumptions'!$B$49)),'Assumptions'!$B$49+SQRT(D905*('Assumptions'!$D$49-'Assumptions'!$B$49)*('Assumptions'!$C$49-'Assumptions'!$B$49)),'Assumptions'!$D$49-SQRT((1-D905)*('Assumptions'!$D$49-'Assumptions'!$B$49)*('Assumptions'!$D$49-'Assumptions'!$C$49)))</x:f>
        <x:v>0.03139998918529603</x:v>
      </x:c>
      <x:c r="J905" s="132" t="n">
        <x:f>IF(E905&lt;(('Assumptions'!$C$50-'Assumptions'!$B$50)/('Assumptions'!$D$50-'Assumptions'!$B$50)),'Assumptions'!$B$50+SQRT(E905*('Assumptions'!$D$50-'Assumptions'!$B$50)*('Assumptions'!$C$50-'Assumptions'!$B$50)),'Assumptions'!$D$50-SQRT((1-E905)*('Assumptions'!$D$50-'Assumptions'!$B$50)*('Assumptions'!$D$50-'Assumptions'!$C$50)))</x:f>
        <x:v>0.07302265908172638</x:v>
      </x:c>
      <x:c r="K905" s="132" t="n">
        <x:f>IF(F905&lt;(('Assumptions'!$C$51-'Assumptions'!$B$51)/('Assumptions'!$D$51-'Assumptions'!$B$51)),'Assumptions'!$B$51+SQRT(F905*('Assumptions'!$D$51-'Assumptions'!$B$51)*('Assumptions'!$C$51-'Assumptions'!$B$51)),'Assumptions'!$D$51-SQRT((1-F905)*('Assumptions'!$D$51-'Assumptions'!$B$51)*('Assumptions'!$D$51-'Assumptions'!$C$51)))</x:f>
        <x:v>0.06420096731612078</x:v>
      </x:c>
      <x:c r="L905" s="133" t="n">
        <x:f>(('Assumptions'!$B$17*(1+G905)+'Assumptions'!$B$18)*(1-H905-'Assumptions'!$B$20)-SUM('Assumptions'!$B$21:$B$25)*(1+I905))-(('Assumptions'!$B$17*(1+G905)+'Assumptions'!$B$18)*(1-H905-'Assumptions'!$B$20)*'Assumptions'!$B$26)</x:f>
        <x:v>198123.40231539676</x:v>
      </x:c>
      <x:c r="M905" s="133" t="n">
        <x:f>'Assumptions'!$B$10*'Assumptions'!$B$33</x:f>
        <x:v>1950000</x:v>
      </x:c>
      <x:c r="N905" s="133" t="n">
        <x:f>-PMT(K905/12,'Assumptions'!$B$35*12,M905)*12</x:f>
        <x:v>146676.43267922473</x:v>
      </x:c>
      <x:c r="O905" s="133" t="n">
        <x:f>(L905*(1+'Assumptions'!$B$29)^('Assumptions'!$B$14/12)/J905)*(1-'Assumptions'!$B$42)-'Debt Schedule'!$F$9</x:f>
        <x:v>2956596.857774451</x:v>
      </x:c>
      <x:c r="P905" s="132" t="n">
        <x:f>((O905+(L905-N905-'Assumptions'!$B$27-'Assumptions'!$B$28)*('Assumptions'!$B$14/12))/ABS('Monthly Cash Flow'!$S$5))^(1/('Assumptions'!$B$14/12))-1</x:f>
        <x:v>0.18414091828229373</x:v>
      </x:c>
      <x:c r="Q905" s="133" t="n">
        <x:f>-ABS('Monthly Cash Flow'!$S$5)+((L905-N905-'Assumptions'!$B$27-'Assumptions'!$B$28)*(1-(1+'Assumptions'!$B$43)^-('Assumptions'!$B$14/12))/'Assumptions'!$B$43)+(O905/(1+'Assumptions'!$B$43)^('Assumptions'!$B$14/12))</x:f>
        <x:v>584707.0537284736</x:v>
      </x:c>
    </x:row>
    <x:row r="906">
      <x:c r="A906" s="131" t="n">
        <x:f>899</x:f>
        <x:v>899</x:v>
      </x:c>
      <x:c r="B906" s="131" t="n">
        <x:f>MOD(ABS(SIN((A906+1)*12.9898+78.233)*43758.5453),1)</x:f>
        <x:v>0.645936973985954</x:v>
      </x:c>
      <x:c r="C906" s="131" t="n">
        <x:f>MOD(ABS(SIN((A906+2)*12.9898+78.233)*43758.5453),1)</x:f>
        <x:v>0.34879802938667126</x:v>
      </x:c>
      <x:c r="D906" s="131" t="n">
        <x:f>MOD(ABS(SIN((A906+3)*12.9898+78.233)*43758.5453),1)</x:f>
        <x:v>0.8269038709695451</x:v>
      </x:c>
      <x:c r="E906" s="131" t="n">
        <x:f>MOD(ABS(SIN((A906+4)*12.9898+78.233)*43758.5453),1)</x:f>
        <x:v>0.16328350171534112</x:v>
      </x:c>
      <x:c r="F906" s="131" t="n">
        <x:f>MOD(ABS(SIN((A906+5)*12.9898+78.233)*43758.5453),1)</x:f>
        <x:v>0.5736050029663602</x:v>
      </x:c>
      <x:c r="G906" s="132" t="n">
        <x:f>IF(B906&lt;(('Assumptions'!$C$47-'Assumptions'!$B$47)/('Assumptions'!$D$47-'Assumptions'!$B$47)),'Assumptions'!$B$47+SQRT(B906*('Assumptions'!$D$47-'Assumptions'!$B$47)*('Assumptions'!$C$47-'Assumptions'!$B$47)),'Assumptions'!$D$47-SQRT((1-B906)*('Assumptions'!$D$47-'Assumptions'!$B$47)*('Assumptions'!$D$47-'Assumptions'!$C$47)))</x:f>
        <x:v>0.02473374981955899</x:v>
      </x:c>
      <x:c r="H906" s="132" t="n">
        <x:f>IF(C906&lt;(('Assumptions'!$C$48-'Assumptions'!$B$48)/('Assumptions'!$D$48-'Assumptions'!$B$48)),'Assumptions'!$B$48+SQRT(C906*('Assumptions'!$D$48-'Assumptions'!$B$48)*('Assumptions'!$C$48-'Assumptions'!$B$48)),'Assumptions'!$D$48-SQRT((1-C906)*('Assumptions'!$D$48-'Assumptions'!$B$48)*('Assumptions'!$D$48-'Assumptions'!$C$48)))</x:f>
        <x:v>0.06429942311053836</x:v>
      </x:c>
      <x:c r="I906" s="132" t="n">
        <x:f>IF(D906&lt;(('Assumptions'!$C$49-'Assumptions'!$B$49)/('Assumptions'!$D$49-'Assumptions'!$B$49)),'Assumptions'!$B$49+SQRT(D906*('Assumptions'!$D$49-'Assumptions'!$B$49)*('Assumptions'!$C$49-'Assumptions'!$B$49)),'Assumptions'!$D$49-SQRT((1-D906)*('Assumptions'!$D$49-'Assumptions'!$B$49)*('Assumptions'!$D$49-'Assumptions'!$C$49)))</x:f>
        <x:v>0.08885364780252361</x:v>
      </x:c>
      <x:c r="J906" s="132" t="n">
        <x:f>IF(E906&lt;(('Assumptions'!$C$50-'Assumptions'!$B$50)/('Assumptions'!$D$50-'Assumptions'!$B$50)),'Assumptions'!$B$50+SQRT(E906*('Assumptions'!$D$50-'Assumptions'!$B$50)*('Assumptions'!$C$50-'Assumptions'!$B$50)),'Assumptions'!$D$50-SQRT((1-E906)*('Assumptions'!$D$50-'Assumptions'!$B$50)*('Assumptions'!$D$50-'Assumptions'!$C$50)))</x:f>
        <x:v>0.06356125299636567</x:v>
      </x:c>
      <x:c r="K906" s="132" t="n">
        <x:f>IF(F906&lt;(('Assumptions'!$C$51-'Assumptions'!$B$51)/('Assumptions'!$D$51-'Assumptions'!$B$51)),'Assumptions'!$B$51+SQRT(F906*('Assumptions'!$D$51-'Assumptions'!$B$51)*('Assumptions'!$C$51-'Assumptions'!$B$51)),'Assumptions'!$D$51-SQRT((1-F906)*('Assumptions'!$D$51-'Assumptions'!$B$51)*('Assumptions'!$D$51-'Assumptions'!$C$51)))</x:f>
        <x:v>0.07067510585301102</x:v>
      </x:c>
      <x:c r="L906" s="133" t="n">
        <x:f>(('Assumptions'!$B$17*(1+G906)+'Assumptions'!$B$18)*(1-H906-'Assumptions'!$B$20)-SUM('Assumptions'!$B$21:$B$25)*(1+I906))-(('Assumptions'!$B$17*(1+G906)+'Assumptions'!$B$18)*(1-H906-'Assumptions'!$B$20)*'Assumptions'!$B$26)</x:f>
        <x:v>206635.53938084468</x:v>
      </x:c>
      <x:c r="M906" s="133" t="n">
        <x:f>'Assumptions'!$B$10*'Assumptions'!$B$33</x:f>
        <x:v>1950000</x:v>
      </x:c>
      <x:c r="N906" s="133" t="n">
        <x:f>-PMT(K906/12,'Assumptions'!$B$35*12,M906)*12</x:f>
        <x:v>156743.17849682563</x:v>
      </x:c>
      <x:c r="O906" s="133" t="n">
        <x:f>(L906*(1+'Assumptions'!$B$29)^('Assumptions'!$B$14/12)/J906)*(1-'Assumptions'!$B$42)-'Debt Schedule'!$F$9</x:f>
        <x:v>3542636.1124141533</x:v>
      </x:c>
      <x:c r="P906" s="132" t="n">
        <x:f>((O906+(L906-N906-'Assumptions'!$B$27-'Assumptions'!$B$28)*('Assumptions'!$B$14/12))/ABS('Monthly Cash Flow'!$S$5))^(1/('Assumptions'!$B$14/12))-1</x:f>
        <x:v>0.2264482344460199</x:v>
      </x:c>
      <x:c r="Q906" s="133" t="n">
        <x:f>-ABS('Monthly Cash Flow'!$S$5)+((L906-N906-'Assumptions'!$B$27-'Assumptions'!$B$28)*(1-(1+'Assumptions'!$B$43)^-('Assumptions'!$B$14/12))/'Assumptions'!$B$43)+(O906/(1+'Assumptions'!$B$43)^('Assumptions'!$B$14/12))</x:f>
        <x:v>942698.1327946906</x:v>
      </x:c>
    </x:row>
    <x:row r="907">
      <x:c r="A907" s="131" t="n">
        <x:f>900</x:f>
        <x:v>900</x:v>
      </x:c>
      <x:c r="B907" s="131" t="n">
        <x:f>MOD(ABS(SIN((A907+1)*12.9898+78.233)*43758.5453),1)</x:f>
        <x:v>0.34879802938667126</x:v>
      </x:c>
      <x:c r="C907" s="131" t="n">
        <x:f>MOD(ABS(SIN((A907+2)*12.9898+78.233)*43758.5453),1)</x:f>
        <x:v>0.8269038709695451</x:v>
      </x:c>
      <x:c r="D907" s="131" t="n">
        <x:f>MOD(ABS(SIN((A907+3)*12.9898+78.233)*43758.5453),1)</x:f>
        <x:v>0.16328350171534112</x:v>
      </x:c>
      <x:c r="E907" s="131" t="n">
        <x:f>MOD(ABS(SIN((A907+4)*12.9898+78.233)*43758.5453),1)</x:f>
        <x:v>0.5736050029663602</x:v>
      </x:c>
      <x:c r="F907" s="131" t="n">
        <x:f>MOD(ABS(SIN((A907+5)*12.9898+78.233)*43758.5453),1)</x:f>
        <x:v>0.35758175061164366</x:v>
      </x:c>
      <x:c r="G907" s="132" t="n">
        <x:f>IF(B907&lt;(('Assumptions'!$C$47-'Assumptions'!$B$47)/('Assumptions'!$D$47-'Assumptions'!$B$47)),'Assumptions'!$B$47+SQRT(B907*('Assumptions'!$D$47-'Assumptions'!$B$47)*('Assumptions'!$C$47-'Assumptions'!$B$47)),'Assumptions'!$D$47-SQRT((1-B907)*('Assumptions'!$D$47-'Assumptions'!$B$47)*('Assumptions'!$D$47-'Assumptions'!$C$47)))</x:f>
        <x:v>-0.008505996342491884</x:v>
      </x:c>
      <x:c r="H907" s="132" t="n">
        <x:f>IF(C907&lt;(('Assumptions'!$C$48-'Assumptions'!$B$48)/('Assumptions'!$D$48-'Assumptions'!$B$48)),'Assumptions'!$B$48+SQRT(C907*('Assumptions'!$D$48-'Assumptions'!$B$48)*('Assumptions'!$C$48-'Assumptions'!$B$48)),'Assumptions'!$D$48-SQRT((1-C907)*('Assumptions'!$D$48-'Assumptions'!$B$48)*('Assumptions'!$D$48-'Assumptions'!$C$48)))</x:f>
        <x:v>0.10097121657714653</x:v>
      </x:c>
      <x:c r="I907" s="132" t="n">
        <x:f>IF(D907&lt;(('Assumptions'!$C$49-'Assumptions'!$B$49)/('Assumptions'!$D$49-'Assumptions'!$B$49)),'Assumptions'!$B$49+SQRT(D907*('Assumptions'!$D$49-'Assumptions'!$B$49)*('Assumptions'!$C$49-'Assumptions'!$B$49)),'Assumptions'!$D$49-SQRT((1-D907)*('Assumptions'!$D$49-'Assumptions'!$B$49)*('Assumptions'!$D$49-'Assumptions'!$C$49)))</x:f>
        <x:v>0.011993592588937708</x:v>
      </x:c>
      <x:c r="J907" s="132" t="n">
        <x:f>IF(E907&lt;(('Assumptions'!$C$50-'Assumptions'!$B$50)/('Assumptions'!$D$50-'Assumptions'!$B$50)),'Assumptions'!$B$50+SQRT(E907*('Assumptions'!$D$50-'Assumptions'!$B$50)*('Assumptions'!$C$50-'Assumptions'!$B$50)),'Assumptions'!$D$50-SQRT((1-E907)*('Assumptions'!$D$50-'Assumptions'!$B$50)*('Assumptions'!$D$50-'Assumptions'!$C$50)))</x:f>
        <x:v>0.06904903689551868</x:v>
      </x:c>
      <x:c r="K907" s="132" t="n">
        <x:f>IF(F907&lt;(('Assumptions'!$C$51-'Assumptions'!$B$51)/('Assumptions'!$D$51-'Assumptions'!$B$51)),'Assumptions'!$B$51+SQRT(F907*('Assumptions'!$D$51-'Assumptions'!$B$51)*('Assumptions'!$C$51-'Assumptions'!$B$51)),'Assumptions'!$D$51-SQRT((1-F907)*('Assumptions'!$D$51-'Assumptions'!$B$51)*('Assumptions'!$D$51-'Assumptions'!$C$51)))</x:f>
        <x:v>0.06741639961973105</x:v>
      </x:c>
      <x:c r="L907" s="133" t="n">
        <x:f>(('Assumptions'!$B$17*(1+G907)+'Assumptions'!$B$18)*(1-H907-'Assumptions'!$B$20)-SUM('Assumptions'!$B$21:$B$25)*(1+I907))-(('Assumptions'!$B$17*(1+G907)+'Assumptions'!$B$18)*(1-H907-'Assumptions'!$B$20)*'Assumptions'!$B$26)</x:f>
        <x:v>192486.11894177395</x:v>
      </x:c>
      <x:c r="M907" s="133" t="n">
        <x:f>'Assumptions'!$B$10*'Assumptions'!$B$33</x:f>
        <x:v>1950000</x:v>
      </x:c>
      <x:c r="N907" s="133" t="n">
        <x:f>-PMT(K907/12,'Assumptions'!$B$35*12,M907)*12</x:f>
        <x:v>151641.94117985363</x:v>
      </x:c>
      <x:c r="O907" s="133" t="n">
        <x:f>(L907*(1+'Assumptions'!$B$29)^('Assumptions'!$B$14/12)/J907)*(1-'Assumptions'!$B$42)-'Debt Schedule'!$F$9</x:f>
        <x:v>3037776.147813706</x:v>
      </x:c>
      <x:c r="P907" s="132" t="n">
        <x:f>((O907+(L907-N907-'Assumptions'!$B$27-'Assumptions'!$B$28)*('Assumptions'!$B$14/12))/ABS('Monthly Cash Flow'!$S$5))^(1/('Assumptions'!$B$14/12))-1</x:f>
        <x:v>0.18634593467406035</x:v>
      </x:c>
      <x:c r="Q907" s="133" t="n">
        <x:f>-ABS('Monthly Cash Flow'!$S$5)+((L907-N907-'Assumptions'!$B$27-'Assumptions'!$B$28)*(1-(1+'Assumptions'!$B$43)^-('Assumptions'!$B$14/12))/'Assumptions'!$B$43)+(O907/(1+'Assumptions'!$B$43)^('Assumptions'!$B$14/12))</x:f>
        <x:v>594920.0827489458</x:v>
      </x:c>
    </x:row>
    <x:row r="908">
      <x:c r="A908" s="131" t="n">
        <x:f>901</x:f>
        <x:v>901</x:v>
      </x:c>
      <x:c r="B908" s="131" t="n">
        <x:f>MOD(ABS(SIN((A908+1)*12.9898+78.233)*43758.5453),1)</x:f>
        <x:v>0.8269038709695451</x:v>
      </x:c>
      <x:c r="C908" s="131" t="n">
        <x:f>MOD(ABS(SIN((A908+2)*12.9898+78.233)*43758.5453),1)</x:f>
        <x:v>0.16328350171534112</x:v>
      </x:c>
      <x:c r="D908" s="131" t="n">
        <x:f>MOD(ABS(SIN((A908+3)*12.9898+78.233)*43758.5453),1)</x:f>
        <x:v>0.5736050029663602</x:v>
      </x:c>
      <x:c r="E908" s="131" t="n">
        <x:f>MOD(ABS(SIN((A908+4)*12.9898+78.233)*43758.5453),1)</x:f>
        <x:v>0.35758175061164366</x:v>
      </x:c>
      <x:c r="F908" s="131" t="n">
        <x:f>MOD(ABS(SIN((A908+5)*12.9898+78.233)*43758.5453),1)</x:f>
        <x:v>0.956857472081083</x:v>
      </x:c>
      <x:c r="G908" s="132" t="n">
        <x:f>IF(B908&lt;(('Assumptions'!$C$47-'Assumptions'!$B$47)/('Assumptions'!$D$47-'Assumptions'!$B$47)),'Assumptions'!$B$47+SQRT(B908*('Assumptions'!$D$47-'Assumptions'!$B$47)*('Assumptions'!$C$47-'Assumptions'!$B$47)),'Assumptions'!$D$47-SQRT((1-B908)*('Assumptions'!$D$47-'Assumptions'!$B$47)*('Assumptions'!$D$47-'Assumptions'!$C$47)))</x:f>
        <x:v>0.04737359916840904</x:v>
      </x:c>
      <x:c r="H908" s="132" t="n">
        <x:f>IF(C908&lt;(('Assumptions'!$C$48-'Assumptions'!$B$48)/('Assumptions'!$D$48-'Assumptions'!$B$48)),'Assumptions'!$B$48+SQRT(C908*('Assumptions'!$D$48-'Assumptions'!$B$48)*('Assumptions'!$C$48-'Assumptions'!$B$48)),'Assumptions'!$D$48-SQRT((1-C908)*('Assumptions'!$D$48-'Assumptions'!$B$48)*('Assumptions'!$D$48-'Assumptions'!$C$48)))</x:f>
        <x:v>0.05321283170275927</x:v>
      </x:c>
      <x:c r="I908" s="132" t="n">
        <x:f>IF(D908&lt;(('Assumptions'!$C$49-'Assumptions'!$B$49)/('Assumptions'!$D$49-'Assumptions'!$B$49)),'Assumptions'!$B$49+SQRT(D908*('Assumptions'!$D$49-'Assumptions'!$B$49)*('Assumptions'!$C$49-'Assumptions'!$B$49)),'Assumptions'!$D$49-SQRT((1-D908)*('Assumptions'!$D$49-'Assumptions'!$B$49)*('Assumptions'!$D$49-'Assumptions'!$C$49)))</x:f>
        <x:v>0.054030567700300416</x:v>
      </x:c>
      <x:c r="J908" s="132" t="n">
        <x:f>IF(E908&lt;(('Assumptions'!$C$50-'Assumptions'!$B$50)/('Assumptions'!$D$50-'Assumptions'!$B$50)),'Assumptions'!$B$50+SQRT(E908*('Assumptions'!$D$50-'Assumptions'!$B$50)*('Assumptions'!$C$50-'Assumptions'!$B$50)),'Assumptions'!$D$50-SQRT((1-E908)*('Assumptions'!$D$50-'Assumptions'!$B$50)*('Assumptions'!$D$50-'Assumptions'!$C$50)))</x:f>
        <x:v>0.0664697209481466</x:v>
      </x:c>
      <x:c r="K908" s="132" t="n">
        <x:f>IF(F908&lt;(('Assumptions'!$C$51-'Assumptions'!$B$51)/('Assumptions'!$D$51-'Assumptions'!$B$51)),'Assumptions'!$B$51+SQRT(F908*('Assumptions'!$D$51-'Assumptions'!$B$51)*('Assumptions'!$C$51-'Assumptions'!$B$51)),'Assumptions'!$D$51-SQRT((1-F908)*('Assumptions'!$D$51-'Assumptions'!$B$51)*('Assumptions'!$D$51-'Assumptions'!$C$51)))</x:f>
        <x:v>0.08044342874948951</x:v>
      </x:c>
      <x:c r="L908" s="133" t="n">
        <x:f>(('Assumptions'!$B$17*(1+G908)+'Assumptions'!$B$18)*(1-H908-'Assumptions'!$B$20)-SUM('Assumptions'!$B$21:$B$25)*(1+I908))-(('Assumptions'!$B$17*(1+G908)+'Assumptions'!$B$18)*(1-H908-'Assumptions'!$B$20)*'Assumptions'!$B$26)</x:f>
        <x:v>222470.8515262278</x:v>
      </x:c>
      <x:c r="M908" s="133" t="n">
        <x:f>'Assumptions'!$B$10*'Assumptions'!$B$33</x:f>
        <x:v>1950000</x:v>
      </x:c>
      <x:c r="N908" s="133" t="n">
        <x:f>-PMT(K908/12,'Assumptions'!$B$35*12,M908)*12</x:f>
        <x:v>172424.80783174734</x:v>
      </x:c>
      <x:c r="O908" s="133" t="n">
        <x:f>(L908*(1+'Assumptions'!$B$29)^('Assumptions'!$B$14/12)/J908)*(1-'Assumptions'!$B$42)-'Debt Schedule'!$F$9</x:f>
        <x:v>3647230.7326701996</x:v>
      </x:c>
      <x:c r="P908" s="132" t="n">
        <x:f>((O908+(L908-N908-'Assumptions'!$B$27-'Assumptions'!$B$28)*('Assumptions'!$B$14/12))/ABS('Monthly Cash Flow'!$S$5))^(1/('Assumptions'!$B$14/12))-1</x:f>
        <x:v>0.2335600851300046</x:v>
      </x:c>
      <x:c r="Q908" s="133" t="n">
        <x:f>-ABS('Monthly Cash Flow'!$S$5)+((L908-N908-'Assumptions'!$B$27-'Assumptions'!$B$28)*(1-(1+'Assumptions'!$B$43)^-('Assumptions'!$B$14/12))/'Assumptions'!$B$43)+(O908/(1+'Assumptions'!$B$43)^('Assumptions'!$B$14/12))</x:f>
        <x:v>1008225.7415535271</x:v>
      </x:c>
    </x:row>
    <x:row r="909">
      <x:c r="A909" s="131" t="n">
        <x:f>902</x:f>
        <x:v>902</x:v>
      </x:c>
      <x:c r="B909" s="131" t="n">
        <x:f>MOD(ABS(SIN((A909+1)*12.9898+78.233)*43758.5453),1)</x:f>
        <x:v>0.16328350171534112</x:v>
      </x:c>
      <x:c r="C909" s="131" t="n">
        <x:f>MOD(ABS(SIN((A909+2)*12.9898+78.233)*43758.5453),1)</x:f>
        <x:v>0.5736050029663602</x:v>
      </x:c>
      <x:c r="D909" s="131" t="n">
        <x:f>MOD(ABS(SIN((A909+3)*12.9898+78.233)*43758.5453),1)</x:f>
        <x:v>0.35758175061164366</x:v>
      </x:c>
      <x:c r="E909" s="131" t="n">
        <x:f>MOD(ABS(SIN((A909+4)*12.9898+78.233)*43758.5453),1)</x:f>
        <x:v>0.956857472081083</x:v>
      </x:c>
      <x:c r="F909" s="131" t="n">
        <x:f>MOD(ABS(SIN((A909+5)*12.9898+78.233)*43758.5453),1)</x:f>
        <x:v>0.6067039230219962</x:v>
      </x:c>
      <x:c r="G909" s="132" t="n">
        <x:f>IF(B909&lt;(('Assumptions'!$C$47-'Assumptions'!$B$47)/('Assumptions'!$D$47-'Assumptions'!$B$47)),'Assumptions'!$B$47+SQRT(B909*('Assumptions'!$D$47-'Assumptions'!$B$47)*('Assumptions'!$C$47-'Assumptions'!$B$47)),'Assumptions'!$D$47-SQRT((1-B909)*('Assumptions'!$D$47-'Assumptions'!$B$47)*('Assumptions'!$D$47-'Assumptions'!$C$47)))</x:f>
        <x:v>-0.03739964823446927</x:v>
      </x:c>
      <x:c r="H909" s="132" t="n">
        <x:f>IF(C909&lt;(('Assumptions'!$C$48-'Assumptions'!$B$48)/('Assumptions'!$D$48-'Assumptions'!$B$48)),'Assumptions'!$B$48+SQRT(C909*('Assumptions'!$D$48-'Assumptions'!$B$48)*('Assumptions'!$C$48-'Assumptions'!$B$48)),'Assumptions'!$D$48-SQRT((1-C909)*('Assumptions'!$D$48-'Assumptions'!$B$48)*('Assumptions'!$D$48-'Assumptions'!$C$48)))</x:f>
        <x:v>0.0787441760001873</x:v>
      </x:c>
      <x:c r="I909" s="132" t="n">
        <x:f>IF(D909&lt;(('Assumptions'!$C$49-'Assumptions'!$B$49)/('Assumptions'!$D$49-'Assumptions'!$B$49)),'Assumptions'!$B$49+SQRT(D909*('Assumptions'!$D$49-'Assumptions'!$B$49)*('Assumptions'!$C$49-'Assumptions'!$B$49)),'Assumptions'!$D$49-SQRT((1-D909)*('Assumptions'!$D$49-'Assumptions'!$B$49)*('Assumptions'!$D$49-'Assumptions'!$C$49)))</x:f>
        <x:v>0.03220257139144124</x:v>
      </x:c>
      <x:c r="J909" s="132" t="n">
        <x:f>IF(E909&lt;(('Assumptions'!$C$50-'Assumptions'!$B$50)/('Assumptions'!$D$50-'Assumptions'!$B$50)),'Assumptions'!$B$50+SQRT(E909*('Assumptions'!$D$50-'Assumptions'!$B$50)*('Assumptions'!$C$50-'Assumptions'!$B$50)),'Assumptions'!$D$50-SQRT((1-E909)*('Assumptions'!$D$50-'Assumptions'!$B$50)*('Assumptions'!$D$50-'Assumptions'!$C$50)))</x:f>
        <x:v>0.07651663438938784</x:v>
      </x:c>
      <x:c r="K909" s="132" t="n">
        <x:f>IF(F909&lt;(('Assumptions'!$C$51-'Assumptions'!$B$51)/('Assumptions'!$D$51-'Assumptions'!$B$51)),'Assumptions'!$B$51+SQRT(F909*('Assumptions'!$D$51-'Assumptions'!$B$51)*('Assumptions'!$C$51-'Assumptions'!$B$51)),'Assumptions'!$D$51-SQRT((1-F909)*('Assumptions'!$D$51-'Assumptions'!$B$51)*('Assumptions'!$D$51-'Assumptions'!$C$51)))</x:f>
        <x:v>0.0712423207972542</x:v>
      </x:c>
      <x:c r="L909" s="133" t="n">
        <x:f>(('Assumptions'!$B$17*(1+G909)+'Assumptions'!$B$18)*(1-H909-'Assumptions'!$B$20)-SUM('Assumptions'!$B$21:$B$25)*(1+I909))-(('Assumptions'!$B$17*(1+G909)+'Assumptions'!$B$18)*(1-H909-'Assumptions'!$B$20)*'Assumptions'!$B$26)</x:f>
        <x:v>188840.71772149336</x:v>
      </x:c>
      <x:c r="M909" s="133" t="n">
        <x:f>'Assumptions'!$B$10*'Assumptions'!$B$33</x:f>
        <x:v>1950000</x:v>
      </x:c>
      <x:c r="N909" s="133" t="n">
        <x:f>-PMT(K909/12,'Assumptions'!$B$35*12,M909)*12</x:f>
        <x:v>157638.00606132887</x:v>
      </x:c>
      <x:c r="O909" s="133" t="n">
        <x:f>(L909*(1+'Assumptions'!$B$29)^('Assumptions'!$B$14/12)/J909)*(1-'Assumptions'!$B$42)-'Debt Schedule'!$F$9</x:f>
        <x:v>2689389.8428139454</x:v>
      </x:c>
      <x:c r="P909" s="132" t="n">
        <x:f>((O909+(L909-N909-'Assumptions'!$B$27-'Assumptions'!$B$28)*('Assumptions'!$B$14/12))/ABS('Monthly Cash Flow'!$S$5))^(1/('Assumptions'!$B$14/12))-1</x:f>
        <x:v>0.15366036031396368</x:v>
      </x:c>
      <x:c r="Q909" s="133" t="n">
        <x:f>-ABS('Monthly Cash Flow'!$S$5)+((L909-N909-'Assumptions'!$B$27-'Assumptions'!$B$28)*(1-(1+'Assumptions'!$B$43)^-('Assumptions'!$B$14/12))/'Assumptions'!$B$43)+(O909/(1+'Assumptions'!$B$43)^('Assumptions'!$B$14/12))</x:f>
        <x:v>342050.85517656803</x:v>
      </x:c>
    </x:row>
    <x:row r="910">
      <x:c r="A910" s="131" t="n">
        <x:f>903</x:f>
        <x:v>903</x:v>
      </x:c>
      <x:c r="B910" s="131" t="n">
        <x:f>MOD(ABS(SIN((A910+1)*12.9898+78.233)*43758.5453),1)</x:f>
        <x:v>0.5736050029663602</x:v>
      </x:c>
      <x:c r="C910" s="131" t="n">
        <x:f>MOD(ABS(SIN((A910+2)*12.9898+78.233)*43758.5453),1)</x:f>
        <x:v>0.35758175061164366</x:v>
      </x:c>
      <x:c r="D910" s="131" t="n">
        <x:f>MOD(ABS(SIN((A910+3)*12.9898+78.233)*43758.5453),1)</x:f>
        <x:v>0.956857472081083</x:v>
      </x:c>
      <x:c r="E910" s="131" t="n">
        <x:f>MOD(ABS(SIN((A910+4)*12.9898+78.233)*43758.5453),1)</x:f>
        <x:v>0.6067039230219962</x:v>
      </x:c>
      <x:c r="F910" s="131" t="n">
        <x:f>MOD(ABS(SIN((A910+5)*12.9898+78.233)*43758.5453),1)</x:f>
        <x:v>0.4732100295877899</x:v>
      </x:c>
      <x:c r="G910" s="132" t="n">
        <x:f>IF(B910&lt;(('Assumptions'!$C$47-'Assumptions'!$B$47)/('Assumptions'!$D$47-'Assumptions'!$B$47)),'Assumptions'!$B$47+SQRT(B910*('Assumptions'!$D$47-'Assumptions'!$B$47)*('Assumptions'!$C$47-'Assumptions'!$B$47)),'Assumptions'!$D$47-SQRT((1-B910)*('Assumptions'!$D$47-'Assumptions'!$B$47)*('Assumptions'!$D$47-'Assumptions'!$C$47)))</x:f>
        <x:v>0.01733081467028448</x:v>
      </x:c>
      <x:c r="H910" s="132" t="n">
        <x:f>IF(C910&lt;(('Assumptions'!$C$48-'Assumptions'!$B$48)/('Assumptions'!$D$48-'Assumptions'!$B$48)),'Assumptions'!$B$48+SQRT(C910*('Assumptions'!$D$48-'Assumptions'!$B$48)*('Assumptions'!$C$48-'Assumptions'!$B$48)),'Assumptions'!$D$48-SQRT((1-C910)*('Assumptions'!$D$48-'Assumptions'!$B$48)*('Assumptions'!$D$48-'Assumptions'!$C$48)))</x:f>
        <x:v>0.06481169908411591</x:v>
      </x:c>
      <x:c r="I910" s="132" t="n">
        <x:f>IF(D910&lt;(('Assumptions'!$C$49-'Assumptions'!$B$49)/('Assumptions'!$D$49-'Assumptions'!$B$49)),'Assumptions'!$B$49+SQRT(D910*('Assumptions'!$D$49-'Assumptions'!$B$49)*('Assumptions'!$C$49-'Assumptions'!$B$49)),'Assumptions'!$D$49-SQRT((1-D910)*('Assumptions'!$D$49-'Assumptions'!$B$49)*('Assumptions'!$D$49-'Assumptions'!$C$49)))</x:f>
        <x:v>0.11947331326447942</x:v>
      </x:c>
      <x:c r="J910" s="132" t="n">
        <x:f>IF(E910&lt;(('Assumptions'!$C$50-'Assumptions'!$B$50)/('Assumptions'!$D$50-'Assumptions'!$B$50)),'Assumptions'!$B$50+SQRT(E910*('Assumptions'!$D$50-'Assumptions'!$B$50)*('Assumptions'!$C$50-'Assumptions'!$B$50)),'Assumptions'!$D$50-SQRT((1-E910)*('Assumptions'!$D$50-'Assumptions'!$B$50)*('Assumptions'!$D$50-'Assumptions'!$C$50)))</x:f>
        <x:v>0.06948265615043116</x:v>
      </x:c>
      <x:c r="K910" s="132" t="n">
        <x:f>IF(F910&lt;(('Assumptions'!$C$51-'Assumptions'!$B$51)/('Assumptions'!$D$51-'Assumptions'!$B$51)),'Assumptions'!$B$51+SQRT(F910*('Assumptions'!$D$51-'Assumptions'!$B$51)*('Assumptions'!$C$51-'Assumptions'!$B$51)),'Assumptions'!$D$51-SQRT((1-F910)*('Assumptions'!$D$51-'Assumptions'!$B$51)*('Assumptions'!$D$51-'Assumptions'!$C$51)))</x:f>
        <x:v>0.06907776167554085</x:v>
      </x:c>
      <x:c r="L910" s="133" t="n">
        <x:f>(('Assumptions'!$B$17*(1+G910)+'Assumptions'!$B$18)*(1-H910-'Assumptions'!$B$20)-SUM('Assumptions'!$B$21:$B$25)*(1+I910))-(('Assumptions'!$B$17*(1+G910)+'Assumptions'!$B$18)*(1-H910-'Assumptions'!$B$20)*'Assumptions'!$B$26)</x:f>
        <x:v>200220.13583272812</x:v>
      </x:c>
      <x:c r="M910" s="133" t="n">
        <x:f>'Assumptions'!$B$10*'Assumptions'!$B$33</x:f>
        <x:v>1950000</x:v>
      </x:c>
      <x:c r="N910" s="133" t="n">
        <x:f>-PMT(K910/12,'Assumptions'!$B$35*12,M910)*12</x:f>
        <x:v>154234.15966824963</x:v>
      </x:c>
      <x:c r="O910" s="133" t="n">
        <x:f>(L910*(1+'Assumptions'!$B$29)^('Assumptions'!$B$14/12)/J910)*(1-'Assumptions'!$B$42)-'Debt Schedule'!$F$9</x:f>
        <x:v>3140113.2880400093</x:v>
      </x:c>
      <x:c r="P910" s="132" t="n">
        <x:f>((O910+(L910-N910-'Assumptions'!$B$27-'Assumptions'!$B$28)*('Assumptions'!$B$14/12))/ABS('Monthly Cash Flow'!$S$5))^(1/('Assumptions'!$B$14/12))-1</x:f>
        <x:v>0.19616922393624092</x:v>
      </x:c>
      <x:c r="Q910" s="133" t="n">
        <x:f>-ABS('Monthly Cash Flow'!$S$5)+((L910-N910-'Assumptions'!$B$27-'Assumptions'!$B$28)*(1-(1+'Assumptions'!$B$43)^-('Assumptions'!$B$14/12))/'Assumptions'!$B$43)+(O910/(1+'Assumptions'!$B$43)^('Assumptions'!$B$14/12))</x:f>
        <x:v>677954.8566117352</x:v>
      </x:c>
    </x:row>
    <x:row r="911">
      <x:c r="A911" s="131" t="n">
        <x:f>904</x:f>
        <x:v>904</x:v>
      </x:c>
      <x:c r="B911" s="131" t="n">
        <x:f>MOD(ABS(SIN((A911+1)*12.9898+78.233)*43758.5453),1)</x:f>
        <x:v>0.35758175061164366</x:v>
      </x:c>
      <x:c r="C911" s="131" t="n">
        <x:f>MOD(ABS(SIN((A911+2)*12.9898+78.233)*43758.5453),1)</x:f>
        <x:v>0.956857472081083</x:v>
      </x:c>
      <x:c r="D911" s="131" t="n">
        <x:f>MOD(ABS(SIN((A911+3)*12.9898+78.233)*43758.5453),1)</x:f>
        <x:v>0.6067039230219962</x:v>
      </x:c>
      <x:c r="E911" s="131" t="n">
        <x:f>MOD(ABS(SIN((A911+4)*12.9898+78.233)*43758.5453),1)</x:f>
        <x:v>0.4732100295877899</x:v>
      </x:c>
      <x:c r="F911" s="131" t="n">
        <x:f>MOD(ABS(SIN((A911+5)*12.9898+78.233)*43758.5453),1)</x:f>
        <x:v>0.8963997265382204</x:v>
      </x:c>
      <x:c r="G911" s="132" t="n">
        <x:f>IF(B911&lt;(('Assumptions'!$C$47-'Assumptions'!$B$47)/('Assumptions'!$D$47-'Assumptions'!$B$47)),'Assumptions'!$B$47+SQRT(B911*('Assumptions'!$D$47-'Assumptions'!$B$47)*('Assumptions'!$C$47-'Assumptions'!$B$47)),'Assumptions'!$D$47-SQRT((1-B911)*('Assumptions'!$D$47-'Assumptions'!$B$47)*('Assumptions'!$D$47-'Assumptions'!$C$47)))</x:f>
        <x:v>-0.00736112039386784</x:v>
      </x:c>
      <x:c r="H911" s="132" t="n">
        <x:f>IF(C911&lt;(('Assumptions'!$C$48-'Assumptions'!$B$48)/('Assumptions'!$D$48-'Assumptions'!$B$48)),'Assumptions'!$B$48+SQRT(C911*('Assumptions'!$D$48-'Assumptions'!$B$48)*('Assumptions'!$C$48-'Assumptions'!$B$48)),'Assumptions'!$D$48-SQRT((1-C911)*('Assumptions'!$D$48-'Assumptions'!$B$48)*('Assumptions'!$D$48-'Assumptions'!$C$48)))</x:f>
        <x:v>0.12051528173961785</x:v>
      </x:c>
      <x:c r="I911" s="132" t="n">
        <x:f>IF(D911&lt;(('Assumptions'!$C$49-'Assumptions'!$B$49)/('Assumptions'!$D$49-'Assumptions'!$B$49)),'Assumptions'!$B$49+SQRT(D911*('Assumptions'!$D$49-'Assumptions'!$B$49)*('Assumptions'!$C$49-'Assumptions'!$B$49)),'Assumptions'!$D$49-SQRT((1-D911)*('Assumptions'!$D$49-'Assumptions'!$B$49)*('Assumptions'!$D$49-'Assumptions'!$C$49)))</x:f>
        <x:v>0.057830616456846784</x:v>
      </x:c>
      <x:c r="J911" s="132" t="n">
        <x:f>IF(E911&lt;(('Assumptions'!$C$50-'Assumptions'!$B$50)/('Assumptions'!$D$50-'Assumptions'!$B$50)),'Assumptions'!$B$50+SQRT(E911*('Assumptions'!$D$50-'Assumptions'!$B$50)*('Assumptions'!$C$50-'Assumptions'!$B$50)),'Assumptions'!$D$50-SQRT((1-E911)*('Assumptions'!$D$50-'Assumptions'!$B$50)*('Assumptions'!$D$50-'Assumptions'!$C$50)))</x:f>
        <x:v>0.0678279139348083</x:v>
      </x:c>
      <x:c r="K911" s="132" t="n">
        <x:f>IF(F911&lt;(('Assumptions'!$C$51-'Assumptions'!$B$51)/('Assumptions'!$D$51-'Assumptions'!$B$51)),'Assumptions'!$B$51+SQRT(F911*('Assumptions'!$D$51-'Assumptions'!$B$51)*('Assumptions'!$C$51-'Assumptions'!$B$51)),'Assumptions'!$D$51-SQRT((1-F911)*('Assumptions'!$D$51-'Assumptions'!$B$51)*('Assumptions'!$D$51-'Assumptions'!$C$51)))</x:f>
        <x:v>0.0779390063303044</x:v>
      </x:c>
      <x:c r="L911" s="133" t="n">
        <x:f>(('Assumptions'!$B$17*(1+G911)+'Assumptions'!$B$18)*(1-H911-'Assumptions'!$B$20)-SUM('Assumptions'!$B$21:$B$25)*(1+I911))-(('Assumptions'!$B$17*(1+G911)+'Assumptions'!$B$18)*(1-H911-'Assumptions'!$B$20)*'Assumptions'!$B$26)</x:f>
        <x:v>180019.98497609835</x:v>
      </x:c>
      <x:c r="M911" s="133" t="n">
        <x:f>'Assumptions'!$B$10*'Assumptions'!$B$33</x:f>
        <x:v>1950000</x:v>
      </x:c>
      <x:c r="N911" s="133" t="n">
        <x:f>-PMT(K911/12,'Assumptions'!$B$35*12,M911)*12</x:f>
        <x:v>168350.90398901596</x:v>
      </x:c>
      <x:c r="O911" s="133" t="n">
        <x:f>(L911*(1+'Assumptions'!$B$29)^('Assumptions'!$B$14/12)/J911)*(1-'Assumptions'!$B$42)-'Debt Schedule'!$F$9</x:f>
        <x:v>2892186.1217918755</x:v>
      </x:c>
      <x:c r="P911" s="132" t="n">
        <x:f>((O911+(L911-N911-'Assumptions'!$B$27-'Assumptions'!$B$28)*('Assumptions'!$B$14/12))/ABS('Monthly Cash Flow'!$S$5))^(1/('Assumptions'!$B$14/12))-1</x:f>
        <x:v>0.16268726194169325</x:v>
      </x:c>
      <x:c r="Q911" s="133" t="n">
        <x:f>-ABS('Monthly Cash Flow'!$S$5)+((L911-N911-'Assumptions'!$B$27-'Assumptions'!$B$28)*(1-(1+'Assumptions'!$B$43)^-('Assumptions'!$B$14/12))/'Assumptions'!$B$43)+(O911/(1+'Assumptions'!$B$43)^('Assumptions'!$B$14/12))</x:f>
        <x:v>393923.56031698734</x:v>
      </x:c>
    </x:row>
    <x:row r="912">
      <x:c r="A912" s="131" t="n">
        <x:f>905</x:f>
        <x:v>905</x:v>
      </x:c>
      <x:c r="B912" s="131" t="n">
        <x:f>MOD(ABS(SIN((A912+1)*12.9898+78.233)*43758.5453),1)</x:f>
        <x:v>0.956857472081083</x:v>
      </x:c>
      <x:c r="C912" s="131" t="n">
        <x:f>MOD(ABS(SIN((A912+2)*12.9898+78.233)*43758.5453),1)</x:f>
        <x:v>0.6067039230219962</x:v>
      </x:c>
      <x:c r="D912" s="131" t="n">
        <x:f>MOD(ABS(SIN((A912+3)*12.9898+78.233)*43758.5453),1)</x:f>
        <x:v>0.4732100295877899</x:v>
      </x:c>
      <x:c r="E912" s="131" t="n">
        <x:f>MOD(ABS(SIN((A912+4)*12.9898+78.233)*43758.5453),1)</x:f>
        <x:v>0.8963997265382204</x:v>
      </x:c>
      <x:c r="F912" s="131" t="n">
        <x:f>MOD(ABS(SIN((A912+5)*12.9898+78.233)*43758.5453),1)</x:f>
        <x:v>0.4280905469568097</x:v>
      </x:c>
      <x:c r="G912" s="132" t="n">
        <x:f>IF(B912&lt;(('Assumptions'!$C$47-'Assumptions'!$B$47)/('Assumptions'!$D$47-'Assumptions'!$B$47)),'Assumptions'!$B$47+SQRT(B912*('Assumptions'!$D$47-'Assumptions'!$B$47)*('Assumptions'!$C$47-'Assumptions'!$B$47)),'Assumptions'!$D$47-SQRT((1-B912)*('Assumptions'!$D$47-'Assumptions'!$B$47)*('Assumptions'!$D$47-'Assumptions'!$C$47)))</x:f>
        <x:v>0.07372681125743066</x:v>
      </x:c>
      <x:c r="H912" s="132" t="n">
        <x:f>IF(C912&lt;(('Assumptions'!$C$48-'Assumptions'!$B$48)/('Assumptions'!$D$48-'Assumptions'!$B$48)),'Assumptions'!$B$48+SQRT(C912*('Assumptions'!$D$48-'Assumptions'!$B$48)*('Assumptions'!$C$48-'Assumptions'!$B$48)),'Assumptions'!$D$48-SQRT((1-C912)*('Assumptions'!$D$48-'Assumptions'!$B$48)*('Assumptions'!$D$48-'Assumptions'!$C$48)))</x:f>
        <x:v>0.0811696891270628</x:v>
      </x:c>
      <x:c r="I912" s="132" t="n">
        <x:f>IF(D912&lt;(('Assumptions'!$C$49-'Assumptions'!$B$49)/('Assumptions'!$D$49-'Assumptions'!$B$49)),'Assumptions'!$B$49+SQRT(D912*('Assumptions'!$D$49-'Assumptions'!$B$49)*('Assumptions'!$C$49-'Assumptions'!$B$49)),'Assumptions'!$D$49-SQRT((1-D912)*('Assumptions'!$D$49-'Assumptions'!$B$49)*('Assumptions'!$D$49-'Assumptions'!$C$49)))</x:f>
        <x:v>0.043329182243203285</x:v>
      </x:c>
      <x:c r="J912" s="132" t="n">
        <x:f>IF(E912&lt;(('Assumptions'!$C$50-'Assumptions'!$B$50)/('Assumptions'!$D$50-'Assumptions'!$B$50)),'Assumptions'!$B$50+SQRT(E912*('Assumptions'!$D$50-'Assumptions'!$B$50)*('Assumptions'!$C$50-'Assumptions'!$B$50)),'Assumptions'!$D$50-SQRT((1-E912)*('Assumptions'!$D$50-'Assumptions'!$B$50)*('Assumptions'!$D$50-'Assumptions'!$C$50)))</x:f>
        <x:v>0.07460207661122117</x:v>
      </x:c>
      <x:c r="K912" s="132" t="n">
        <x:f>IF(F912&lt;(('Assumptions'!$C$51-'Assumptions'!$B$51)/('Assumptions'!$D$51-'Assumptions'!$B$51)),'Assumptions'!$B$51+SQRT(F912*('Assumptions'!$D$51-'Assumptions'!$B$51)*('Assumptions'!$C$51-'Assumptions'!$B$51)),'Assumptions'!$D$51-SQRT((1-F912)*('Assumptions'!$D$51-'Assumptions'!$B$51)*('Assumptions'!$D$51-'Assumptions'!$C$51)))</x:f>
        <x:v>0.06840989981112124</x:v>
      </x:c>
      <x:c r="L912" s="133" t="n">
        <x:f>(('Assumptions'!$B$17*(1+G912)+'Assumptions'!$B$18)*(1-H912-'Assumptions'!$B$20)-SUM('Assumptions'!$B$21:$B$25)*(1+I912))-(('Assumptions'!$B$17*(1+G912)+'Assumptions'!$B$18)*(1-H912-'Assumptions'!$B$20)*'Assumptions'!$B$26)</x:f>
        <x:v>221493.8498175973</x:v>
      </x:c>
      <x:c r="M912" s="133" t="n">
        <x:f>'Assumptions'!$B$10*'Assumptions'!$B$33</x:f>
        <x:v>1950000</x:v>
      </x:c>
      <x:c r="N912" s="133" t="n">
        <x:f>-PMT(K912/12,'Assumptions'!$B$35*12,M912)*12</x:f>
        <x:v>153189.9510271048</x:v>
      </x:c>
      <x:c r="O912" s="133" t="n">
        <x:f>(L912*(1+'Assumptions'!$B$29)^('Assumptions'!$B$14/12)/J912)*(1-'Assumptions'!$B$42)-'Debt Schedule'!$F$9</x:f>
        <x:v>3235375.7966505094</x:v>
      </x:c>
      <x:c r="P912" s="132" t="n">
        <x:f>((O912+(L912-N912-'Assumptions'!$B$27-'Assumptions'!$B$28)*('Assumptions'!$B$14/12))/ABS('Monthly Cash Flow'!$S$5))^(1/('Assumptions'!$B$14/12))-1</x:f>
        <x:v>0.21138755565638223</x:v>
      </x:c>
      <x:c r="Q912" s="133" t="n">
        <x:f>-ABS('Monthly Cash Flow'!$S$5)+((L912-N912-'Assumptions'!$B$27-'Assumptions'!$B$28)*(1-(1+'Assumptions'!$B$43)^-('Assumptions'!$B$14/12))/'Assumptions'!$B$43)+(O912/(1+'Assumptions'!$B$43)^('Assumptions'!$B$14/12))</x:f>
        <x:v>821707.8653074766</x:v>
      </x:c>
    </x:row>
    <x:row r="913">
      <x:c r="A913" s="131" t="n">
        <x:f>906</x:f>
        <x:v>906</x:v>
      </x:c>
      <x:c r="B913" s="131" t="n">
        <x:f>MOD(ABS(SIN((A913+1)*12.9898+78.233)*43758.5453),1)</x:f>
        <x:v>0.6067039230219962</x:v>
      </x:c>
      <x:c r="C913" s="131" t="n">
        <x:f>MOD(ABS(SIN((A913+2)*12.9898+78.233)*43758.5453),1)</x:f>
        <x:v>0.4732100295877899</x:v>
      </x:c>
      <x:c r="D913" s="131" t="n">
        <x:f>MOD(ABS(SIN((A913+3)*12.9898+78.233)*43758.5453),1)</x:f>
        <x:v>0.8963997265382204</x:v>
      </x:c>
      <x:c r="E913" s="131" t="n">
        <x:f>MOD(ABS(SIN((A913+4)*12.9898+78.233)*43758.5453),1)</x:f>
        <x:v>0.4280905469568097</x:v>
      </x:c>
      <x:c r="F913" s="131" t="n">
        <x:f>MOD(ABS(SIN((A913+5)*12.9898+78.233)*43758.5453),1)</x:f>
        <x:v>0.7902547716948902</x:v>
      </x:c>
      <x:c r="G913" s="132" t="n">
        <x:f>IF(B913&lt;(('Assumptions'!$C$47-'Assumptions'!$B$47)/('Assumptions'!$D$47-'Assumptions'!$B$47)),'Assumptions'!$B$47+SQRT(B913*('Assumptions'!$D$47-'Assumptions'!$B$47)*('Assumptions'!$C$47-'Assumptions'!$B$47)),'Assumptions'!$D$47-SQRT((1-B913)*('Assumptions'!$D$47-'Assumptions'!$B$47)*('Assumptions'!$D$47-'Assumptions'!$C$47)))</x:f>
        <x:v>0.020673225001591924</x:v>
      </x:c>
      <x:c r="H913" s="132" t="n">
        <x:f>IF(C913&lt;(('Assumptions'!$C$48-'Assumptions'!$B$48)/('Assumptions'!$D$48-'Assumptions'!$B$48)),'Assumptions'!$B$48+SQRT(C913*('Assumptions'!$D$48-'Assumptions'!$B$48)*('Assumptions'!$C$48-'Assumptions'!$B$48)),'Assumptions'!$D$48-SQRT((1-C913)*('Assumptions'!$D$48-'Assumptions'!$B$48)*('Assumptions'!$D$48-'Assumptions'!$C$48)))</x:f>
        <x:v>0.07191364498207113</x:v>
      </x:c>
      <x:c r="I913" s="132" t="n">
        <x:f>IF(D913&lt;(('Assumptions'!$C$49-'Assumptions'!$B$49)/('Assumptions'!$D$49-'Assumptions'!$B$49)),'Assumptions'!$B$49+SQRT(D913*('Assumptions'!$D$49-'Assumptions'!$B$49)*('Assumptions'!$C$49-'Assumptions'!$B$49)),'Assumptions'!$D$49-SQRT((1-D913)*('Assumptions'!$D$49-'Assumptions'!$B$49)*('Assumptions'!$D$49-'Assumptions'!$C$49)))</x:f>
        <x:v>0.1026949695404977</x:v>
      </x:c>
      <x:c r="J913" s="132" t="n">
        <x:f>IF(E913&lt;(('Assumptions'!$C$50-'Assumptions'!$B$50)/('Assumptions'!$D$50-'Assumptions'!$B$50)),'Assumptions'!$B$50+SQRT(E913*('Assumptions'!$D$50-'Assumptions'!$B$50)*('Assumptions'!$C$50-'Assumptions'!$B$50)),'Assumptions'!$D$50-SQRT((1-E913)*('Assumptions'!$D$50-'Assumptions'!$B$50)*('Assumptions'!$D$50-'Assumptions'!$C$50)))</x:f>
        <x:v>0.06731429432334705</x:v>
      </x:c>
      <x:c r="K913" s="132" t="n">
        <x:f>IF(F913&lt;(('Assumptions'!$C$51-'Assumptions'!$B$51)/('Assumptions'!$D$51-'Assumptions'!$B$51)),'Assumptions'!$B$51+SQRT(F913*('Assumptions'!$D$51-'Assumptions'!$B$51)*('Assumptions'!$C$51-'Assumptions'!$B$51)),'Assumptions'!$D$51-SQRT((1-F913)*('Assumptions'!$D$51-'Assumptions'!$B$51)*('Assumptions'!$D$51-'Assumptions'!$C$51)))</x:f>
        <x:v>0.07495311535241725</x:v>
      </x:c>
      <x:c r="L913" s="133" t="n">
        <x:f>(('Assumptions'!$B$17*(1+G913)+'Assumptions'!$B$18)*(1-H913-'Assumptions'!$B$20)-SUM('Assumptions'!$B$21:$B$25)*(1+I913))-(('Assumptions'!$B$17*(1+G913)+'Assumptions'!$B$18)*(1-H913-'Assumptions'!$B$20)*'Assumptions'!$B$26)</x:f>
        <x:v>200775.03122719732</x:v>
      </x:c>
      <x:c r="M913" s="133" t="n">
        <x:f>'Assumptions'!$B$10*'Assumptions'!$B$33</x:f>
        <x:v>1950000</x:v>
      </x:c>
      <x:c r="N913" s="133" t="n">
        <x:f>-PMT(K913/12,'Assumptions'!$B$35*12,M913)*12</x:f>
        <x:v>163541.0773547271</x:v>
      </x:c>
      <x:c r="O913" s="133" t="n">
        <x:f>(L913*(1+'Assumptions'!$B$29)^('Assumptions'!$B$14/12)/J913)*(1-'Assumptions'!$B$42)-'Debt Schedule'!$F$9</x:f>
        <x:v>3250247.118530236</x:v>
      </x:c>
      <x:c r="P913" s="132" t="n">
        <x:f>((O913+(L913-N913-'Assumptions'!$B$27-'Assumptions'!$B$28)*('Assumptions'!$B$14/12))/ABS('Monthly Cash Flow'!$S$5))^(1/('Assumptions'!$B$14/12))-1</x:f>
        <x:v>0.2011368217135805</x:v>
      </x:c>
      <x:c r="Q913" s="133" t="n">
        <x:f>-ABS('Monthly Cash Flow'!$S$5)+((L913-N913-'Assumptions'!$B$27-'Assumptions'!$B$28)*(1-(1+'Assumptions'!$B$43)^-('Assumptions'!$B$14/12))/'Assumptions'!$B$43)+(O913/(1+'Assumptions'!$B$43)^('Assumptions'!$B$14/12))</x:f>
        <x:v>713162.2500431868</x:v>
      </x:c>
    </x:row>
    <x:row r="914">
      <x:c r="A914" s="131" t="n">
        <x:f>907</x:f>
        <x:v>907</x:v>
      </x:c>
      <x:c r="B914" s="131" t="n">
        <x:f>MOD(ABS(SIN((A914+1)*12.9898+78.233)*43758.5453),1)</x:f>
        <x:v>0.4732100295877899</x:v>
      </x:c>
      <x:c r="C914" s="131" t="n">
        <x:f>MOD(ABS(SIN((A914+2)*12.9898+78.233)*43758.5453),1)</x:f>
        <x:v>0.8963997265382204</x:v>
      </x:c>
      <x:c r="D914" s="131" t="n">
        <x:f>MOD(ABS(SIN((A914+3)*12.9898+78.233)*43758.5453),1)</x:f>
        <x:v>0.4280905469568097</x:v>
      </x:c>
      <x:c r="E914" s="131" t="n">
        <x:f>MOD(ABS(SIN((A914+4)*12.9898+78.233)*43758.5453),1)</x:f>
        <x:v>0.7902547716948902</x:v>
      </x:c>
      <x:c r="F914" s="131" t="n">
        <x:f>MOD(ABS(SIN((A914+5)*12.9898+78.233)*43758.5453),1)</x:f>
        <x:v>0.4756398620775144</x:v>
      </x:c>
      <x:c r="G914" s="132" t="n">
        <x:f>IF(B914&lt;(('Assumptions'!$C$47-'Assumptions'!$B$47)/('Assumptions'!$D$47-'Assumptions'!$B$47)),'Assumptions'!$B$47+SQRT(B914*('Assumptions'!$D$47-'Assumptions'!$B$47)*('Assumptions'!$C$47-'Assumptions'!$B$47)),'Assumptions'!$D$47-SQRT((1-B914)*('Assumptions'!$D$47-'Assumptions'!$B$47)*('Assumptions'!$D$47-'Assumptions'!$C$47)))</x:f>
        <x:v>0.006569417330240468</x:v>
      </x:c>
      <x:c r="H914" s="132" t="n">
        <x:f>IF(C914&lt;(('Assumptions'!$C$48-'Assumptions'!$B$48)/('Assumptions'!$D$48-'Assumptions'!$B$48)),'Assumptions'!$B$48+SQRT(C914*('Assumptions'!$D$48-'Assumptions'!$B$48)*('Assumptions'!$C$48-'Assumptions'!$B$48)),'Assumptions'!$D$48-SQRT((1-C914)*('Assumptions'!$D$48-'Assumptions'!$B$48)*('Assumptions'!$D$48-'Assumptions'!$C$48)))</x:f>
        <x:v>0.10980592100322217</x:v>
      </x:c>
      <x:c r="I914" s="132" t="n">
        <x:f>IF(D914&lt;(('Assumptions'!$C$49-'Assumptions'!$B$49)/('Assumptions'!$D$49-'Assumptions'!$B$49)),'Assumptions'!$B$49+SQRT(D914*('Assumptions'!$D$49-'Assumptions'!$B$49)*('Assumptions'!$C$49-'Assumptions'!$B$49)),'Assumptions'!$D$49-SQRT((1-D914)*('Assumptions'!$D$49-'Assumptions'!$B$49)*('Assumptions'!$D$49-'Assumptions'!$C$49)))</x:f>
        <x:v>0.03885485082230124</x:v>
      </x:c>
      <x:c r="J914" s="132" t="n">
        <x:f>IF(E914&lt;(('Assumptions'!$C$50-'Assumptions'!$B$50)/('Assumptions'!$D$50-'Assumptions'!$B$50)),'Assumptions'!$B$50+SQRT(E914*('Assumptions'!$D$50-'Assumptions'!$B$50)*('Assumptions'!$C$50-'Assumptions'!$B$50)),'Assumptions'!$D$50-SQRT((1-E914)*('Assumptions'!$D$50-'Assumptions'!$B$50)*('Assumptions'!$D$50-'Assumptions'!$C$50)))</x:f>
        <x:v>0.07231945018499247</x:v>
      </x:c>
      <x:c r="K914" s="132" t="n">
        <x:f>IF(F914&lt;(('Assumptions'!$C$51-'Assumptions'!$B$51)/('Assumptions'!$D$51-'Assumptions'!$B$51)),'Assumptions'!$B$51+SQRT(F914*('Assumptions'!$D$51-'Assumptions'!$B$51)*('Assumptions'!$C$51-'Assumptions'!$B$51)),'Assumptions'!$D$51-SQRT((1-F914)*('Assumptions'!$D$51-'Assumptions'!$B$51)*('Assumptions'!$D$51-'Assumptions'!$C$51)))</x:f>
        <x:v>0.06911452498742338</x:v>
      </x:c>
      <x:c r="L914" s="133" t="n">
        <x:f>(('Assumptions'!$B$17*(1+G914)+'Assumptions'!$B$18)*(1-H914-'Assumptions'!$B$20)-SUM('Assumptions'!$B$21:$B$25)*(1+I914))-(('Assumptions'!$B$17*(1+G914)+'Assumptions'!$B$18)*(1-H914-'Assumptions'!$B$20)*'Assumptions'!$B$26)</x:f>
        <x:v>190507.5005716878</x:v>
      </x:c>
      <x:c r="M914" s="133" t="n">
        <x:f>'Assumptions'!$B$10*'Assumptions'!$B$33</x:f>
        <x:v>1950000</x:v>
      </x:c>
      <x:c r="N914" s="133" t="n">
        <x:f>-PMT(K914/12,'Assumptions'!$B$35*12,M914)*12</x:f>
        <x:v>154291.72269695916</x:v>
      </x:c>
      <x:c r="O914" s="133" t="n">
        <x:f>(L914*(1+'Assumptions'!$B$29)^('Assumptions'!$B$14/12)/J914)*(1-'Assumptions'!$B$42)-'Debt Schedule'!$F$9</x:f>
        <x:v>2870588.499484797</x:v>
      </x:c>
      <x:c r="P914" s="132" t="n">
        <x:f>((O914+(L914-N914-'Assumptions'!$B$27-'Assumptions'!$B$28)*('Assumptions'!$B$14/12))/ABS('Monthly Cash Flow'!$S$5))^(1/('Assumptions'!$B$14/12))-1</x:f>
        <x:v>0.17111451268652633</x:v>
      </x:c>
      <x:c r="Q914" s="133" t="n">
        <x:f>-ABS('Monthly Cash Flow'!$S$5)+((L914-N914-'Assumptions'!$B$27-'Assumptions'!$B$28)*(1-(1+'Assumptions'!$B$43)^-('Assumptions'!$B$14/12))/'Assumptions'!$B$43)+(O914/(1+'Assumptions'!$B$43)^('Assumptions'!$B$14/12))</x:f>
        <x:v>473564.429893513</x:v>
      </x:c>
    </x:row>
    <x:row r="915">
      <x:c r="A915" s="131" t="n">
        <x:f>908</x:f>
        <x:v>908</x:v>
      </x:c>
      <x:c r="B915" s="131" t="n">
        <x:f>MOD(ABS(SIN((A915+1)*12.9898+78.233)*43758.5453),1)</x:f>
        <x:v>0.8963997265382204</x:v>
      </x:c>
      <x:c r="C915" s="131" t="n">
        <x:f>MOD(ABS(SIN((A915+2)*12.9898+78.233)*43758.5453),1)</x:f>
        <x:v>0.4280905469568097</x:v>
      </x:c>
      <x:c r="D915" s="131" t="n">
        <x:f>MOD(ABS(SIN((A915+3)*12.9898+78.233)*43758.5453),1)</x:f>
        <x:v>0.7902547716948902</x:v>
      </x:c>
      <x:c r="E915" s="131" t="n">
        <x:f>MOD(ABS(SIN((A915+4)*12.9898+78.233)*43758.5453),1)</x:f>
        <x:v>0.4756398620775144</x:v>
      </x:c>
      <x:c r="F915" s="131" t="n">
        <x:f>MOD(ABS(SIN((A915+5)*12.9898+78.233)*43758.5453),1)</x:f>
        <x:v>0.6454517035326717</x:v>
      </x:c>
      <x:c r="G915" s="132" t="n">
        <x:f>IF(B915&lt;(('Assumptions'!$C$47-'Assumptions'!$B$47)/('Assumptions'!$D$47-'Assumptions'!$B$47)),'Assumptions'!$B$47+SQRT(B915*('Assumptions'!$D$47-'Assumptions'!$B$47)*('Assumptions'!$C$47-'Assumptions'!$B$47)),'Assumptions'!$D$47-SQRT((1-B915)*('Assumptions'!$D$47-'Assumptions'!$B$47)*('Assumptions'!$D$47-'Assumptions'!$C$47)))</x:f>
        <x:v>0.05928631218633624</x:v>
      </x:c>
      <x:c r="H915" s="132" t="n">
        <x:f>IF(C915&lt;(('Assumptions'!$C$48-'Assumptions'!$B$48)/('Assumptions'!$D$48-'Assumptions'!$B$48)),'Assumptions'!$B$48+SQRT(C915*('Assumptions'!$D$48-'Assumptions'!$B$48)*('Assumptions'!$C$48-'Assumptions'!$B$48)),'Assumptions'!$D$48-SQRT((1-C915)*('Assumptions'!$D$48-'Assumptions'!$B$48)*('Assumptions'!$D$48-'Assumptions'!$C$48)))</x:f>
        <x:v>0.06905774752109943</x:v>
      </x:c>
      <x:c r="I915" s="132" t="n">
        <x:f>IF(D915&lt;(('Assumptions'!$C$49-'Assumptions'!$B$49)/('Assumptions'!$D$49-'Assumptions'!$B$49)),'Assumptions'!$B$49+SQRT(D915*('Assumptions'!$D$49-'Assumptions'!$B$49)*('Assumptions'!$C$49-'Assumptions'!$B$49)),'Assumptions'!$D$49-SQRT((1-D915)*('Assumptions'!$D$49-'Assumptions'!$B$49)*('Assumptions'!$D$49-'Assumptions'!$C$49)))</x:f>
        <x:v>0.08269103379645197</x:v>
      </x:c>
      <x:c r="J915" s="132" t="n">
        <x:f>IF(E915&lt;(('Assumptions'!$C$50-'Assumptions'!$B$50)/('Assumptions'!$D$50-'Assumptions'!$B$50)),'Assumptions'!$B$50+SQRT(E915*('Assumptions'!$D$50-'Assumptions'!$B$50)*('Assumptions'!$C$50-'Assumptions'!$B$50)),'Assumptions'!$D$50-SQRT((1-E915)*('Assumptions'!$D$50-'Assumptions'!$B$50)*('Assumptions'!$D$50-'Assumptions'!$C$50)))</x:f>
        <x:v>0.06785601841278162</x:v>
      </x:c>
      <x:c r="K915" s="132" t="n">
        <x:f>IF(F915&lt;(('Assumptions'!$C$51-'Assumptions'!$B$51)/('Assumptions'!$D$51-'Assumptions'!$B$51)),'Assumptions'!$B$51+SQRT(F915*('Assumptions'!$D$51-'Assumptions'!$B$51)*('Assumptions'!$C$51-'Assumptions'!$B$51)),'Assumptions'!$D$51-SQRT((1-F915)*('Assumptions'!$D$51-'Assumptions'!$B$51)*('Assumptions'!$D$51-'Assumptions'!$C$51)))</x:f>
        <x:v>0.07193759717070011</x:v>
      </x:c>
      <x:c r="L915" s="133" t="n">
        <x:f>(('Assumptions'!$B$17*(1+G915)+'Assumptions'!$B$18)*(1-H915-'Assumptions'!$B$20)-SUM('Assumptions'!$B$21:$B$25)*(1+I915))-(('Assumptions'!$B$17*(1+G915)+'Assumptions'!$B$18)*(1-H915-'Assumptions'!$B$20)*'Assumptions'!$B$26)</x:f>
        <x:v>216641.96199381002</x:v>
      </x:c>
      <x:c r="M915" s="133" t="n">
        <x:f>'Assumptions'!$B$10*'Assumptions'!$B$33</x:f>
        <x:v>1950000</x:v>
      </x:c>
      <x:c r="N915" s="133" t="n">
        <x:f>-PMT(K915/12,'Assumptions'!$B$35*12,M915)*12</x:f>
        <x:v>158737.60252323383</x:v>
      </x:c>
      <x:c r="O915" s="133" t="n">
        <x:f>(L915*(1+'Assumptions'!$B$29)^('Assumptions'!$B$14/12)/J915)*(1-'Assumptions'!$B$42)-'Debt Schedule'!$F$9</x:f>
        <x:v>3479110.1934702764</x:v>
      </x:c>
      <x:c r="P915" s="132" t="n">
        <x:f>((O915+(L915-N915-'Assumptions'!$B$27-'Assumptions'!$B$28)*('Assumptions'!$B$14/12))/ABS('Monthly Cash Flow'!$S$5))^(1/('Assumptions'!$B$14/12))-1</x:f>
        <x:v>0.22484163888346131</x:v>
      </x:c>
      <x:c r="Q915" s="133" t="n">
        <x:f>-ABS('Monthly Cash Flow'!$S$5)+((L915-N915-'Assumptions'!$B$27-'Assumptions'!$B$28)*(1-(1+'Assumptions'!$B$43)^-('Assumptions'!$B$14/12))/'Assumptions'!$B$43)+(O915/(1+'Assumptions'!$B$43)^('Assumptions'!$B$14/12))</x:f>
        <x:v>933625.3133939498</x:v>
      </x:c>
    </x:row>
    <x:row r="916">
      <x:c r="A916" s="131" t="n">
        <x:f>909</x:f>
        <x:v>909</x:v>
      </x:c>
      <x:c r="B916" s="131" t="n">
        <x:f>MOD(ABS(SIN((A916+1)*12.9898+78.233)*43758.5453),1)</x:f>
        <x:v>0.4280905469568097</x:v>
      </x:c>
      <x:c r="C916" s="131" t="n">
        <x:f>MOD(ABS(SIN((A916+2)*12.9898+78.233)*43758.5453),1)</x:f>
        <x:v>0.7902547716948902</x:v>
      </x:c>
      <x:c r="D916" s="131" t="n">
        <x:f>MOD(ABS(SIN((A916+3)*12.9898+78.233)*43758.5453),1)</x:f>
        <x:v>0.4756398620775144</x:v>
      </x:c>
      <x:c r="E916" s="131" t="n">
        <x:f>MOD(ABS(SIN((A916+4)*12.9898+78.233)*43758.5453),1)</x:f>
        <x:v>0.6454517035326717</x:v>
      </x:c>
      <x:c r="F916" s="131" t="n">
        <x:f>MOD(ABS(SIN((A916+5)*12.9898+78.233)*43758.5453),1)</x:f>
        <x:v>0.0357260722121282</x:v>
      </x:c>
      <x:c r="G916" s="132" t="n">
        <x:f>IF(B916&lt;(('Assumptions'!$C$47-'Assumptions'!$B$47)/('Assumptions'!$D$47-'Assumptions'!$B$47)),'Assumptions'!$B$47+SQRT(B916*('Assumptions'!$D$47-'Assumptions'!$B$47)*('Assumptions'!$C$47-'Assumptions'!$B$47)),'Assumptions'!$D$47-SQRT((1-B916)*('Assumptions'!$D$47-'Assumptions'!$B$47)*('Assumptions'!$D$47-'Assumptions'!$C$47)))</x:f>
        <x:v>0.0013615959176030007</x:v>
      </x:c>
      <x:c r="H916" s="132" t="n">
        <x:f>IF(C916&lt;(('Assumptions'!$C$48-'Assumptions'!$B$48)/('Assumptions'!$D$48-'Assumptions'!$B$48)),'Assumptions'!$B$48+SQRT(C916*('Assumptions'!$D$48-'Assumptions'!$B$48)*('Assumptions'!$C$48-'Assumptions'!$B$48)),'Assumptions'!$D$48-SQRT((1-C916)*('Assumptions'!$D$48-'Assumptions'!$B$48)*('Assumptions'!$D$48-'Assumptions'!$C$48)))</x:f>
        <x:v>0.0970377141077786</x:v>
      </x:c>
      <x:c r="I916" s="132" t="n">
        <x:f>IF(D916&lt;(('Assumptions'!$C$49-'Assumptions'!$B$49)/('Assumptions'!$D$49-'Assumptions'!$B$49)),'Assumptions'!$B$49+SQRT(D916*('Assumptions'!$D$49-'Assumptions'!$B$49)*('Assumptions'!$C$49-'Assumptions'!$B$49)),'Assumptions'!$D$49-SQRT((1-D916)*('Assumptions'!$D$49-'Assumptions'!$B$49)*('Assumptions'!$D$49-'Assumptions'!$C$49)))</x:f>
        <x:v>0.04357547754804962</x:v>
      </x:c>
      <x:c r="J916" s="132" t="n">
        <x:f>IF(E916&lt;(('Assumptions'!$C$50-'Assumptions'!$B$50)/('Assumptions'!$D$50-'Assumptions'!$B$50)),'Assumptions'!$B$50+SQRT(E916*('Assumptions'!$D$50-'Assumptions'!$B$50)*('Assumptions'!$C$50-'Assumptions'!$B$50)),'Assumptions'!$D$50-SQRT((1-E916)*('Assumptions'!$D$50-'Assumptions'!$B$50)*('Assumptions'!$D$50-'Assumptions'!$C$50)))</x:f>
        <x:v>0.07001417462693063</x:v>
      </x:c>
      <x:c r="K916" s="132" t="n">
        <x:f>IF(F916&lt;(('Assumptions'!$C$51-'Assumptions'!$B$51)/('Assumptions'!$D$51-'Assumptions'!$B$51)),'Assumptions'!$B$51+SQRT(F916*('Assumptions'!$D$51-'Assumptions'!$B$51)*('Assumptions'!$C$51-'Assumptions'!$B$51)),'Assumptions'!$D$51-SQRT((1-F916)*('Assumptions'!$D$51-'Assumptions'!$B$51)*('Assumptions'!$D$51-'Assumptions'!$C$51)))</x:f>
        <x:v>0.06063443294047508</x:v>
      </x:c>
      <x:c r="L916" s="133" t="n">
        <x:f>(('Assumptions'!$B$17*(1+G916)+'Assumptions'!$B$18)*(1-H916-'Assumptions'!$B$20)-SUM('Assumptions'!$B$21:$B$25)*(1+I916))-(('Assumptions'!$B$17*(1+G916)+'Assumptions'!$B$18)*(1-H916-'Assumptions'!$B$20)*'Assumptions'!$B$26)</x:f>
        <x:v>192967.84320784718</x:v>
      </x:c>
      <x:c r="M916" s="133" t="n">
        <x:f>'Assumptions'!$B$10*'Assumptions'!$B$33</x:f>
        <x:v>1950000</x:v>
      </x:c>
      <x:c r="N916" s="133" t="n">
        <x:f>-PMT(K916/12,'Assumptions'!$B$35*12,M916)*12</x:f>
        <x:v>141250.7043916055</x:v>
      </x:c>
      <x:c r="O916" s="133" t="n">
        <x:f>(L916*(1+'Assumptions'!$B$29)^('Assumptions'!$B$14/12)/J916)*(1-'Assumptions'!$B$42)-'Debt Schedule'!$F$9</x:f>
        <x:v>3003398.4097742187</x:v>
      </x:c>
      <x:c r="P916" s="132" t="n">
        <x:f>((O916+(L916-N916-'Assumptions'!$B$27-'Assumptions'!$B$28)*('Assumptions'!$B$14/12))/ABS('Monthly Cash Flow'!$S$5))^(1/('Assumptions'!$B$14/12))-1</x:f>
        <x:v>0.18790080160003164</x:v>
      </x:c>
      <x:c r="Q916" s="133" t="n">
        <x:f>-ABS('Monthly Cash Flow'!$S$5)+((L916-N916-'Assumptions'!$B$27-'Assumptions'!$B$28)*(1-(1+'Assumptions'!$B$43)^-('Assumptions'!$B$14/12))/'Assumptions'!$B$43)+(O916/(1+'Assumptions'!$B$43)^('Assumptions'!$B$14/12))</x:f>
        <x:v>614791.289070701</x:v>
      </x:c>
    </x:row>
    <x:row r="917">
      <x:c r="A917" s="131" t="n">
        <x:f>910</x:f>
        <x:v>910</x:v>
      </x:c>
      <x:c r="B917" s="131" t="n">
        <x:f>MOD(ABS(SIN((A917+1)*12.9898+78.233)*43758.5453),1)</x:f>
        <x:v>0.7902547716948902</x:v>
      </x:c>
      <x:c r="C917" s="131" t="n">
        <x:f>MOD(ABS(SIN((A917+2)*12.9898+78.233)*43758.5453),1)</x:f>
        <x:v>0.4756398620775144</x:v>
      </x:c>
      <x:c r="D917" s="131" t="n">
        <x:f>MOD(ABS(SIN((A917+3)*12.9898+78.233)*43758.5453),1)</x:f>
        <x:v>0.6454517035326717</x:v>
      </x:c>
      <x:c r="E917" s="131" t="n">
        <x:f>MOD(ABS(SIN((A917+4)*12.9898+78.233)*43758.5453),1)</x:f>
        <x:v>0.0357260722121282</x:v>
      </x:c>
      <x:c r="F917" s="131" t="n">
        <x:f>MOD(ABS(SIN((A917+5)*12.9898+78.233)*43758.5453),1)</x:f>
        <x:v>0.6505975499494525</x:v>
      </x:c>
      <x:c r="G917" s="132" t="n">
        <x:f>IF(B917&lt;(('Assumptions'!$C$47-'Assumptions'!$B$47)/('Assumptions'!$D$47-'Assumptions'!$B$47)),'Assumptions'!$B$47+SQRT(B917*('Assumptions'!$D$47-'Assumptions'!$B$47)*('Assumptions'!$C$47-'Assumptions'!$B$47)),'Assumptions'!$D$47-SQRT((1-B917)*('Assumptions'!$D$47-'Assumptions'!$B$47)*('Assumptions'!$D$47-'Assumptions'!$C$47)))</x:f>
        <x:v>0.04206966552071569</x:v>
      </x:c>
      <x:c r="H917" s="132" t="n">
        <x:f>IF(C917&lt;(('Assumptions'!$C$48-'Assumptions'!$B$48)/('Assumptions'!$D$48-'Assumptions'!$B$48)),'Assumptions'!$B$48+SQRT(C917*('Assumptions'!$D$48-'Assumptions'!$B$48)*('Assumptions'!$C$48-'Assumptions'!$B$48)),'Assumptions'!$D$48-SQRT((1-C917)*('Assumptions'!$D$48-'Assumptions'!$B$48)*('Assumptions'!$D$48-'Assumptions'!$C$48)))</x:f>
        <x:v>0.07207085151631978</x:v>
      </x:c>
      <x:c r="I917" s="132" t="n">
        <x:f>IF(D917&lt;(('Assumptions'!$C$49-'Assumptions'!$B$49)/('Assumptions'!$D$49-'Assumptions'!$B$49)),'Assumptions'!$B$49+SQRT(D917*('Assumptions'!$D$49-'Assumptions'!$B$49)*('Assumptions'!$C$49-'Assumptions'!$B$49)),'Assumptions'!$D$49-SQRT((1-D917)*('Assumptions'!$D$49-'Assumptions'!$B$49)*('Assumptions'!$D$49-'Assumptions'!$C$49)))</x:f>
        <x:v>0.062488611005799416</x:v>
      </x:c>
      <x:c r="J917" s="132" t="n">
        <x:f>IF(E917&lt;(('Assumptions'!$C$50-'Assumptions'!$B$50)/('Assumptions'!$D$50-'Assumptions'!$B$50)),'Assumptions'!$B$50+SQRT(E917*('Assumptions'!$D$50-'Assumptions'!$B$50)*('Assumptions'!$C$50-'Assumptions'!$B$50)),'Assumptions'!$D$50-SQRT((1-E917)*('Assumptions'!$D$50-'Assumptions'!$B$50)*('Assumptions'!$D$50-'Assumptions'!$C$50)))</x:f>
        <x:v>0.06033520127111443</x:v>
      </x:c>
      <x:c r="K917" s="132" t="n">
        <x:f>IF(F917&lt;(('Assumptions'!$C$51-'Assumptions'!$B$51)/('Assumptions'!$D$51-'Assumptions'!$B$51)),'Assumptions'!$B$51+SQRT(F917*('Assumptions'!$D$51-'Assumptions'!$B$51)*('Assumptions'!$C$51-'Assumptions'!$B$51)),'Assumptions'!$D$51-SQRT((1-F917)*('Assumptions'!$D$51-'Assumptions'!$B$51)*('Assumptions'!$D$51-'Assumptions'!$C$51)))</x:f>
        <x:v>0.07203273625290109</x:v>
      </x:c>
      <x:c r="L917" s="133" t="n">
        <x:f>(('Assumptions'!$B$17*(1+G917)+'Assumptions'!$B$18)*(1-H917-'Assumptions'!$B$20)-SUM('Assumptions'!$B$21:$B$25)*(1+I917))-(('Assumptions'!$B$17*(1+G917)+'Assumptions'!$B$18)*(1-H917-'Assumptions'!$B$20)*'Assumptions'!$B$26)</x:f>
        <x:v>212570.59002408248</x:v>
      </x:c>
      <x:c r="M917" s="133" t="n">
        <x:f>'Assumptions'!$B$10*'Assumptions'!$B$33</x:f>
        <x:v>1950000</x:v>
      </x:c>
      <x:c r="N917" s="133" t="n">
        <x:f>-PMT(K917/12,'Assumptions'!$B$35*12,M917)*12</x:f>
        <x:v>158888.30090493767</x:v>
      </x:c>
      <x:c r="O917" s="133" t="n">
        <x:f>(L917*(1+'Assumptions'!$B$29)^('Assumptions'!$B$14/12)/J917)*(1-'Assumptions'!$B$42)-'Debt Schedule'!$F$9</x:f>
        <x:v>3839249.967763969</x:v>
      </x:c>
      <x:c r="P917" s="132" t="n">
        <x:f>((O917+(L917-N917-'Assumptions'!$B$27-'Assumptions'!$B$28)*('Assumptions'!$B$14/12))/ABS('Monthly Cash Flow'!$S$5))^(1/('Assumptions'!$B$14/12))-1</x:f>
        <x:v>0.24727717339765865</x:v>
      </x:c>
      <x:c r="Q917" s="133" t="n">
        <x:f>-ABS('Monthly Cash Flow'!$S$5)+((L917-N917-'Assumptions'!$B$27-'Assumptions'!$B$28)*(1-(1+'Assumptions'!$B$43)^-('Assumptions'!$B$14/12))/'Assumptions'!$B$43)+(O917/(1+'Assumptions'!$B$43)^('Assumptions'!$B$14/12))</x:f>
        <x:v>1141238.8101068975</x:v>
      </x:c>
    </x:row>
    <x:row r="918">
      <x:c r="A918" s="131" t="n">
        <x:f>911</x:f>
        <x:v>911</x:v>
      </x:c>
      <x:c r="B918" s="131" t="n">
        <x:f>MOD(ABS(SIN((A918+1)*12.9898+78.233)*43758.5453),1)</x:f>
        <x:v>0.4756398620775144</x:v>
      </x:c>
      <x:c r="C918" s="131" t="n">
        <x:f>MOD(ABS(SIN((A918+2)*12.9898+78.233)*43758.5453),1)</x:f>
        <x:v>0.6454517035326717</x:v>
      </x:c>
      <x:c r="D918" s="131" t="n">
        <x:f>MOD(ABS(SIN((A918+3)*12.9898+78.233)*43758.5453),1)</x:f>
        <x:v>0.0357260722121282</x:v>
      </x:c>
      <x:c r="E918" s="131" t="n">
        <x:f>MOD(ABS(SIN((A918+4)*12.9898+78.233)*43758.5453),1)</x:f>
        <x:v>0.6505975499494525</x:v>
      </x:c>
      <x:c r="F918" s="131" t="n">
        <x:f>MOD(ABS(SIN((A918+5)*12.9898+78.233)*43758.5453),1)</x:f>
        <x:v>0.9411526626354316</x:v>
      </x:c>
      <x:c r="G918" s="132" t="n">
        <x:f>IF(B918&lt;(('Assumptions'!$C$47-'Assumptions'!$B$47)/('Assumptions'!$D$47-'Assumptions'!$B$47)),'Assumptions'!$B$47+SQRT(B918*('Assumptions'!$D$47-'Assumptions'!$B$47)*('Assumptions'!$C$47-'Assumptions'!$B$47)),'Assumptions'!$D$47-SQRT((1-B918)*('Assumptions'!$D$47-'Assumptions'!$B$47)*('Assumptions'!$D$47-'Assumptions'!$C$47)))</x:f>
        <x:v>0.0068426726072515764</x:v>
      </x:c>
      <x:c r="H918" s="132" t="n">
        <x:f>IF(C918&lt;(('Assumptions'!$C$48-'Assumptions'!$B$48)/('Assumptions'!$D$48-'Assumptions'!$B$48)),'Assumptions'!$B$48+SQRT(C918*('Assumptions'!$D$48-'Assumptions'!$B$48)*('Assumptions'!$C$48-'Assumptions'!$B$48)),'Assumptions'!$D$48-SQRT((1-C918)*('Assumptions'!$D$48-'Assumptions'!$B$48)*('Assumptions'!$D$48-'Assumptions'!$C$48)))</x:f>
        <x:v>0.08414281595969514</x:v>
      </x:c>
      <x:c r="I918" s="132" t="n">
        <x:f>IF(D918&lt;(('Assumptions'!$C$49-'Assumptions'!$B$49)/('Assumptions'!$D$49-'Assumptions'!$B$49)),'Assumptions'!$B$49+SQRT(D918*('Assumptions'!$D$49-'Assumptions'!$B$49)*('Assumptions'!$C$49-'Assumptions'!$B$49)),'Assumptions'!$D$49-SQRT((1-D918)*('Assumptions'!$D$49-'Assumptions'!$B$49)*('Assumptions'!$D$49-'Assumptions'!$C$49)))</x:f>
        <x:v>-0.010357149394983816</x:v>
      </x:c>
      <x:c r="J918" s="132" t="n">
        <x:f>IF(E918&lt;(('Assumptions'!$C$50-'Assumptions'!$B$50)/('Assumptions'!$D$50-'Assumptions'!$B$50)),'Assumptions'!$B$50+SQRT(E918*('Assumptions'!$D$50-'Assumptions'!$B$50)*('Assumptions'!$C$50-'Assumptions'!$B$50)),'Assumptions'!$D$50-SQRT((1-E918)*('Assumptions'!$D$50-'Assumptions'!$B$50)*('Assumptions'!$D$50-'Assumptions'!$C$50)))</x:f>
        <x:v>0.07008690567599014</x:v>
      </x:c>
      <x:c r="K918" s="132" t="n">
        <x:f>IF(F918&lt;(('Assumptions'!$C$51-'Assumptions'!$B$51)/('Assumptions'!$D$51-'Assumptions'!$B$51)),'Assumptions'!$B$51+SQRT(F918*('Assumptions'!$D$51-'Assumptions'!$B$51)*('Assumptions'!$C$51-'Assumptions'!$B$51)),'Assumptions'!$D$51-SQRT((1-F918)*('Assumptions'!$D$51-'Assumptions'!$B$51)*('Assumptions'!$D$51-'Assumptions'!$C$51)))</x:f>
        <x:v>0.07967831971021384</x:v>
      </x:c>
      <x:c r="L918" s="133" t="n">
        <x:f>(('Assumptions'!$B$17*(1+G918)+'Assumptions'!$B$18)*(1-H918-'Assumptions'!$B$20)-SUM('Assumptions'!$B$21:$B$25)*(1+I918))-(('Assumptions'!$B$17*(1+G918)+'Assumptions'!$B$18)*(1-H918-'Assumptions'!$B$20)*'Assumptions'!$B$26)</x:f>
        <x:v>206164.6518868609</x:v>
      </x:c>
      <x:c r="M918" s="133" t="n">
        <x:f>'Assumptions'!$B$10*'Assumptions'!$B$33</x:f>
        <x:v>1950000</x:v>
      </x:c>
      <x:c r="N918" s="133" t="n">
        <x:f>-PMT(K918/12,'Assumptions'!$B$35*12,M918)*12</x:f>
        <x:v>171176.45648891618</x:v>
      </x:c>
      <x:c r="O918" s="133" t="n">
        <x:f>(L918*(1+'Assumptions'!$B$29)^('Assumptions'!$B$14/12)/J918)*(1-'Assumptions'!$B$42)-'Debt Schedule'!$F$9</x:f>
        <x:v>3205466.8934872644</x:v>
      </x:c>
      <x:c r="P918" s="132" t="n">
        <x:f>((O918+(L918-N918-'Assumptions'!$B$27-'Assumptions'!$B$28)*('Assumptions'!$B$14/12))/ABS('Monthly Cash Flow'!$S$5))^(1/('Assumptions'!$B$14/12))-1</x:f>
        <x:v>0.1969503965422208</x:v>
      </x:c>
      <x:c r="Q918" s="133" t="n">
        <x:f>-ABS('Monthly Cash Flow'!$S$5)+((L918-N918-'Assumptions'!$B$27-'Assumptions'!$B$28)*(1-(1+'Assumptions'!$B$43)^-('Assumptions'!$B$14/12))/'Assumptions'!$B$43)+(O918/(1+'Assumptions'!$B$43)^('Assumptions'!$B$14/12))</x:f>
        <x:v>676844.0619501001</x:v>
      </x:c>
    </x:row>
    <x:row r="919">
      <x:c r="A919" s="131" t="n">
        <x:f>912</x:f>
        <x:v>912</x:v>
      </x:c>
      <x:c r="B919" s="131" t="n">
        <x:f>MOD(ABS(SIN((A919+1)*12.9898+78.233)*43758.5453),1)</x:f>
        <x:v>0.6454517035326717</x:v>
      </x:c>
      <x:c r="C919" s="131" t="n">
        <x:f>MOD(ABS(SIN((A919+2)*12.9898+78.233)*43758.5453),1)</x:f>
        <x:v>0.0357260722121282</x:v>
      </x:c>
      <x:c r="D919" s="131" t="n">
        <x:f>MOD(ABS(SIN((A919+3)*12.9898+78.233)*43758.5453),1)</x:f>
        <x:v>0.6505975499494525</x:v>
      </x:c>
      <x:c r="E919" s="131" t="n">
        <x:f>MOD(ABS(SIN((A919+4)*12.9898+78.233)*43758.5453),1)</x:f>
        <x:v>0.9411526626354316</x:v>
      </x:c>
      <x:c r="F919" s="131" t="n">
        <x:f>MOD(ABS(SIN((A919+5)*12.9898+78.233)*43758.5453),1)</x:f>
        <x:v>0.8654180132580223</x:v>
      </x:c>
      <x:c r="G919" s="132" t="n">
        <x:f>IF(B919&lt;(('Assumptions'!$C$47-'Assumptions'!$B$47)/('Assumptions'!$D$47-'Assumptions'!$B$47)),'Assumptions'!$B$47+SQRT(B919*('Assumptions'!$D$47-'Assumptions'!$B$47)*('Assumptions'!$C$47-'Assumptions'!$B$47)),'Assumptions'!$D$47-SQRT((1-B919)*('Assumptions'!$D$47-'Assumptions'!$B$47)*('Assumptions'!$D$47-'Assumptions'!$C$47)))</x:f>
        <x:v>0.02468218840488491</x:v>
      </x:c>
      <x:c r="H919" s="132" t="n">
        <x:f>IF(C919&lt;(('Assumptions'!$C$48-'Assumptions'!$B$48)/('Assumptions'!$D$48-'Assumptions'!$B$48)),'Assumptions'!$B$48+SQRT(C919*('Assumptions'!$D$48-'Assumptions'!$B$48)*('Assumptions'!$C$48-'Assumptions'!$B$48)),'Assumptions'!$D$48-SQRT((1-C919)*('Assumptions'!$D$48-'Assumptions'!$B$48)*('Assumptions'!$D$48-'Assumptions'!$C$48)))</x:f>
        <x:v>0.04085799421164071</x:v>
      </x:c>
      <x:c r="I919" s="132" t="n">
        <x:f>IF(D919&lt;(('Assumptions'!$C$49-'Assumptions'!$B$49)/('Assumptions'!$D$49-'Assumptions'!$B$49)),'Assumptions'!$B$49+SQRT(D919*('Assumptions'!$D$49-'Assumptions'!$B$49)*('Assumptions'!$C$49-'Assumptions'!$B$49)),'Assumptions'!$D$49-SQRT((1-D919)*('Assumptions'!$D$49-'Assumptions'!$B$49)*('Assumptions'!$D$49-'Assumptions'!$C$49)))</x:f>
        <x:v>0.06312599398501399</x:v>
      </x:c>
      <x:c r="J919" s="132" t="n">
        <x:f>IF(E919&lt;(('Assumptions'!$C$50-'Assumptions'!$B$50)/('Assumptions'!$D$50-'Assumptions'!$B$50)),'Assumptions'!$B$50+SQRT(E919*('Assumptions'!$D$50-'Assumptions'!$B$50)*('Assumptions'!$C$50-'Assumptions'!$B$50)),'Assumptions'!$D$50-SQRT((1-E919)*('Assumptions'!$D$50-'Assumptions'!$B$50)*('Assumptions'!$D$50-'Assumptions'!$C$50)))</x:f>
        <x:v>0.07593173087987228</x:v>
      </x:c>
      <x:c r="K919" s="132" t="n">
        <x:f>IF(F919&lt;(('Assumptions'!$C$51-'Assumptions'!$B$51)/('Assumptions'!$D$51-'Assumptions'!$B$51)),'Assumptions'!$B$51+SQRT(F919*('Assumptions'!$D$51-'Assumptions'!$B$51)*('Assumptions'!$C$51-'Assumptions'!$B$51)),'Assumptions'!$D$51-SQRT((1-F919)*('Assumptions'!$D$51-'Assumptions'!$B$51)*('Assumptions'!$D$51-'Assumptions'!$C$51)))</x:f>
        <x:v>0.07695216916681416</x:v>
      </x:c>
      <x:c r="L919" s="133" t="n">
        <x:f>(('Assumptions'!$B$17*(1+G919)+'Assumptions'!$B$18)*(1-H919-'Assumptions'!$B$20)-SUM('Assumptions'!$B$21:$B$25)*(1+I919))-(('Assumptions'!$B$17*(1+G919)+'Assumptions'!$B$18)*(1-H919-'Assumptions'!$B$20)*'Assumptions'!$B$26)</x:f>
        <x:v>218567.1130838552</x:v>
      </x:c>
      <x:c r="M919" s="133" t="n">
        <x:f>'Assumptions'!$B$10*'Assumptions'!$B$33</x:f>
        <x:v>1950000</x:v>
      </x:c>
      <x:c r="N919" s="133" t="n">
        <x:f>-PMT(K919/12,'Assumptions'!$B$35*12,M919)*12</x:f>
        <x:v>166755.4828064921</x:v>
      </x:c>
      <x:c r="O919" s="133" t="n">
        <x:f>(L919*(1+'Assumptions'!$B$29)^('Assumptions'!$B$14/12)/J919)*(1-'Assumptions'!$B$42)-'Debt Schedule'!$F$9</x:f>
        <x:v>3136718.123915203</x:v>
      </x:c>
      <x:c r="P919" s="132" t="n">
        <x:f>((O919+(L919-N919-'Assumptions'!$B$27-'Assumptions'!$B$28)*('Assumptions'!$B$14/12))/ABS('Monthly Cash Flow'!$S$5))^(1/('Assumptions'!$B$14/12))-1</x:f>
        <x:v>0.19810495066865141</x:v>
      </x:c>
      <x:c r="Q919" s="133" t="n">
        <x:f>-ABS('Monthly Cash Flow'!$S$5)+((L919-N919-'Assumptions'!$B$27-'Assumptions'!$B$28)*(1-(1+'Assumptions'!$B$43)^-('Assumptions'!$B$14/12))/'Assumptions'!$B$43)+(O919/(1+'Assumptions'!$B$43)^('Assumptions'!$B$14/12))</x:f>
        <x:v>697930.5393456304</x:v>
      </x:c>
    </x:row>
    <x:row r="920">
      <x:c r="A920" s="131" t="n">
        <x:f>913</x:f>
        <x:v>913</x:v>
      </x:c>
      <x:c r="B920" s="131" t="n">
        <x:f>MOD(ABS(SIN((A920+1)*12.9898+78.233)*43758.5453),1)</x:f>
        <x:v>0.0357260722121282</x:v>
      </x:c>
      <x:c r="C920" s="131" t="n">
        <x:f>MOD(ABS(SIN((A920+2)*12.9898+78.233)*43758.5453),1)</x:f>
        <x:v>0.6505975499494525</x:v>
      </x:c>
      <x:c r="D920" s="131" t="n">
        <x:f>MOD(ABS(SIN((A920+3)*12.9898+78.233)*43758.5453),1)</x:f>
        <x:v>0.9411526626354316</x:v>
      </x:c>
      <x:c r="E920" s="131" t="n">
        <x:f>MOD(ABS(SIN((A920+4)*12.9898+78.233)*43758.5453),1)</x:f>
        <x:v>0.8654180132580223</x:v>
      </x:c>
      <x:c r="F920" s="131" t="n">
        <x:f>MOD(ABS(SIN((A920+5)*12.9898+78.233)*43758.5453),1)</x:f>
        <x:v>0.032567131565883756</x:v>
      </x:c>
      <x:c r="G920" s="132" t="n">
        <x:f>IF(B920&lt;(('Assumptions'!$C$47-'Assumptions'!$B$47)/('Assumptions'!$D$47-'Assumptions'!$B$47)),'Assumptions'!$B$47+SQRT(B920*('Assumptions'!$D$47-'Assumptions'!$B$47)*('Assumptions'!$C$47-'Assumptions'!$B$47)),'Assumptions'!$D$47-SQRT((1-B920)*('Assumptions'!$D$47-'Assumptions'!$B$47)*('Assumptions'!$D$47-'Assumptions'!$C$47)))</x:f>
        <x:v>-0.07071816718354063</x:v>
      </x:c>
      <x:c r="H920" s="132" t="n">
        <x:f>IF(C920&lt;(('Assumptions'!$C$48-'Assumptions'!$B$48)/('Assumptions'!$D$48-'Assumptions'!$B$48)),'Assumptions'!$B$48+SQRT(C920*('Assumptions'!$D$48-'Assumptions'!$B$48)*('Assumptions'!$C$48-'Assumptions'!$B$48)),'Assumptions'!$D$48-SQRT((1-C920)*('Assumptions'!$D$48-'Assumptions'!$B$48)*('Assumptions'!$D$48-'Assumptions'!$C$48)))</x:f>
        <x:v>0.08454964778791016</x:v>
      </x:c>
      <x:c r="I920" s="132" t="n">
        <x:f>IF(D920&lt;(('Assumptions'!$C$49-'Assumptions'!$B$49)/('Assumptions'!$D$49-'Assumptions'!$B$49)),'Assumptions'!$B$49+SQRT(D920*('Assumptions'!$D$49-'Assumptions'!$B$49)*('Assumptions'!$C$49-'Assumptions'!$B$49)),'Assumptions'!$D$49-SQRT((1-D920)*('Assumptions'!$D$49-'Assumptions'!$B$49)*('Assumptions'!$D$49-'Assumptions'!$C$49)))</x:f>
        <x:v>0.11434747572646956</x:v>
      </x:c>
      <x:c r="J920" s="132" t="n">
        <x:f>IF(E920&lt;(('Assumptions'!$C$50-'Assumptions'!$B$50)/('Assumptions'!$D$50-'Assumptions'!$B$50)),'Assumptions'!$B$50+SQRT(E920*('Assumptions'!$D$50-'Assumptions'!$B$50)*('Assumptions'!$C$50-'Assumptions'!$B$50)),'Assumptions'!$D$50-SQRT((1-E920)*('Assumptions'!$D$50-'Assumptions'!$B$50)*('Assumptions'!$D$50-'Assumptions'!$C$50)))</x:f>
        <x:v>0.07384766842805257</x:v>
      </x:c>
      <x:c r="K920" s="132" t="n">
        <x:f>IF(F920&lt;(('Assumptions'!$C$51-'Assumptions'!$B$51)/('Assumptions'!$D$51-'Assumptions'!$B$51)),'Assumptions'!$B$51+SQRT(F920*('Assumptions'!$D$51-'Assumptions'!$B$51)*('Assumptions'!$C$51-'Assumptions'!$B$51)),'Assumptions'!$D$51-SQRT((1-F920)*('Assumptions'!$D$51-'Assumptions'!$B$51)*('Assumptions'!$D$51-'Assumptions'!$C$51)))</x:f>
        <x:v>0.060492651195949515</x:v>
      </x:c>
      <x:c r="L920" s="133" t="n">
        <x:f>(('Assumptions'!$B$17*(1+G920)+'Assumptions'!$B$18)*(1-H920-'Assumptions'!$B$20)-SUM('Assumptions'!$B$21:$B$25)*(1+I920))-(('Assumptions'!$B$17*(1+G920)+'Assumptions'!$B$18)*(1-H920-'Assumptions'!$B$20)*'Assumptions'!$B$26)</x:f>
        <x:v>166032.65545803256</x:v>
      </x:c>
      <x:c r="M920" s="133" t="n">
        <x:f>'Assumptions'!$B$10*'Assumptions'!$B$33</x:f>
        <x:v>1950000</x:v>
      </x:c>
      <x:c r="N920" s="133" t="n">
        <x:f>-PMT(K920/12,'Assumptions'!$B$35*12,M920)*12</x:f>
        <x:v>141036.8398008311</x:v>
      </x:c>
      <x:c r="O920" s="133" t="n">
        <x:f>(L920*(1+'Assumptions'!$B$29)^('Assumptions'!$B$14/12)/J920)*(1-'Assumptions'!$B$42)-'Debt Schedule'!$F$9</x:f>
        <x:v>2450026.0554383476</x:v>
      </x:c>
      <x:c r="P920" s="132" t="n">
        <x:f>((O920+(L920-N920-'Assumptions'!$B$27-'Assumptions'!$B$28)*('Assumptions'!$B$14/12))/ABS('Monthly Cash Flow'!$S$5))^(1/('Assumptions'!$B$14/12))-1</x:f>
        <x:v>0.129048243879343</x:v>
      </x:c>
      <x:c r="Q920" s="133" t="n">
        <x:f>-ABS('Monthly Cash Flow'!$S$5)+((L920-N920-'Assumptions'!$B$27-'Assumptions'!$B$28)*(1-(1+'Assumptions'!$B$43)^-('Assumptions'!$B$14/12))/'Assumptions'!$B$43)+(O920/(1+'Assumptions'!$B$43)^('Assumptions'!$B$14/12))</x:f>
        <x:v>169895.7563797352</x:v>
      </x:c>
    </x:row>
    <x:row r="921">
      <x:c r="A921" s="131" t="n">
        <x:f>914</x:f>
        <x:v>914</x:v>
      </x:c>
      <x:c r="B921" s="131" t="n">
        <x:f>MOD(ABS(SIN((A921+1)*12.9898+78.233)*43758.5453),1)</x:f>
        <x:v>0.6505975499494525</x:v>
      </x:c>
      <x:c r="C921" s="131" t="n">
        <x:f>MOD(ABS(SIN((A921+2)*12.9898+78.233)*43758.5453),1)</x:f>
        <x:v>0.9411526626354316</x:v>
      </x:c>
      <x:c r="D921" s="131" t="n">
        <x:f>MOD(ABS(SIN((A921+3)*12.9898+78.233)*43758.5453),1)</x:f>
        <x:v>0.8654180132580223</x:v>
      </x:c>
      <x:c r="E921" s="131" t="n">
        <x:f>MOD(ABS(SIN((A921+4)*12.9898+78.233)*43758.5453),1)</x:f>
        <x:v>0.032567131565883756</x:v>
      </x:c>
      <x:c r="F921" s="131" t="n">
        <x:f>MOD(ABS(SIN((A921+5)*12.9898+78.233)*43758.5453),1)</x:f>
        <x:v>0.17895972936457838</x:v>
      </x:c>
      <x:c r="G921" s="132" t="n">
        <x:f>IF(B921&lt;(('Assumptions'!$C$47-'Assumptions'!$B$47)/('Assumptions'!$D$47-'Assumptions'!$B$47)),'Assumptions'!$B$47+SQRT(B921*('Assumptions'!$D$47-'Assumptions'!$B$47)*('Assumptions'!$C$47-'Assumptions'!$B$47)),'Assumptions'!$D$47-SQRT((1-B921)*('Assumptions'!$D$47-'Assumptions'!$B$47)*('Assumptions'!$D$47-'Assumptions'!$C$47)))</x:f>
        <x:v>0.025230760330141377</x:v>
      </x:c>
      <x:c r="H921" s="132" t="n">
        <x:f>IF(C921&lt;(('Assumptions'!$C$48-'Assumptions'!$B$48)/('Assumptions'!$D$48-'Assumptions'!$B$48)),'Assumptions'!$B$48+SQRT(C921*('Assumptions'!$D$48-'Assumptions'!$B$48)*('Assumptions'!$C$48-'Assumptions'!$B$48)),'Assumptions'!$D$48-SQRT((1-C921)*('Assumptions'!$D$48-'Assumptions'!$B$48)*('Assumptions'!$D$48-'Assumptions'!$C$48)))</x:f>
        <x:v>0.11724353786705409</x:v>
      </x:c>
      <x:c r="I921" s="132" t="n">
        <x:f>IF(D921&lt;(('Assumptions'!$C$49-'Assumptions'!$B$49)/('Assumptions'!$D$49-'Assumptions'!$B$49)),'Assumptions'!$B$49+SQRT(D921*('Assumptions'!$D$49-'Assumptions'!$B$49)*('Assumptions'!$C$49-'Assumptions'!$B$49)),'Assumptions'!$D$49-SQRT((1-D921)*('Assumptions'!$D$49-'Assumptions'!$B$49)*('Assumptions'!$D$49-'Assumptions'!$C$49)))</x:f>
        <x:v>0.09608366746869071</x:v>
      </x:c>
      <x:c r="J921" s="132" t="n">
        <x:f>IF(E921&lt;(('Assumptions'!$C$50-'Assumptions'!$B$50)/('Assumptions'!$D$50-'Assumptions'!$B$50)),'Assumptions'!$B$50+SQRT(E921*('Assumptions'!$D$50-'Assumptions'!$B$50)*('Assumptions'!$C$50-'Assumptions'!$B$50)),'Assumptions'!$D$50-SQRT((1-E921)*('Assumptions'!$D$50-'Assumptions'!$B$50)*('Assumptions'!$D$50-'Assumptions'!$C$50)))</x:f>
        <x:v>0.06020695485782897</x:v>
      </x:c>
      <x:c r="K921" s="132" t="n">
        <x:f>IF(F921&lt;(('Assumptions'!$C$51-'Assumptions'!$B$51)/('Assumptions'!$D$51-'Assumptions'!$B$51)),'Assumptions'!$B$51+SQRT(F921*('Assumptions'!$D$51-'Assumptions'!$B$51)*('Assumptions'!$C$51-'Assumptions'!$B$51)),'Assumptions'!$D$51-SQRT((1-F921)*('Assumptions'!$D$51-'Assumptions'!$B$51)*('Assumptions'!$D$51-'Assumptions'!$C$51)))</x:f>
        <x:v>0.06451526375664231</x:v>
      </x:c>
      <x:c r="L921" s="133" t="n">
        <x:f>(('Assumptions'!$B$17*(1+G921)+'Assumptions'!$B$18)*(1-H921-'Assumptions'!$B$20)-SUM('Assumptions'!$B$21:$B$25)*(1+I921))-(('Assumptions'!$B$17*(1+G921)+'Assumptions'!$B$18)*(1-H921-'Assumptions'!$B$20)*'Assumptions'!$B$26)</x:f>
        <x:v>186209.54171053917</x:v>
      </x:c>
      <x:c r="M921" s="133" t="n">
        <x:f>'Assumptions'!$B$10*'Assumptions'!$B$33</x:f>
        <x:v>1950000</x:v>
      </x:c>
      <x:c r="N921" s="133" t="n">
        <x:f>-PMT(K921/12,'Assumptions'!$B$35*12,M921)*12</x:f>
        <x:v>147158.7454963774</x:v>
      </x:c>
      <x:c r="O921" s="133" t="n">
        <x:f>(L921*(1+'Assumptions'!$B$29)^('Assumptions'!$B$14/12)/J921)*(1-'Assumptions'!$B$42)-'Debt Schedule'!$F$9</x:f>
        <x:v>3370305.3231297545</x:v>
      </x:c>
      <x:c r="P921" s="132" t="n">
        <x:f>((O921+(L921-N921-'Assumptions'!$B$27-'Assumptions'!$B$28)*('Assumptions'!$B$14/12))/ABS('Monthly Cash Flow'!$S$5))^(1/('Assumptions'!$B$14/12))-1</x:f>
        <x:v>0.21057315377593966</x:v>
      </x:c>
      <x:c r="Q921" s="133" t="n">
        <x:f>-ABS('Monthly Cash Flow'!$S$5)+((L921-N921-'Assumptions'!$B$27-'Assumptions'!$B$28)*(1-(1+'Assumptions'!$B$43)^-('Assumptions'!$B$14/12))/'Assumptions'!$B$43)+(O921/(1+'Assumptions'!$B$43)^('Assumptions'!$B$14/12))</x:f>
        <x:v>794596.2111982119</x:v>
      </x:c>
    </x:row>
    <x:row r="922">
      <x:c r="A922" s="131" t="n">
        <x:f>915</x:f>
        <x:v>915</x:v>
      </x:c>
      <x:c r="B922" s="131" t="n">
        <x:f>MOD(ABS(SIN((A922+1)*12.9898+78.233)*43758.5453),1)</x:f>
        <x:v>0.9411526626354316</x:v>
      </x:c>
      <x:c r="C922" s="131" t="n">
        <x:f>MOD(ABS(SIN((A922+2)*12.9898+78.233)*43758.5453),1)</x:f>
        <x:v>0.8654180132580223</x:v>
      </x:c>
      <x:c r="D922" s="131" t="n">
        <x:f>MOD(ABS(SIN((A922+3)*12.9898+78.233)*43758.5453),1)</x:f>
        <x:v>0.032567131565883756</x:v>
      </x:c>
      <x:c r="E922" s="131" t="n">
        <x:f>MOD(ABS(SIN((A922+4)*12.9898+78.233)*43758.5453),1)</x:f>
        <x:v>0.17895972936457838</x:v>
      </x:c>
      <x:c r="F922" s="131" t="n">
        <x:f>MOD(ABS(SIN((A922+5)*12.9898+78.233)*43758.5453),1)</x:f>
        <x:v>0.522328063405439</x:v>
      </x:c>
      <x:c r="G922" s="132" t="n">
        <x:f>IF(B922&lt;(('Assumptions'!$C$47-'Assumptions'!$B$47)/('Assumptions'!$D$47-'Assumptions'!$B$47)),'Assumptions'!$B$47+SQRT(B922*('Assumptions'!$D$47-'Assumptions'!$B$47)*('Assumptions'!$C$47-'Assumptions'!$B$47)),'Assumptions'!$D$47-SQRT((1-B922)*('Assumptions'!$D$47-'Assumptions'!$B$47)*('Assumptions'!$D$47-'Assumptions'!$C$47)))</x:f>
        <x:v>0.06931519271963577</x:v>
      </x:c>
      <x:c r="H922" s="132" t="n">
        <x:f>IF(C922&lt;(('Assumptions'!$C$48-'Assumptions'!$B$48)/('Assumptions'!$D$48-'Assumptions'!$B$48)),'Assumptions'!$B$48+SQRT(C922*('Assumptions'!$D$48-'Assumptions'!$B$48)*('Assumptions'!$C$48-'Assumptions'!$B$48)),'Assumptions'!$D$48-SQRT((1-C922)*('Assumptions'!$D$48-'Assumptions'!$B$48)*('Assumptions'!$D$48-'Assumptions'!$C$48)))</x:f>
        <x:v>0.10558602778914641</x:v>
      </x:c>
      <x:c r="I922" s="132" t="n">
        <x:f>IF(D922&lt;(('Assumptions'!$C$49-'Assumptions'!$B$49)/('Assumptions'!$D$49-'Assumptions'!$B$49)),'Assumptions'!$B$49+SQRT(D922*('Assumptions'!$D$49-'Assumptions'!$B$49)*('Assumptions'!$C$49-'Assumptions'!$B$49)),'Assumptions'!$D$49-SQRT((1-D922)*('Assumptions'!$D$49-'Assumptions'!$B$49)*('Assumptions'!$D$49-'Assumptions'!$C$49)))</x:f>
        <x:v>-0.011245666609779367</x:v>
      </x:c>
      <x:c r="J922" s="132" t="n">
        <x:f>IF(E922&lt;(('Assumptions'!$C$50-'Assumptions'!$B$50)/('Assumptions'!$D$50-'Assumptions'!$B$50)),'Assumptions'!$B$50+SQRT(E922*('Assumptions'!$D$50-'Assumptions'!$B$50)*('Assumptions'!$C$50-'Assumptions'!$B$50)),'Assumptions'!$D$50-SQRT((1-E922)*('Assumptions'!$D$50-'Assumptions'!$B$50)*('Assumptions'!$D$50-'Assumptions'!$C$50)))</x:f>
        <x:v>0.06384554482349862</x:v>
      </x:c>
      <x:c r="K922" s="132" t="n">
        <x:f>IF(F922&lt;(('Assumptions'!$C$51-'Assumptions'!$B$51)/('Assumptions'!$D$51-'Assumptions'!$B$51)),'Assumptions'!$B$51+SQRT(F922*('Assumptions'!$D$51-'Assumptions'!$B$51)*('Assumptions'!$C$51-'Assumptions'!$B$51)),'Assumptions'!$D$51-SQRT((1-F922)*('Assumptions'!$D$51-'Assumptions'!$B$51)*('Assumptions'!$D$51-'Assumptions'!$C$51)))</x:f>
        <x:v>0.06983821845935867</x:v>
      </x:c>
      <x:c r="L922" s="133" t="n">
        <x:f>(('Assumptions'!$B$17*(1+G922)+'Assumptions'!$B$18)*(1-H922-'Assumptions'!$B$20)-SUM('Assumptions'!$B$21:$B$25)*(1+I922))-(('Assumptions'!$B$17*(1+G922)+'Assumptions'!$B$18)*(1-H922-'Assumptions'!$B$20)*'Assumptions'!$B$26)</x:f>
        <x:v>217539.5253237316</x:v>
      </x:c>
      <x:c r="M922" s="133" t="n">
        <x:f>'Assumptions'!$B$10*'Assumptions'!$B$33</x:f>
        <x:v>1950000</x:v>
      </x:c>
      <x:c r="N922" s="133" t="n">
        <x:f>-PMT(K922/12,'Assumptions'!$B$35*12,M922)*12</x:f>
        <x:v>155426.62138581046</x:v>
      </x:c>
      <x:c r="O922" s="133" t="n">
        <x:f>(L922*(1+'Assumptions'!$B$29)^('Assumptions'!$B$14/12)/J922)*(1-'Assumptions'!$B$42)-'Debt Schedule'!$F$9</x:f>
        <x:v>3712970.992542628</x:v>
      </x:c>
      <x:c r="P922" s="132" t="n">
        <x:f>((O922+(L922-N922-'Assumptions'!$B$27-'Assumptions'!$B$28)*('Assumptions'!$B$14/12))/ABS('Monthly Cash Flow'!$S$5))^(1/('Assumptions'!$B$14/12))-1</x:f>
        <x:v>0.24185993105992676</x:v>
      </x:c>
      <x:c r="Q922" s="133" t="n">
        <x:f>-ABS('Monthly Cash Flow'!$S$5)+((L922-N922-'Assumptions'!$B$27-'Assumptions'!$B$28)*(1-(1+'Assumptions'!$B$43)^-('Assumptions'!$B$14/12))/'Assumptions'!$B$43)+(O922/(1+'Assumptions'!$B$43)^('Assumptions'!$B$14/12))</x:f>
        <x:v>1094788.1648509037</x:v>
      </x:c>
    </x:row>
    <x:row r="923">
      <x:c r="A923" s="131" t="n">
        <x:f>916</x:f>
        <x:v>916</x:v>
      </x:c>
      <x:c r="B923" s="131" t="n">
        <x:f>MOD(ABS(SIN((A923+1)*12.9898+78.233)*43758.5453),1)</x:f>
        <x:v>0.8654180132580223</x:v>
      </x:c>
      <x:c r="C923" s="131" t="n">
        <x:f>MOD(ABS(SIN((A923+2)*12.9898+78.233)*43758.5453),1)</x:f>
        <x:v>0.032567131565883756</x:v>
      </x:c>
      <x:c r="D923" s="131" t="n">
        <x:f>MOD(ABS(SIN((A923+3)*12.9898+78.233)*43758.5453),1)</x:f>
        <x:v>0.17895972936457838</x:v>
      </x:c>
      <x:c r="E923" s="131" t="n">
        <x:f>MOD(ABS(SIN((A923+4)*12.9898+78.233)*43758.5453),1)</x:f>
        <x:v>0.522328063405439</x:v>
      </x:c>
      <x:c r="F923" s="131" t="n">
        <x:f>MOD(ABS(SIN((A923+5)*12.9898+78.233)*43758.5453),1)</x:f>
        <x:v>0.579416852756367</x:v>
      </x:c>
      <x:c r="G923" s="132" t="n">
        <x:f>IF(B923&lt;(('Assumptions'!$C$47-'Assumptions'!$B$47)/('Assumptions'!$D$47-'Assumptions'!$B$47)),'Assumptions'!$B$47+SQRT(B923*('Assumptions'!$D$47-'Assumptions'!$B$47)*('Assumptions'!$C$47-'Assumptions'!$B$47)),'Assumptions'!$D$47-SQRT((1-B923)*('Assumptions'!$D$47-'Assumptions'!$B$47)*('Assumptions'!$D$47-'Assumptions'!$C$47)))</x:f>
        <x:v>0.05359620933725733</x:v>
      </x:c>
      <x:c r="H923" s="132" t="n">
        <x:f>IF(C923&lt;(('Assumptions'!$C$48-'Assumptions'!$B$48)/('Assumptions'!$D$48-'Assumptions'!$B$48)),'Assumptions'!$B$48+SQRT(C923*('Assumptions'!$D$48-'Assumptions'!$B$48)*('Assumptions'!$C$48-'Assumptions'!$B$48)),'Assumptions'!$D$48-SQRT((1-C923)*('Assumptions'!$D$48-'Assumptions'!$B$48)*('Assumptions'!$D$48-'Assumptions'!$C$48)))</x:f>
        <x:v>0.04036684784143263</x:v>
      </x:c>
      <x:c r="I923" s="132" t="n">
        <x:f>IF(D923&lt;(('Assumptions'!$C$49-'Assumptions'!$B$49)/('Assumptions'!$D$49-'Assumptions'!$B$49)),'Assumptions'!$B$49+SQRT(D923*('Assumptions'!$D$49-'Assumptions'!$B$49)*('Assumptions'!$C$49-'Assumptions'!$B$49)),'Assumptions'!$D$49-SQRT((1-D923)*('Assumptions'!$D$49-'Assumptions'!$B$49)*('Assumptions'!$D$49-'Assumptions'!$C$49)))</x:f>
        <x:v>0.013963224144021173</x:v>
      </x:c>
      <x:c r="J923" s="132" t="n">
        <x:f>IF(E923&lt;(('Assumptions'!$C$50-'Assumptions'!$B$50)/('Assumptions'!$D$50-'Assumptions'!$B$50)),'Assumptions'!$B$50+SQRT(E923*('Assumptions'!$D$50-'Assumptions'!$B$50)*('Assumptions'!$C$50-'Assumptions'!$B$50)),'Assumptions'!$D$50-SQRT((1-E923)*('Assumptions'!$D$50-'Assumptions'!$B$50)*('Assumptions'!$D$50-'Assumptions'!$C$50)))</x:f>
        <x:v>0.06840926093093196</x:v>
      </x:c>
      <x:c r="K923" s="132" t="n">
        <x:f>IF(F923&lt;(('Assumptions'!$C$51-'Assumptions'!$B$51)/('Assumptions'!$D$51-'Assumptions'!$B$51)),'Assumptions'!$B$51+SQRT(F923*('Assumptions'!$D$51-'Assumptions'!$B$51)*('Assumptions'!$C$51-'Assumptions'!$B$51)),'Assumptions'!$D$51-SQRT((1-F923)*('Assumptions'!$D$51-'Assumptions'!$B$51)*('Assumptions'!$D$51-'Assumptions'!$C$51)))</x:f>
        <x:v>0.0707730664016803</x:v>
      </x:c>
      <x:c r="L923" s="133" t="n">
        <x:f>(('Assumptions'!$B$17*(1+G923)+'Assumptions'!$B$18)*(1-H923-'Assumptions'!$B$20)-SUM('Assumptions'!$B$21:$B$25)*(1+I923))-(('Assumptions'!$B$17*(1+G923)+'Assumptions'!$B$18)*(1-H923-'Assumptions'!$B$20)*'Assumptions'!$B$26)</x:f>
        <x:v>234433.42439524233</x:v>
      </x:c>
      <x:c r="M923" s="133" t="n">
        <x:f>'Assumptions'!$B$10*'Assumptions'!$B$33</x:f>
        <x:v>1950000</x:v>
      </x:c>
      <x:c r="N923" s="133" t="n">
        <x:f>-PMT(K923/12,'Assumptions'!$B$35*12,M923)*12</x:f>
        <x:v>156897.57496926893</x:v>
      </x:c>
      <x:c r="O923" s="133" t="n">
        <x:f>(L923*(1+'Assumptions'!$B$29)^('Assumptions'!$B$14/12)/J923)*(1-'Assumptions'!$B$42)-'Debt Schedule'!$F$9</x:f>
        <x:v>3734380.8734559137</x:v>
      </x:c>
      <x:c r="P923" s="132" t="n">
        <x:f>((O923+(L923-N923-'Assumptions'!$B$27-'Assumptions'!$B$28)*('Assumptions'!$B$14/12))/ABS('Monthly Cash Flow'!$S$5))^(1/('Assumptions'!$B$14/12))-1</x:f>
        <x:v>0.24819499945154488</x:v>
      </x:c>
      <x:c r="Q923" s="133" t="n">
        <x:f>-ABS('Monthly Cash Flow'!$S$5)+((L923-N923-'Assumptions'!$B$27-'Assumptions'!$B$28)*(1-(1+'Assumptions'!$B$43)^-('Assumptions'!$B$14/12))/'Assumptions'!$B$43)+(O923/(1+'Assumptions'!$B$43)^('Assumptions'!$B$14/12))</x:f>
        <x:v>1166547.1141355364</x:v>
      </x:c>
    </x:row>
    <x:row r="924">
      <x:c r="A924" s="131" t="n">
        <x:f>917</x:f>
        <x:v>917</x:v>
      </x:c>
      <x:c r="B924" s="131" t="n">
        <x:f>MOD(ABS(SIN((A924+1)*12.9898+78.233)*43758.5453),1)</x:f>
        <x:v>0.032567131565883756</x:v>
      </x:c>
      <x:c r="C924" s="131" t="n">
        <x:f>MOD(ABS(SIN((A924+2)*12.9898+78.233)*43758.5453),1)</x:f>
        <x:v>0.17895972936457838</x:v>
      </x:c>
      <x:c r="D924" s="131" t="n">
        <x:f>MOD(ABS(SIN((A924+3)*12.9898+78.233)*43758.5453),1)</x:f>
        <x:v>0.522328063405439</x:v>
      </x:c>
      <x:c r="E924" s="131" t="n">
        <x:f>MOD(ABS(SIN((A924+4)*12.9898+78.233)*43758.5453),1)</x:f>
        <x:v>0.579416852756367</x:v>
      </x:c>
      <x:c r="F924" s="131" t="n">
        <x:f>MOD(ABS(SIN((A924+5)*12.9898+78.233)*43758.5453),1)</x:f>
        <x:v>0.2569523436141026</x:v>
      </x:c>
      <x:c r="G924" s="132" t="n">
        <x:f>IF(B924&lt;(('Assumptions'!$C$47-'Assumptions'!$B$47)/('Assumptions'!$D$47-'Assumptions'!$B$47)),'Assumptions'!$B$47+SQRT(B924*('Assumptions'!$D$47-'Assumptions'!$B$47)*('Assumptions'!$C$47-'Assumptions'!$B$47)),'Assumptions'!$D$47-SQRT((1-B924)*('Assumptions'!$D$47-'Assumptions'!$B$47)*('Assumptions'!$D$47-'Assumptions'!$C$47)))</x:f>
        <x:v>-0.07204269044451506</x:v>
      </x:c>
      <x:c r="H924" s="132" t="n">
        <x:f>IF(C924&lt;(('Assumptions'!$C$48-'Assumptions'!$B$48)/('Assumptions'!$D$48-'Assumptions'!$B$48)),'Assumptions'!$B$48+SQRT(C924*('Assumptions'!$D$48-'Assumptions'!$B$48)*('Assumptions'!$C$48-'Assumptions'!$B$48)),'Assumptions'!$D$48-SQRT((1-C924)*('Assumptions'!$D$48-'Assumptions'!$B$48)*('Assumptions'!$D$48-'Assumptions'!$C$48)))</x:f>
        <x:v>0.05430158651000195</x:v>
      </x:c>
      <x:c r="I924" s="132" t="n">
        <x:f>IF(D924&lt;(('Assumptions'!$C$49-'Assumptions'!$B$49)/('Assumptions'!$D$49-'Assumptions'!$B$49)),'Assumptions'!$B$49+SQRT(D924*('Assumptions'!$D$49-'Assumptions'!$B$49)*('Assumptions'!$C$49-'Assumptions'!$B$49)),'Assumptions'!$D$49-SQRT((1-D924)*('Assumptions'!$D$49-'Assumptions'!$B$49)*('Assumptions'!$D$49-'Assumptions'!$C$49)))</x:f>
        <x:v>0.04842385205944007</x:v>
      </x:c>
      <x:c r="J924" s="132" t="n">
        <x:f>IF(E924&lt;(('Assumptions'!$C$50-'Assumptions'!$B$50)/('Assumptions'!$D$50-'Assumptions'!$B$50)),'Assumptions'!$B$50+SQRT(E924*('Assumptions'!$D$50-'Assumptions'!$B$50)*('Assumptions'!$C$50-'Assumptions'!$B$50)),'Assumptions'!$D$50-SQRT((1-E924)*('Assumptions'!$D$50-'Assumptions'!$B$50)*('Assumptions'!$D$50-'Assumptions'!$C$50)))</x:f>
        <x:v>0.06912392487327015</x:v>
      </x:c>
      <x:c r="K924" s="132" t="n">
        <x:f>IF(F924&lt;(('Assumptions'!$C$51-'Assumptions'!$B$51)/('Assumptions'!$D$51-'Assumptions'!$B$51)),'Assumptions'!$B$51+SQRT(F924*('Assumptions'!$D$51-'Assumptions'!$B$51)*('Assumptions'!$C$51-'Assumptions'!$B$51)),'Assumptions'!$D$51-SQRT((1-F924)*('Assumptions'!$D$51-'Assumptions'!$B$51)*('Assumptions'!$D$51-'Assumptions'!$C$51)))</x:f>
        <x:v>0.06590606296038035</x:v>
      </x:c>
      <x:c r="L924" s="133" t="n">
        <x:f>(('Assumptions'!$B$17*(1+G924)+'Assumptions'!$B$18)*(1-H924-'Assumptions'!$B$20)-SUM('Assumptions'!$B$21:$B$25)*(1+I924))-(('Assumptions'!$B$17*(1+G924)+'Assumptions'!$B$18)*(1-H924-'Assumptions'!$B$20)*'Assumptions'!$B$26)</x:f>
        <x:v>184147.85904146268</x:v>
      </x:c>
      <x:c r="M924" s="133" t="n">
        <x:f>'Assumptions'!$B$10*'Assumptions'!$B$33</x:f>
        <x:v>1950000</x:v>
      </x:c>
      <x:c r="N924" s="133" t="n">
        <x:f>-PMT(K924/12,'Assumptions'!$B$35*12,M924)*12</x:f>
        <x:v>149301.00578808787</x:v>
      </x:c>
      <x:c r="O924" s="133" t="n">
        <x:f>(L924*(1+'Assumptions'!$B$29)^('Assumptions'!$B$14/12)/J924)*(1-'Assumptions'!$B$42)-'Debt Schedule'!$F$9</x:f>
        <x:v>2903034.931292495</x:v>
      </x:c>
      <x:c r="P924" s="132" t="n">
        <x:f>((O924+(L924-N924-'Assumptions'!$B$27-'Assumptions'!$B$28)*('Assumptions'!$B$14/12))/ABS('Monthly Cash Flow'!$S$5))^(1/('Assumptions'!$B$14/12))-1</x:f>
        <x:v>0.17320981696082427</x:v>
      </x:c>
      <x:c r="Q924" s="133" t="n">
        <x:f>-ABS('Monthly Cash Flow'!$S$5)+((L924-N924-'Assumptions'!$B$27-'Assumptions'!$B$28)*(1-(1+'Assumptions'!$B$43)^-('Assumptions'!$B$14/12))/'Assumptions'!$B$43)+(O924/(1+'Assumptions'!$B$43)^('Assumptions'!$B$14/12))</x:f>
        <x:v>488521.80991715216</x:v>
      </x:c>
    </x:row>
    <x:row r="925">
      <x:c r="A925" s="131" t="n">
        <x:f>918</x:f>
        <x:v>918</x:v>
      </x:c>
      <x:c r="B925" s="131" t="n">
        <x:f>MOD(ABS(SIN((A925+1)*12.9898+78.233)*43758.5453),1)</x:f>
        <x:v>0.17895972936457838</x:v>
      </x:c>
      <x:c r="C925" s="131" t="n">
        <x:f>MOD(ABS(SIN((A925+2)*12.9898+78.233)*43758.5453),1)</x:f>
        <x:v>0.522328063405439</x:v>
      </x:c>
      <x:c r="D925" s="131" t="n">
        <x:f>MOD(ABS(SIN((A925+3)*12.9898+78.233)*43758.5453),1)</x:f>
        <x:v>0.579416852756367</x:v>
      </x:c>
      <x:c r="E925" s="131" t="n">
        <x:f>MOD(ABS(SIN((A925+4)*12.9898+78.233)*43758.5453),1)</x:f>
        <x:v>0.2569523436141026</x:v>
      </x:c>
      <x:c r="F925" s="131" t="n">
        <x:f>MOD(ABS(SIN((A925+5)*12.9898+78.233)*43758.5453),1)</x:f>
        <x:v>0.1499214459399809</x:v>
      </x:c>
      <x:c r="G925" s="132" t="n">
        <x:f>IF(B925&lt;(('Assumptions'!$C$47-'Assumptions'!$B$47)/('Assumptions'!$D$47-'Assumptions'!$B$47)),'Assumptions'!$B$47+SQRT(B925*('Assumptions'!$D$47-'Assumptions'!$B$47)*('Assumptions'!$C$47-'Assumptions'!$B$47)),'Assumptions'!$D$47-SQRT((1-B925)*('Assumptions'!$D$47-'Assumptions'!$B$47)*('Assumptions'!$D$47-'Assumptions'!$C$47)))</x:f>
        <x:v>-0.03446349486927243</x:v>
      </x:c>
      <x:c r="H925" s="132" t="n">
        <x:f>IF(C925&lt;(('Assumptions'!$C$48-'Assumptions'!$B$48)/('Assumptions'!$D$48-'Assumptions'!$B$48)),'Assumptions'!$B$48+SQRT(C925*('Assumptions'!$D$48-'Assumptions'!$B$48)*('Assumptions'!$C$48-'Assumptions'!$B$48)),'Assumptions'!$D$48-SQRT((1-C925)*('Assumptions'!$D$48-'Assumptions'!$B$48)*('Assumptions'!$D$48-'Assumptions'!$C$48)))</x:f>
        <x:v>0.07516549497349319</x:v>
      </x:c>
      <x:c r="I925" s="132" t="n">
        <x:f>IF(D925&lt;(('Assumptions'!$C$49-'Assumptions'!$B$49)/('Assumptions'!$D$49-'Assumptions'!$B$49)),'Assumptions'!$B$49+SQRT(D925*('Assumptions'!$D$49-'Assumptions'!$B$49)*('Assumptions'!$C$49-'Assumptions'!$B$49)),'Assumptions'!$D$49-SQRT((1-D925)*('Assumptions'!$D$49-'Assumptions'!$B$49)*('Assumptions'!$D$49-'Assumptions'!$C$49)))</x:f>
        <x:v>0.05468685305550723</x:v>
      </x:c>
      <x:c r="J925" s="132" t="n">
        <x:f>IF(E925&lt;(('Assumptions'!$C$50-'Assumptions'!$B$50)/('Assumptions'!$D$50-'Assumptions'!$B$50)),'Assumptions'!$B$50+SQRT(E925*('Assumptions'!$D$50-'Assumptions'!$B$50)*('Assumptions'!$C$50-'Assumptions'!$B$50)),'Assumptions'!$D$50-SQRT((1-E925)*('Assumptions'!$D$50-'Assumptions'!$B$50)*('Assumptions'!$D$50-'Assumptions'!$C$50)))</x:f>
        <x:v>0.06510357003736883</x:v>
      </x:c>
      <x:c r="K925" s="132" t="n">
        <x:f>IF(F925&lt;(('Assumptions'!$C$51-'Assumptions'!$B$51)/('Assumptions'!$D$51-'Assumptions'!$B$51)),'Assumptions'!$B$51+SQRT(F925*('Assumptions'!$D$51-'Assumptions'!$B$51)*('Assumptions'!$C$51-'Assumptions'!$B$51)),'Assumptions'!$D$51-SQRT((1-F925)*('Assumptions'!$D$51-'Assumptions'!$B$51)*('Assumptions'!$D$51-'Assumptions'!$C$51)))</x:f>
        <x:v>0.0639209343271439</x:v>
      </x:c>
      <x:c r="L925" s="133" t="n">
        <x:f>(('Assumptions'!$B$17*(1+G925)+'Assumptions'!$B$18)*(1-H925-'Assumptions'!$B$20)-SUM('Assumptions'!$B$21:$B$25)*(1+I925))-(('Assumptions'!$B$17*(1+G925)+'Assumptions'!$B$18)*(1-H925-'Assumptions'!$B$20)*'Assumptions'!$B$26)</x:f>
        <x:v>188188.38863923875</x:v>
      </x:c>
      <x:c r="M925" s="133" t="n">
        <x:f>'Assumptions'!$B$10*'Assumptions'!$B$33</x:f>
        <x:v>1950000</x:v>
      </x:c>
      <x:c r="N925" s="133" t="n">
        <x:f>-PMT(K925/12,'Assumptions'!$B$35*12,M925)*12</x:f>
        <x:v>146247.2631442317</x:v>
      </x:c>
      <x:c r="O925" s="133" t="n">
        <x:f>(L925*(1+'Assumptions'!$B$29)^('Assumptions'!$B$14/12)/J925)*(1-'Assumptions'!$B$42)-'Debt Schedule'!$F$9</x:f>
        <x:v>3149937.9329586215</x:v>
      </x:c>
      <x:c r="P925" s="132" t="n">
        <x:f>((O925+(L925-N925-'Assumptions'!$B$27-'Assumptions'!$B$28)*('Assumptions'!$B$14/12))/ABS('Monthly Cash Flow'!$S$5))^(1/('Assumptions'!$B$14/12))-1</x:f>
        <x:v>0.19538336412988988</x:v>
      </x:c>
      <x:c r="Q925" s="133" t="n">
        <x:f>-ABS('Monthly Cash Flow'!$S$5)+((L925-N925-'Assumptions'!$B$27-'Assumptions'!$B$28)*(1-(1+'Assumptions'!$B$43)^-('Assumptions'!$B$14/12))/'Assumptions'!$B$43)+(O925/(1+'Assumptions'!$B$43)^('Assumptions'!$B$14/12))</x:f>
        <x:v>668722.0217311212</x:v>
      </x:c>
    </x:row>
    <x:row r="926">
      <x:c r="A926" s="131" t="n">
        <x:f>919</x:f>
        <x:v>919</x:v>
      </x:c>
      <x:c r="B926" s="131" t="n">
        <x:f>MOD(ABS(SIN((A926+1)*12.9898+78.233)*43758.5453),1)</x:f>
        <x:v>0.522328063405439</x:v>
      </x:c>
      <x:c r="C926" s="131" t="n">
        <x:f>MOD(ABS(SIN((A926+2)*12.9898+78.233)*43758.5453),1)</x:f>
        <x:v>0.579416852756367</x:v>
      </x:c>
      <x:c r="D926" s="131" t="n">
        <x:f>MOD(ABS(SIN((A926+3)*12.9898+78.233)*43758.5453),1)</x:f>
        <x:v>0.2569523436141026</x:v>
      </x:c>
      <x:c r="E926" s="131" t="n">
        <x:f>MOD(ABS(SIN((A926+4)*12.9898+78.233)*43758.5453),1)</x:f>
        <x:v>0.1499214459399809</x:v>
      </x:c>
      <x:c r="F926" s="131" t="n">
        <x:f>MOD(ABS(SIN((A926+5)*12.9898+78.233)*43758.5453),1)</x:f>
        <x:v>0.9598249637929257</x:v>
      </x:c>
      <x:c r="G926" s="132" t="n">
        <x:f>IF(B926&lt;(('Assumptions'!$C$47-'Assumptions'!$B$47)/('Assumptions'!$D$47-'Assumptions'!$B$47)),'Assumptions'!$B$47+SQRT(B926*('Assumptions'!$D$47-'Assumptions'!$B$47)*('Assumptions'!$C$47-'Assumptions'!$B$47)),'Assumptions'!$D$47-SQRT((1-B926)*('Assumptions'!$D$47-'Assumptions'!$B$47)*('Assumptions'!$D$47-'Assumptions'!$C$47)))</x:f>
        <x:v>0.011963715201535441</x:v>
      </x:c>
      <x:c r="H926" s="132" t="n">
        <x:f>IF(C926&lt;(('Assumptions'!$C$48-'Assumptions'!$B$48)/('Assumptions'!$D$48-'Assumptions'!$B$48)),'Assumptions'!$B$48+SQRT(C926*('Assumptions'!$D$48-'Assumptions'!$B$48)*('Assumptions'!$C$48-'Assumptions'!$B$48)),'Assumptions'!$D$48-SQRT((1-C926)*('Assumptions'!$D$48-'Assumptions'!$B$48)*('Assumptions'!$D$48-'Assumptions'!$C$48)))</x:f>
        <x:v>0.07916307292651961</x:v>
      </x:c>
      <x:c r="I926" s="132" t="n">
        <x:f>IF(D926&lt;(('Assumptions'!$C$49-'Assumptions'!$B$49)/('Assumptions'!$D$49-'Assumptions'!$B$49)),'Assumptions'!$B$49+SQRT(D926*('Assumptions'!$D$49-'Assumptions'!$B$49)*('Assumptions'!$C$49-'Assumptions'!$B$49)),'Assumptions'!$D$49-SQRT((1-D926)*('Assumptions'!$D$49-'Assumptions'!$B$49)*('Assumptions'!$D$49-'Assumptions'!$C$49)))</x:f>
        <x:v>0.022679078494524822</x:v>
      </x:c>
      <x:c r="J926" s="132" t="n">
        <x:f>IF(E926&lt;(('Assumptions'!$C$50-'Assumptions'!$B$50)/('Assumptions'!$D$50-'Assumptions'!$B$50)),'Assumptions'!$B$50+SQRT(E926*('Assumptions'!$D$50-'Assumptions'!$B$50)*('Assumptions'!$C$50-'Assumptions'!$B$50)),'Assumptions'!$D$50-SQRT((1-E926)*('Assumptions'!$D$50-'Assumptions'!$B$50)*('Assumptions'!$D$50-'Assumptions'!$C$50)))</x:f>
        <x:v>0.06330795362726802</x:v>
      </x:c>
      <x:c r="K926" s="132" t="n">
        <x:f>IF(F926&lt;(('Assumptions'!$C$51-'Assumptions'!$B$51)/('Assumptions'!$D$51-'Assumptions'!$B$51)),'Assumptions'!$B$51+SQRT(F926*('Assumptions'!$D$51-'Assumptions'!$B$51)*('Assumptions'!$C$51-'Assumptions'!$B$51)),'Assumptions'!$D$51-SQRT((1-F926)*('Assumptions'!$D$51-'Assumptions'!$B$51)*('Assumptions'!$D$51-'Assumptions'!$C$51)))</x:f>
        <x:v>0.08060292868210504</x:v>
      </x:c>
      <x:c r="L926" s="133" t="n">
        <x:f>(('Assumptions'!$B$17*(1+G926)+'Assumptions'!$B$18)*(1-H926-'Assumptions'!$B$20)-SUM('Assumptions'!$B$21:$B$25)*(1+I926))-(('Assumptions'!$B$17*(1+G926)+'Assumptions'!$B$18)*(1-H926-'Assumptions'!$B$20)*'Assumptions'!$B$26)</x:f>
        <x:v>205432.9411910081</x:v>
      </x:c>
      <x:c r="M926" s="133" t="n">
        <x:f>'Assumptions'!$B$10*'Assumptions'!$B$33</x:f>
        <x:v>1950000</x:v>
      </x:c>
      <x:c r="N926" s="133" t="n">
        <x:f>-PMT(K926/12,'Assumptions'!$B$35*12,M926)*12</x:f>
        <x:v>172685.45978312465</x:v>
      </x:c>
      <x:c r="O926" s="133" t="n">
        <x:f>(L926*(1+'Assumptions'!$B$29)^('Assumptions'!$B$14/12)/J926)*(1-'Assumptions'!$B$42)-'Debt Schedule'!$F$9</x:f>
        <x:v>3536110.1558290394</x:v>
      </x:c>
      <x:c r="P926" s="132" t="n">
        <x:f>((O926+(L926-N926-'Assumptions'!$B$27-'Assumptions'!$B$28)*('Assumptions'!$B$14/12))/ABS('Monthly Cash Flow'!$S$5))^(1/('Assumptions'!$B$14/12))-1</x:f>
        <x:v>0.22008310926616104</x:v>
      </x:c>
      <x:c r="Q926" s="133" t="n">
        <x:f>-ABS('Monthly Cash Flow'!$S$5)+((L926-N926-'Assumptions'!$B$27-'Assumptions'!$B$28)*(1-(1+'Assumptions'!$B$43)^-('Assumptions'!$B$14/12))/'Assumptions'!$B$43)+(O926/(1+'Assumptions'!$B$43)^('Assumptions'!$B$14/12))</x:f>
        <x:v>873653.4449163976</x:v>
      </x:c>
    </x:row>
    <x:row r="927">
      <x:c r="A927" s="131" t="n">
        <x:f>920</x:f>
        <x:v>920</x:v>
      </x:c>
      <x:c r="B927" s="131" t="n">
        <x:f>MOD(ABS(SIN((A927+1)*12.9898+78.233)*43758.5453),1)</x:f>
        <x:v>0.579416852756367</x:v>
      </x:c>
      <x:c r="C927" s="131" t="n">
        <x:f>MOD(ABS(SIN((A927+2)*12.9898+78.233)*43758.5453),1)</x:f>
        <x:v>0.2569523436141026</x:v>
      </x:c>
      <x:c r="D927" s="131" t="n">
        <x:f>MOD(ABS(SIN((A927+3)*12.9898+78.233)*43758.5453),1)</x:f>
        <x:v>0.1499214459399809</x:v>
      </x:c>
      <x:c r="E927" s="131" t="n">
        <x:f>MOD(ABS(SIN((A927+4)*12.9898+78.233)*43758.5453),1)</x:f>
        <x:v>0.9598249637929257</x:v>
      </x:c>
      <x:c r="F927" s="131" t="n">
        <x:f>MOD(ABS(SIN((A927+5)*12.9898+78.233)*43758.5453),1)</x:f>
        <x:v>0.5279057936495519</x:v>
      </x:c>
      <x:c r="G927" s="132" t="n">
        <x:f>IF(B927&lt;(('Assumptions'!$C$47-'Assumptions'!$B$47)/('Assumptions'!$D$47-'Assumptions'!$B$47)),'Assumptions'!$B$47+SQRT(B927*('Assumptions'!$D$47-'Assumptions'!$B$47)*('Assumptions'!$C$47-'Assumptions'!$B$47)),'Assumptions'!$D$47-SQRT((1-B927)*('Assumptions'!$D$47-'Assumptions'!$B$47)*('Assumptions'!$D$47-'Assumptions'!$C$47)))</x:f>
        <x:v>0.017923723084682194</x:v>
      </x:c>
      <x:c r="H927" s="132" t="n">
        <x:f>IF(C927&lt;(('Assumptions'!$C$48-'Assumptions'!$B$48)/('Assumptions'!$D$48-'Assumptions'!$B$48)),'Assumptions'!$B$48+SQRT(C927*('Assumptions'!$D$48-'Assumptions'!$B$48)*('Assumptions'!$C$48-'Assumptions'!$B$48)),'Assumptions'!$D$48-SQRT((1-C927)*('Assumptions'!$D$48-'Assumptions'!$B$48)*('Assumptions'!$D$48-'Assumptions'!$C$48)))</x:f>
        <x:v>0.05911945627800318</x:v>
      </x:c>
      <x:c r="I927" s="132" t="n">
        <x:f>IF(D927&lt;(('Assumptions'!$C$49-'Assumptions'!$B$49)/('Assumptions'!$D$49-'Assumptions'!$B$49)),'Assumptions'!$B$49+SQRT(D927*('Assumptions'!$D$49-'Assumptions'!$B$49)*('Assumptions'!$C$49-'Assumptions'!$B$49)),'Assumptions'!$D$49-SQRT((1-D927)*('Assumptions'!$D$49-'Assumptions'!$B$49)*('Assumptions'!$D$49-'Assumptions'!$C$49)))</x:f>
        <x:v>0.01023868308172863</x:v>
      </x:c>
      <x:c r="J927" s="132" t="n">
        <x:f>IF(E927&lt;(('Assumptions'!$C$50-'Assumptions'!$B$50)/('Assumptions'!$D$50-'Assumptions'!$B$50)),'Assumptions'!$B$50+SQRT(E927*('Assumptions'!$D$50-'Assumptions'!$B$50)*('Assumptions'!$C$50-'Assumptions'!$B$50)),'Assumptions'!$D$50-SQRT((1-E927)*('Assumptions'!$D$50-'Assumptions'!$B$50)*('Assumptions'!$D$50-'Assumptions'!$C$50)))</x:f>
        <x:v>0.07663856742842584</x:v>
      </x:c>
      <x:c r="K927" s="132" t="n">
        <x:f>IF(F927&lt;(('Assumptions'!$C$51-'Assumptions'!$B$51)/('Assumptions'!$D$51-'Assumptions'!$B$51)),'Assumptions'!$B$51+SQRT(F927*('Assumptions'!$D$51-'Assumptions'!$B$51)*('Assumptions'!$C$51-'Assumptions'!$B$51)),'Assumptions'!$D$51-SQRT((1-F927)*('Assumptions'!$D$51-'Assumptions'!$B$51)*('Assumptions'!$D$51-'Assumptions'!$C$51)))</x:f>
        <x:v>0.0699269997410551</x:v>
      </x:c>
      <x:c r="L927" s="133" t="n">
        <x:f>(('Assumptions'!$B$17*(1+G927)+'Assumptions'!$B$18)*(1-H927-'Assumptions'!$B$20)-SUM('Assumptions'!$B$21:$B$25)*(1+I927))-(('Assumptions'!$B$17*(1+G927)+'Assumptions'!$B$18)*(1-H927-'Assumptions'!$B$20)*'Assumptions'!$B$26)</x:f>
        <x:v>216274.14010084883</x:v>
      </x:c>
      <x:c r="M927" s="133" t="n">
        <x:f>'Assumptions'!$B$10*'Assumptions'!$B$33</x:f>
        <x:v>1950000</x:v>
      </x:c>
      <x:c r="N927" s="133" t="n">
        <x:f>-PMT(K927/12,'Assumptions'!$B$35*12,M927)*12</x:f>
        <x:v>155566.07823234328</x:v>
      </x:c>
      <x:c r="O927" s="133" t="n">
        <x:f>(L927*(1+'Assumptions'!$B$29)^('Assumptions'!$B$14/12)/J927)*(1-'Assumptions'!$B$42)-'Debt Schedule'!$F$9</x:f>
        <x:v>3075184.6133726</x:v>
      </x:c>
      <x:c r="P927" s="132" t="n">
        <x:f>((O927+(L927-N927-'Assumptions'!$B$27-'Assumptions'!$B$28)*('Assumptions'!$B$14/12))/ABS('Monthly Cash Flow'!$S$5))^(1/('Assumptions'!$B$14/12))-1</x:f>
        <x:v>0.19682369383073173</x:v>
      </x:c>
      <x:c r="Q927" s="133" t="n">
        <x:f>-ABS('Monthly Cash Flow'!$S$5)+((L927-N927-'Assumptions'!$B$27-'Assumptions'!$B$28)*(1-(1+'Assumptions'!$B$43)^-('Assumptions'!$B$14/12))/'Assumptions'!$B$43)+(O927/(1+'Assumptions'!$B$43)^('Assumptions'!$B$14/12))</x:f>
        <x:v>693447.5457376933</x:v>
      </x:c>
    </x:row>
    <x:row r="928">
      <x:c r="A928" s="131" t="n">
        <x:f>921</x:f>
        <x:v>921</x:v>
      </x:c>
      <x:c r="B928" s="131" t="n">
        <x:f>MOD(ABS(SIN((A928+1)*12.9898+78.233)*43758.5453),1)</x:f>
        <x:v>0.2569523436141026</x:v>
      </x:c>
      <x:c r="C928" s="131" t="n">
        <x:f>MOD(ABS(SIN((A928+2)*12.9898+78.233)*43758.5453),1)</x:f>
        <x:v>0.1499214459399809</x:v>
      </x:c>
      <x:c r="D928" s="131" t="n">
        <x:f>MOD(ABS(SIN((A928+3)*12.9898+78.233)*43758.5453),1)</x:f>
        <x:v>0.9598249637929257</x:v>
      </x:c>
      <x:c r="E928" s="131" t="n">
        <x:f>MOD(ABS(SIN((A928+4)*12.9898+78.233)*43758.5453),1)</x:f>
        <x:v>0.5279057936495519</x:v>
      </x:c>
      <x:c r="F928" s="131" t="n">
        <x:f>MOD(ABS(SIN((A928+5)*12.9898+78.233)*43758.5453),1)</x:f>
        <x:v>0.2398417500735377</x:v>
      </x:c>
      <x:c r="G928" s="132" t="n">
        <x:f>IF(B928&lt;(('Assumptions'!$C$47-'Assumptions'!$B$47)/('Assumptions'!$D$47-'Assumptions'!$B$47)),'Assumptions'!$B$47+SQRT(B928*('Assumptions'!$D$47-'Assumptions'!$B$47)*('Assumptions'!$C$47-'Assumptions'!$B$47)),'Assumptions'!$D$47-SQRT((1-B928)*('Assumptions'!$D$47-'Assumptions'!$B$47)*('Assumptions'!$D$47-'Assumptions'!$C$47)))</x:f>
        <x:v>-0.02147066632946347</x:v>
      </x:c>
      <x:c r="H928" s="132" t="n">
        <x:f>IF(C928&lt;(('Assumptions'!$C$48-'Assumptions'!$B$48)/('Assumptions'!$D$48-'Assumptions'!$B$48)),'Assumptions'!$B$48+SQRT(C928*('Assumptions'!$D$48-'Assumptions'!$B$48)*('Assumptions'!$C$48-'Assumptions'!$B$48)),'Assumptions'!$D$48-SQRT((1-C928)*('Assumptions'!$D$48-'Assumptions'!$B$48)*('Assumptions'!$D$48-'Assumptions'!$C$48)))</x:f>
        <x:v>0.0522427689733526</x:v>
      </x:c>
      <x:c r="I928" s="132" t="n">
        <x:f>IF(D928&lt;(('Assumptions'!$C$49-'Assumptions'!$B$49)/('Assumptions'!$D$49-'Assumptions'!$B$49)),'Assumptions'!$B$49+SQRT(D928*('Assumptions'!$D$49-'Assumptions'!$B$49)*('Assumptions'!$C$49-'Assumptions'!$B$49)),'Assumptions'!$D$49-SQRT((1-D928)*('Assumptions'!$D$49-'Assumptions'!$B$49)*('Assumptions'!$D$49-'Assumptions'!$C$49)))</x:f>
        <x:v>0.12054188088025977</x:v>
      </x:c>
      <x:c r="J928" s="132" t="n">
        <x:f>IF(E928&lt;(('Assumptions'!$C$50-'Assumptions'!$B$50)/('Assumptions'!$D$50-'Assumptions'!$B$50)),'Assumptions'!$B$50+SQRT(E928*('Assumptions'!$D$50-'Assumptions'!$B$50)*('Assumptions'!$C$50-'Assumptions'!$B$50)),'Assumptions'!$D$50-SQRT((1-E928)*('Assumptions'!$D$50-'Assumptions'!$B$50)*('Assumptions'!$D$50-'Assumptions'!$C$50)))</x:f>
        <x:v>0.06847713162723519</x:v>
      </x:c>
      <x:c r="K928" s="132" t="n">
        <x:f>IF(F928&lt;(('Assumptions'!$C$51-'Assumptions'!$B$51)/('Assumptions'!$D$51-'Assumptions'!$B$51)),'Assumptions'!$B$51+SQRT(F928*('Assumptions'!$D$51-'Assumptions'!$B$51)*('Assumptions'!$C$51-'Assumptions'!$B$51)),'Assumptions'!$D$51-SQRT((1-F928)*('Assumptions'!$D$51-'Assumptions'!$B$51)*('Assumptions'!$D$51-'Assumptions'!$C$51)))</x:f>
        <x:v>0.06562135957030736</x:v>
      </x:c>
      <x:c r="L928" s="133" t="n">
        <x:f>(('Assumptions'!$B$17*(1+G928)+'Assumptions'!$B$18)*(1-H928-'Assumptions'!$B$20)-SUM('Assumptions'!$B$21:$B$25)*(1+I928))-(('Assumptions'!$B$17*(1+G928)+'Assumptions'!$B$18)*(1-H928-'Assumptions'!$B$20)*'Assumptions'!$B$26)</x:f>
        <x:v>192146.66239160573</x:v>
      </x:c>
      <x:c r="M928" s="133" t="n">
        <x:f>'Assumptions'!$B$10*'Assumptions'!$B$33</x:f>
        <x:v>1950000</x:v>
      </x:c>
      <x:c r="N928" s="133" t="n">
        <x:f>-PMT(K928/12,'Assumptions'!$B$35*12,M928)*12</x:f>
        <x:v>148861.421963036</x:v>
      </x:c>
      <x:c r="O928" s="133" t="n">
        <x:f>(L928*(1+'Assumptions'!$B$29)^('Assumptions'!$B$14/12)/J928)*(1-'Assumptions'!$B$42)-'Debt Schedule'!$F$9</x:f>
        <x:v>3057744.9806637825</x:v>
      </x:c>
      <x:c r="P928" s="132" t="n">
        <x:f>((O928+(L928-N928-'Assumptions'!$B$27-'Assumptions'!$B$28)*('Assumptions'!$B$14/12))/ABS('Monthly Cash Flow'!$S$5))^(1/('Assumptions'!$B$14/12))-1</x:f>
        <x:v>0.18884489843927277</x:v>
      </x:c>
      <x:c r="Q928" s="133" t="n">
        <x:f>-ABS('Monthly Cash Flow'!$S$5)+((L928-N928-'Assumptions'!$B$27-'Assumptions'!$B$28)*(1-(1+'Assumptions'!$B$43)^-('Assumptions'!$B$14/12))/'Assumptions'!$B$43)+(O928/(1+'Assumptions'!$B$43)^('Assumptions'!$B$14/12))</x:f>
        <x:v>616572.7049221939</x:v>
      </x:c>
    </x:row>
    <x:row r="929">
      <x:c r="A929" s="131" t="n">
        <x:f>922</x:f>
        <x:v>922</x:v>
      </x:c>
      <x:c r="B929" s="131" t="n">
        <x:f>MOD(ABS(SIN((A929+1)*12.9898+78.233)*43758.5453),1)</x:f>
        <x:v>0.1499214459399809</x:v>
      </x:c>
      <x:c r="C929" s="131" t="n">
        <x:f>MOD(ABS(SIN((A929+2)*12.9898+78.233)*43758.5453),1)</x:f>
        <x:v>0.9598249637929257</x:v>
      </x:c>
      <x:c r="D929" s="131" t="n">
        <x:f>MOD(ABS(SIN((A929+3)*12.9898+78.233)*43758.5453),1)</x:f>
        <x:v>0.5279057936495519</x:v>
      </x:c>
      <x:c r="E929" s="131" t="n">
        <x:f>MOD(ABS(SIN((A929+4)*12.9898+78.233)*43758.5453),1)</x:f>
        <x:v>0.2398417500735377</x:v>
      </x:c>
      <x:c r="F929" s="131" t="n">
        <x:f>MOD(ABS(SIN((A929+5)*12.9898+78.233)*43758.5453),1)</x:f>
        <x:v>0.4739970045229711</x:v>
      </x:c>
      <x:c r="G929" s="132" t="n">
        <x:f>IF(B929&lt;(('Assumptions'!$C$47-'Assumptions'!$B$47)/('Assumptions'!$D$47-'Assumptions'!$B$47)),'Assumptions'!$B$47+SQRT(B929*('Assumptions'!$D$47-'Assumptions'!$B$47)*('Assumptions'!$C$47-'Assumptions'!$B$47)),'Assumptions'!$D$47-SQRT((1-B929)*('Assumptions'!$D$47-'Assumptions'!$B$47)*('Assumptions'!$D$47-'Assumptions'!$C$47)))</x:f>
        <x:v>-0.04001571286945604</x:v>
      </x:c>
      <x:c r="H929" s="132" t="n">
        <x:f>IF(C929&lt;(('Assumptions'!$C$48-'Assumptions'!$B$48)/('Assumptions'!$D$48-'Assumptions'!$B$48)),'Assumptions'!$B$48+SQRT(C929*('Assumptions'!$D$48-'Assumptions'!$B$48)*('Assumptions'!$C$48-'Assumptions'!$B$48)),'Assumptions'!$D$48-SQRT((1-C929)*('Assumptions'!$D$48-'Assumptions'!$B$48)*('Assumptions'!$D$48-'Assumptions'!$C$48)))</x:f>
        <x:v>0.1211973321408303</x:v>
      </x:c>
      <x:c r="I929" s="132" t="n">
        <x:f>IF(D929&lt;(('Assumptions'!$C$49-'Assumptions'!$B$49)/('Assumptions'!$D$49-'Assumptions'!$B$49)),'Assumptions'!$B$49+SQRT(D929*('Assumptions'!$D$49-'Assumptions'!$B$49)*('Assumptions'!$C$49-'Assumptions'!$B$49)),'Assumptions'!$D$49-SQRT((1-D929)*('Assumptions'!$D$49-'Assumptions'!$B$49)*('Assumptions'!$D$49-'Assumptions'!$C$49)))</x:f>
        <x:v>0.049018641041181865</x:v>
      </x:c>
      <x:c r="J929" s="132" t="n">
        <x:f>IF(E929&lt;(('Assumptions'!$C$50-'Assumptions'!$B$50)/('Assumptions'!$D$50-'Assumptions'!$B$50)),'Assumptions'!$B$50+SQRT(E929*('Assumptions'!$D$50-'Assumptions'!$B$50)*('Assumptions'!$C$50-'Assumptions'!$B$50)),'Assumptions'!$D$50-SQRT((1-E929)*('Assumptions'!$D$50-'Assumptions'!$B$50)*('Assumptions'!$D$50-'Assumptions'!$C$50)))</x:f>
        <x:v>0.06484604613152858</x:v>
      </x:c>
      <x:c r="K929" s="132" t="n">
        <x:f>IF(F929&lt;(('Assumptions'!$C$51-'Assumptions'!$B$51)/('Assumptions'!$D$51-'Assumptions'!$B$51)),'Assumptions'!$B$51+SQRT(F929*('Assumptions'!$D$51-'Assumptions'!$B$51)*('Assumptions'!$C$51-'Assumptions'!$B$51)),'Assumptions'!$D$51-SQRT((1-F929)*('Assumptions'!$D$51-'Assumptions'!$B$51)*('Assumptions'!$D$51-'Assumptions'!$C$51)))</x:f>
        <x:v>0.06908965928795616</x:v>
      </x:c>
      <x:c r="L929" s="133" t="n">
        <x:f>(('Assumptions'!$B$17*(1+G929)+'Assumptions'!$B$18)*(1-H929-'Assumptions'!$B$20)-SUM('Assumptions'!$B$21:$B$25)*(1+I929))-(('Assumptions'!$B$17*(1+G929)+'Assumptions'!$B$18)*(1-H929-'Assumptions'!$B$20)*'Assumptions'!$B$26)</x:f>
        <x:v>171079.71734313006</x:v>
      </x:c>
      <x:c r="M929" s="133" t="n">
        <x:f>'Assumptions'!$B$10*'Assumptions'!$B$33</x:f>
        <x:v>1950000</x:v>
      </x:c>
      <x:c r="N929" s="133" t="n">
        <x:f>-PMT(K929/12,'Assumptions'!$B$35*12,M929)*12</x:f>
        <x:v>154252.78768944507</x:v>
      </x:c>
      <x:c r="O929" s="133" t="n">
        <x:f>(L929*(1+'Assumptions'!$B$29)^('Assumptions'!$B$14/12)/J929)*(1-'Assumptions'!$B$42)-'Debt Schedule'!$F$9</x:f>
        <x:v>2874941.422319844</x:v>
      </x:c>
      <x:c r="P929" s="132" t="n">
        <x:f>((O929+(L929-N929-'Assumptions'!$B$27-'Assumptions'!$B$28)*('Assumptions'!$B$14/12))/ABS('Monthly Cash Flow'!$S$5))^(1/('Assumptions'!$B$14/12))-1</x:f>
        <x:v>0.1634087450710311</x:v>
      </x:c>
      <x:c r="Q929" s="133" t="n">
        <x:f>-ABS('Monthly Cash Flow'!$S$5)+((L929-N929-'Assumptions'!$B$27-'Assumptions'!$B$28)*(1-(1+'Assumptions'!$B$43)^-('Assumptions'!$B$14/12))/'Assumptions'!$B$43)+(O929/(1+'Assumptions'!$B$43)^('Assumptions'!$B$14/12))</x:f>
        <x:v>402768.26318902406</x:v>
      </x:c>
    </x:row>
    <x:row r="930">
      <x:c r="A930" s="131" t="n">
        <x:f>923</x:f>
        <x:v>923</x:v>
      </x:c>
      <x:c r="B930" s="131" t="n">
        <x:f>MOD(ABS(SIN((A930+1)*12.9898+78.233)*43758.5453),1)</x:f>
        <x:v>0.9598249637929257</x:v>
      </x:c>
      <x:c r="C930" s="131" t="n">
        <x:f>MOD(ABS(SIN((A930+2)*12.9898+78.233)*43758.5453),1)</x:f>
        <x:v>0.5279057936495519</x:v>
      </x:c>
      <x:c r="D930" s="131" t="n">
        <x:f>MOD(ABS(SIN((A930+3)*12.9898+78.233)*43758.5453),1)</x:f>
        <x:v>0.2398417500735377</x:v>
      </x:c>
      <x:c r="E930" s="131" t="n">
        <x:f>MOD(ABS(SIN((A930+4)*12.9898+78.233)*43758.5453),1)</x:f>
        <x:v>0.4739970045229711</x:v>
      </x:c>
      <x:c r="F930" s="131" t="n">
        <x:f>MOD(ABS(SIN((A930+5)*12.9898+78.233)*43758.5453),1)</x:f>
        <x:v>0.6635024221554886</x:v>
      </x:c>
      <x:c r="G930" s="132" t="n">
        <x:f>IF(B930&lt;(('Assumptions'!$C$47-'Assumptions'!$B$47)/('Assumptions'!$D$47-'Assumptions'!$B$47)),'Assumptions'!$B$47+SQRT(B930*('Assumptions'!$D$47-'Assumptions'!$B$47)*('Assumptions'!$C$47-'Assumptions'!$B$47)),'Assumptions'!$D$47-SQRT((1-B930)*('Assumptions'!$D$47-'Assumptions'!$B$47)*('Assumptions'!$D$47-'Assumptions'!$C$47)))</x:f>
        <x:v>0.07464648783081151</x:v>
      </x:c>
      <x:c r="H930" s="132" t="n">
        <x:f>IF(C930&lt;(('Assumptions'!$C$48-'Assumptions'!$B$48)/('Assumptions'!$D$48-'Assumptions'!$B$48)),'Assumptions'!$B$48+SQRT(C930*('Assumptions'!$D$48-'Assumptions'!$B$48)*('Assumptions'!$C$48-'Assumptions'!$B$48)),'Assumptions'!$D$48-SQRT((1-C930)*('Assumptions'!$D$48-'Assumptions'!$B$48)*('Assumptions'!$D$48-'Assumptions'!$C$48)))</x:f>
        <x:v>0.07554513970316945</x:v>
      </x:c>
      <x:c r="I930" s="132" t="n">
        <x:f>IF(D930&lt;(('Assumptions'!$C$49-'Assumptions'!$B$49)/('Assumptions'!$D$49-'Assumptions'!$B$49)),'Assumptions'!$B$49+SQRT(D930*('Assumptions'!$D$49-'Assumptions'!$B$49)*('Assumptions'!$C$49-'Assumptions'!$B$49)),'Assumptions'!$D$49-SQRT((1-D930)*('Assumptions'!$D$49-'Assumptions'!$B$49)*('Assumptions'!$D$49-'Assumptions'!$C$49)))</x:f>
        <x:v>0.0208949005382092</x:v>
      </x:c>
      <x:c r="J930" s="132" t="n">
        <x:f>IF(E930&lt;(('Assumptions'!$C$50-'Assumptions'!$B$50)/('Assumptions'!$D$50-'Assumptions'!$B$50)),'Assumptions'!$B$50+SQRT(E930*('Assumptions'!$D$50-'Assumptions'!$B$50)*('Assumptions'!$C$50-'Assumptions'!$B$50)),'Assumptions'!$D$50-SQRT((1-E930)*('Assumptions'!$D$50-'Assumptions'!$B$50)*('Assumptions'!$D$50-'Assumptions'!$C$50)))</x:f>
        <x:v>0.06783700931193672</x:v>
      </x:c>
      <x:c r="K930" s="132" t="n">
        <x:f>IF(F930&lt;(('Assumptions'!$C$51-'Assumptions'!$B$51)/('Assumptions'!$D$51-'Assumptions'!$B$51)),'Assumptions'!$B$51+SQRT(F930*('Assumptions'!$D$51-'Assumptions'!$B$51)*('Assumptions'!$C$51-'Assumptions'!$B$51)),'Assumptions'!$D$51-SQRT((1-F930)*('Assumptions'!$D$51-'Assumptions'!$B$51)*('Assumptions'!$D$51-'Assumptions'!$C$51)))</x:f>
        <x:v>0.07227445642270355</x:v>
      </x:c>
      <x:c r="L930" s="133" t="n">
        <x:f>(('Assumptions'!$B$17*(1+G930)+'Assumptions'!$B$18)*(1-H930-'Assumptions'!$B$20)-SUM('Assumptions'!$B$21:$B$25)*(1+I930))-(('Assumptions'!$B$17*(1+G930)+'Assumptions'!$B$18)*(1-H930-'Assumptions'!$B$20)*'Assumptions'!$B$26)</x:f>
        <x:v>226795.569785196</x:v>
      </x:c>
      <x:c r="M930" s="133" t="n">
        <x:f>'Assumptions'!$B$10*'Assumptions'!$B$33</x:f>
        <x:v>1950000</x:v>
      </x:c>
      <x:c r="N930" s="133" t="n">
        <x:f>-PMT(K930/12,'Assumptions'!$B$35*12,M930)*12</x:f>
        <x:v>159271.4326836666</x:v>
      </x:c>
      <x:c r="O930" s="133" t="n">
        <x:f>(L930*(1+'Assumptions'!$B$29)^('Assumptions'!$B$14/12)/J930)*(1-'Assumptions'!$B$42)-'Debt Schedule'!$F$9</x:f>
        <x:v>3643190.2477974067</x:v>
      </x:c>
      <x:c r="P930" s="132" t="n">
        <x:f>((O930+(L930-N930-'Assumptions'!$B$27-'Assumptions'!$B$28)*('Assumptions'!$B$14/12))/ABS('Monthly Cash Flow'!$S$5))^(1/('Assumptions'!$B$14/12))-1</x:f>
        <x:v>0.23907210837911586</x:v>
      </x:c>
      <x:c r="Q930" s="133" t="n">
        <x:f>-ABS('Monthly Cash Flow'!$S$5)+((L930-N930-'Assumptions'!$B$27-'Assumptions'!$B$28)*(1-(1+'Assumptions'!$B$43)^-('Assumptions'!$B$14/12))/'Assumptions'!$B$43)+(O930/(1+'Assumptions'!$B$43)^('Assumptions'!$B$14/12))</x:f>
        <x:v>1071972.6435824386</x:v>
      </x:c>
    </x:row>
    <x:row r="931">
      <x:c r="A931" s="131" t="n">
        <x:f>924</x:f>
        <x:v>924</x:v>
      </x:c>
      <x:c r="B931" s="131" t="n">
        <x:f>MOD(ABS(SIN((A931+1)*12.9898+78.233)*43758.5453),1)</x:f>
        <x:v>0.5279057936495519</x:v>
      </x:c>
      <x:c r="C931" s="131" t="n">
        <x:f>MOD(ABS(SIN((A931+2)*12.9898+78.233)*43758.5453),1)</x:f>
        <x:v>0.2398417500735377</x:v>
      </x:c>
      <x:c r="D931" s="131" t="n">
        <x:f>MOD(ABS(SIN((A931+3)*12.9898+78.233)*43758.5453),1)</x:f>
        <x:v>0.4739970045229711</x:v>
      </x:c>
      <x:c r="E931" s="131" t="n">
        <x:f>MOD(ABS(SIN((A931+4)*12.9898+78.233)*43758.5453),1)</x:f>
        <x:v>0.6635024221554886</x:v>
      </x:c>
      <x:c r="F931" s="131" t="n">
        <x:f>MOD(ABS(SIN((A931+5)*12.9898+78.233)*43758.5453),1)</x:f>
        <x:v>0.05803417615243234</x:v>
      </x:c>
      <x:c r="G931" s="132" t="n">
        <x:f>IF(B931&lt;(('Assumptions'!$C$47-'Assumptions'!$B$47)/('Assumptions'!$D$47-'Assumptions'!$B$47)),'Assumptions'!$B$47+SQRT(B931*('Assumptions'!$D$47-'Assumptions'!$B$47)*('Assumptions'!$C$47-'Assumptions'!$B$47)),'Assumptions'!$D$47-SQRT((1-B931)*('Assumptions'!$D$47-'Assumptions'!$B$47)*('Assumptions'!$D$47-'Assumptions'!$C$47)))</x:f>
        <x:v>0.01255993535707653</x:v>
      </x:c>
      <x:c r="H931" s="132" t="n">
        <x:f>IF(C931&lt;(('Assumptions'!$C$48-'Assumptions'!$B$48)/('Assumptions'!$D$48-'Assumptions'!$B$48)),'Assumptions'!$B$48+SQRT(C931*('Assumptions'!$D$48-'Assumptions'!$B$48)*('Assumptions'!$C$48-'Assumptions'!$B$48)),'Assumptions'!$D$48-SQRT((1-C931)*('Assumptions'!$D$48-'Assumptions'!$B$48)*('Assumptions'!$D$48-'Assumptions'!$C$48)))</x:f>
        <x:v>0.05813321480461617</x:v>
      </x:c>
      <x:c r="I931" s="132" t="n">
        <x:f>IF(D931&lt;(('Assumptions'!$C$49-'Assumptions'!$B$49)/('Assumptions'!$D$49-'Assumptions'!$B$49)),'Assumptions'!$B$49+SQRT(D931*('Assumptions'!$D$49-'Assumptions'!$B$49)*('Assumptions'!$C$49-'Assumptions'!$B$49)),'Assumptions'!$D$49-SQRT((1-D931)*('Assumptions'!$D$49-'Assumptions'!$B$49)*('Assumptions'!$D$49-'Assumptions'!$C$49)))</x:f>
        <x:v>0.04340889013475925</x:v>
      </x:c>
      <x:c r="J931" s="132" t="n">
        <x:f>IF(E931&lt;(('Assumptions'!$C$50-'Assumptions'!$B$50)/('Assumptions'!$D$50-'Assumptions'!$B$50)),'Assumptions'!$B$50+SQRT(E931*('Assumptions'!$D$50-'Assumptions'!$B$50)*('Assumptions'!$C$50-'Assumptions'!$B$50)),'Assumptions'!$D$50-SQRT((1-E931)*('Assumptions'!$D$50-'Assumptions'!$B$50)*('Assumptions'!$D$50-'Assumptions'!$C$50)))</x:f>
        <x:v>0.07027169368447062</x:v>
      </x:c>
      <x:c r="K931" s="132" t="n">
        <x:f>IF(F931&lt;(('Assumptions'!$C$51-'Assumptions'!$B$51)/('Assumptions'!$D$51-'Assumptions'!$B$51)),'Assumptions'!$B$51+SQRT(F931*('Assumptions'!$D$51-'Assumptions'!$B$51)*('Assumptions'!$C$51-'Assumptions'!$B$51)),'Assumptions'!$D$51-SQRT((1-F931)*('Assumptions'!$D$51-'Assumptions'!$B$51)*('Assumptions'!$D$51-'Assumptions'!$C$51)))</x:f>
        <x:v>0.06149492158144799</x:v>
      </x:c>
      <x:c r="L931" s="133" t="n">
        <x:f>(('Assumptions'!$B$17*(1+G931)+'Assumptions'!$B$18)*(1-H931-'Assumptions'!$B$20)-SUM('Assumptions'!$B$21:$B$25)*(1+I931))-(('Assumptions'!$B$17*(1+G931)+'Assumptions'!$B$18)*(1-H931-'Assumptions'!$B$20)*'Assumptions'!$B$26)</x:f>
        <x:v>210731.2657379652</x:v>
      </x:c>
      <x:c r="M931" s="133" t="n">
        <x:f>'Assumptions'!$B$10*'Assumptions'!$B$33</x:f>
        <x:v>1950000</x:v>
      </x:c>
      <x:c r="N931" s="133" t="n">
        <x:f>-PMT(K931/12,'Assumptions'!$B$35*12,M931)*12</x:f>
        <x:v>142551.6957876157</x:v>
      </x:c>
      <x:c r="O931" s="133" t="n">
        <x:f>(L931*(1+'Assumptions'!$B$29)^('Assumptions'!$B$14/12)/J931)*(1-'Assumptions'!$B$42)-'Debt Schedule'!$F$9</x:f>
        <x:v>3267853.1481635235</x:v>
      </x:c>
      <x:c r="P931" s="132" t="n">
        <x:f>((O931+(L931-N931-'Assumptions'!$B$27-'Assumptions'!$B$28)*('Assumptions'!$B$14/12))/ABS('Monthly Cash Flow'!$S$5))^(1/('Assumptions'!$B$14/12))-1</x:f>
        <x:v>0.21366448815960637</x:v>
      </x:c>
      <x:c r="Q931" s="133" t="n">
        <x:f>-ABS('Monthly Cash Flow'!$S$5)+((L931-N931-'Assumptions'!$B$27-'Assumptions'!$B$28)*(1-(1+'Assumptions'!$B$43)^-('Assumptions'!$B$14/12))/'Assumptions'!$B$43)+(O931/(1+'Assumptions'!$B$43)^('Assumptions'!$B$14/12))</x:f>
        <x:v>841402.4412561245</x:v>
      </x:c>
    </x:row>
    <x:row r="932">
      <x:c r="A932" s="131" t="n">
        <x:f>925</x:f>
        <x:v>925</x:v>
      </x:c>
      <x:c r="B932" s="131" t="n">
        <x:f>MOD(ABS(SIN((A932+1)*12.9898+78.233)*43758.5453),1)</x:f>
        <x:v>0.2398417500735377</x:v>
      </x:c>
      <x:c r="C932" s="131" t="n">
        <x:f>MOD(ABS(SIN((A932+2)*12.9898+78.233)*43758.5453),1)</x:f>
        <x:v>0.4739970045229711</x:v>
      </x:c>
      <x:c r="D932" s="131" t="n">
        <x:f>MOD(ABS(SIN((A932+3)*12.9898+78.233)*43758.5453),1)</x:f>
        <x:v>0.6635024221554886</x:v>
      </x:c>
      <x:c r="E932" s="131" t="n">
        <x:f>MOD(ABS(SIN((A932+4)*12.9898+78.233)*43758.5453),1)</x:f>
        <x:v>0.05803417615243234</x:v>
      </x:c>
      <x:c r="F932" s="131" t="n">
        <x:f>MOD(ABS(SIN((A932+5)*12.9898+78.233)*43758.5453),1)</x:f>
        <x:v>0.024219410432124278</x:v>
      </x:c>
      <x:c r="G932" s="132" t="n">
        <x:f>IF(B932&lt;(('Assumptions'!$C$47-'Assumptions'!$B$47)/('Assumptions'!$D$47-'Assumptions'!$B$47)),'Assumptions'!$B$47+SQRT(B932*('Assumptions'!$D$47-'Assumptions'!$B$47)*('Assumptions'!$C$47-'Assumptions'!$B$47)),'Assumptions'!$D$47-SQRT((1-B932)*('Assumptions'!$D$47-'Assumptions'!$B$47)*('Assumptions'!$D$47-'Assumptions'!$C$47)))</x:f>
        <x:v>-0.02413036179231573</x:v>
      </x:c>
      <x:c r="H932" s="132" t="n">
        <x:f>IF(C932&lt;(('Assumptions'!$C$48-'Assumptions'!$B$48)/('Assumptions'!$D$48-'Assumptions'!$B$48)),'Assumptions'!$B$48+SQRT(C932*('Assumptions'!$D$48-'Assumptions'!$B$48)*('Assumptions'!$C$48-'Assumptions'!$B$48)),'Assumptions'!$D$48-SQRT((1-C932)*('Assumptions'!$D$48-'Assumptions'!$B$48)*('Assumptions'!$D$48-'Assumptions'!$C$48)))</x:f>
        <x:v>0.07196452131278964</x:v>
      </x:c>
      <x:c r="I932" s="132" t="n">
        <x:f>IF(D932&lt;(('Assumptions'!$C$49-'Assumptions'!$B$49)/('Assumptions'!$D$49-'Assumptions'!$B$49)),'Assumptions'!$B$49+SQRT(D932*('Assumptions'!$D$49-'Assumptions'!$B$49)*('Assumptions'!$C$49-'Assumptions'!$B$49)),'Assumptions'!$D$49-SQRT((1-D932)*('Assumptions'!$D$49-'Assumptions'!$B$49)*('Assumptions'!$D$49-'Assumptions'!$C$49)))</x:f>
        <x:v>0.06474539495463341</x:v>
      </x:c>
      <x:c r="J932" s="132" t="n">
        <x:f>IF(E932&lt;(('Assumptions'!$C$50-'Assumptions'!$B$50)/('Assumptions'!$D$50-'Assumptions'!$B$50)),'Assumptions'!$B$50+SQRT(E932*('Assumptions'!$D$50-'Assumptions'!$B$50)*('Assumptions'!$C$50-'Assumptions'!$B$50)),'Assumptions'!$D$50-SQRT((1-E932)*('Assumptions'!$D$50-'Assumptions'!$B$50)*('Assumptions'!$D$50-'Assumptions'!$C$50)))</x:f>
        <x:v>0.06111354253251533</x:v>
      </x:c>
      <x:c r="K932" s="132" t="n">
        <x:f>IF(F932&lt;(('Assumptions'!$C$51-'Assumptions'!$B$51)/('Assumptions'!$D$51-'Assumptions'!$B$51)),'Assumptions'!$B$51+SQRT(F932*('Assumptions'!$D$51-'Assumptions'!$B$51)*('Assumptions'!$C$51-'Assumptions'!$B$51)),'Assumptions'!$D$51-SQRT((1-F932)*('Assumptions'!$D$51-'Assumptions'!$B$51)*('Assumptions'!$D$51-'Assumptions'!$C$51)))</x:f>
        <x:v>0.06008076304003955</x:v>
      </x:c>
      <x:c r="L932" s="133" t="n">
        <x:f>(('Assumptions'!$B$17*(1+G932)+'Assumptions'!$B$18)*(1-H932-'Assumptions'!$B$20)-SUM('Assumptions'!$B$21:$B$25)*(1+I932))-(('Assumptions'!$B$17*(1+G932)+'Assumptions'!$B$18)*(1-H932-'Assumptions'!$B$20)*'Assumptions'!$B$26)</x:f>
        <x:v>191322.88098236578</x:v>
      </x:c>
      <x:c r="M932" s="133" t="n">
        <x:f>'Assumptions'!$B$10*'Assumptions'!$B$33</x:f>
        <x:v>1950000</x:v>
      </x:c>
      <x:c r="N932" s="133" t="n">
        <x:f>-PMT(K932/12,'Assumptions'!$B$35*12,M932)*12</x:f>
        <x:v>140416.34835788127</x:v>
      </x:c>
      <x:c r="O932" s="133" t="n">
        <x:f>(L932*(1+'Assumptions'!$B$29)^('Assumptions'!$B$14/12)/J932)*(1-'Assumptions'!$B$42)-'Debt Schedule'!$F$9</x:f>
        <x:v>3411484.7177730063</x:v>
      </x:c>
      <x:c r="P932" s="132" t="n">
        <x:f>((O932+(L932-N932-'Assumptions'!$B$27-'Assumptions'!$B$28)*('Assumptions'!$B$14/12))/ABS('Monthly Cash Flow'!$S$5))^(1/('Assumptions'!$B$14/12))-1</x:f>
        <x:v>0.2177152257536179</x:v>
      </x:c>
      <x:c r="Q932" s="133" t="n">
        <x:f>-ABS('Monthly Cash Flow'!$S$5)+((L932-N932-'Assumptions'!$B$27-'Assumptions'!$B$28)*(1-(1+'Assumptions'!$B$43)^-('Assumptions'!$B$14/12))/'Assumptions'!$B$43)+(O932/(1+'Assumptions'!$B$43)^('Assumptions'!$B$14/12))</x:f>
        <x:v>865107.9441287203</x:v>
      </x:c>
    </x:row>
    <x:row r="933">
      <x:c r="A933" s="131" t="n">
        <x:f>926</x:f>
        <x:v>926</x:v>
      </x:c>
      <x:c r="B933" s="131" t="n">
        <x:f>MOD(ABS(SIN((A933+1)*12.9898+78.233)*43758.5453),1)</x:f>
        <x:v>0.4739970045229711</x:v>
      </x:c>
      <x:c r="C933" s="131" t="n">
        <x:f>MOD(ABS(SIN((A933+2)*12.9898+78.233)*43758.5453),1)</x:f>
        <x:v>0.6635024221554886</x:v>
      </x:c>
      <x:c r="D933" s="131" t="n">
        <x:f>MOD(ABS(SIN((A933+3)*12.9898+78.233)*43758.5453),1)</x:f>
        <x:v>0.05803417615243234</x:v>
      </x:c>
      <x:c r="E933" s="131" t="n">
        <x:f>MOD(ABS(SIN((A933+4)*12.9898+78.233)*43758.5453),1)</x:f>
        <x:v>0.024219410432124278</x:v>
      </x:c>
      <x:c r="F933" s="131" t="n">
        <x:f>MOD(ABS(SIN((A933+5)*12.9898+78.233)*43758.5453),1)</x:f>
        <x:v>0.48781597603374394</x:v>
      </x:c>
      <x:c r="G933" s="132" t="n">
        <x:f>IF(B933&lt;(('Assumptions'!$C$47-'Assumptions'!$B$47)/('Assumptions'!$D$47-'Assumptions'!$B$47)),'Assumptions'!$B$47+SQRT(B933*('Assumptions'!$D$47-'Assumptions'!$B$47)*('Assumptions'!$C$47-'Assumptions'!$B$47)),'Assumptions'!$D$47-SQRT((1-B933)*('Assumptions'!$D$47-'Assumptions'!$B$47)*('Assumptions'!$D$47-'Assumptions'!$C$47)))</x:f>
        <x:v>0.006657995989758345</x:v>
      </x:c>
      <x:c r="H933" s="132" t="n">
        <x:f>IF(C933&lt;(('Assumptions'!$C$48-'Assumptions'!$B$48)/('Assumptions'!$D$48-'Assumptions'!$B$48)),'Assumptions'!$B$48+SQRT(C933*('Assumptions'!$D$48-'Assumptions'!$B$48)*('Assumptions'!$C$48-'Assumptions'!$B$48)),'Assumptions'!$D$48-SQRT((1-C933)*('Assumptions'!$D$48-'Assumptions'!$B$48)*('Assumptions'!$D$48-'Assumptions'!$C$48)))</x:f>
        <x:v>0.08558328671233717</x:v>
      </x:c>
      <x:c r="I933" s="132" t="n">
        <x:f>IF(D933&lt;(('Assumptions'!$C$49-'Assumptions'!$B$49)/('Assumptions'!$D$49-'Assumptions'!$B$49)),'Assumptions'!$B$49+SQRT(D933*('Assumptions'!$D$49-'Assumptions'!$B$49)*('Assumptions'!$C$49-'Assumptions'!$B$49)),'Assumptions'!$D$49-SQRT((1-D933)*('Assumptions'!$D$49-'Assumptions'!$B$49)*('Assumptions'!$D$49-'Assumptions'!$C$49)))</x:f>
        <x:v>-0.0049646429534893725</x:v>
      </x:c>
      <x:c r="J933" s="132" t="n">
        <x:f>IF(E933&lt;(('Assumptions'!$C$50-'Assumptions'!$B$50)/('Assumptions'!$D$50-'Assumptions'!$B$50)),'Assumptions'!$B$50+SQRT(E933*('Assumptions'!$D$50-'Assumptions'!$B$50)*('Assumptions'!$C$50-'Assumptions'!$B$50)),'Assumptions'!$D$50-SQRT((1-E933)*('Assumptions'!$D$50-'Assumptions'!$B$50)*('Assumptions'!$D$50-'Assumptions'!$C$50)))</x:f>
        <x:v>0.05983438800271677</x:v>
      </x:c>
      <x:c r="K933" s="132" t="n">
        <x:f>IF(F933&lt;(('Assumptions'!$C$51-'Assumptions'!$B$51)/('Assumptions'!$D$51-'Assumptions'!$B$51)),'Assumptions'!$B$51+SQRT(F933*('Assumptions'!$D$51-'Assumptions'!$B$51)*('Assumptions'!$C$51-'Assumptions'!$B$51)),'Assumptions'!$D$51-SQRT((1-F933)*('Assumptions'!$D$51-'Assumptions'!$B$51)*('Assumptions'!$D$51-'Assumptions'!$C$51)))</x:f>
        <x:v>0.06930004581109357</x:v>
      </x:c>
      <x:c r="L933" s="133" t="n">
        <x:f>(('Assumptions'!$B$17*(1+G933)+'Assumptions'!$B$18)*(1-H933-'Assumptions'!$B$20)-SUM('Assumptions'!$B$21:$B$25)*(1+I933))-(('Assumptions'!$B$17*(1+G933)+'Assumptions'!$B$18)*(1-H933-'Assumptions'!$B$20)*'Assumptions'!$B$26)</x:f>
        <x:v>204901.347874975</x:v>
      </x:c>
      <x:c r="M933" s="133" t="n">
        <x:f>'Assumptions'!$B$10*'Assumptions'!$B$33</x:f>
        <x:v>1950000</x:v>
      </x:c>
      <x:c r="N933" s="133" t="n">
        <x:f>-PMT(K933/12,'Assumptions'!$B$35*12,M933)*12</x:f>
        <x:v>154582.3383719125</x:v>
      </x:c>
      <x:c r="O933" s="133" t="n">
        <x:f>(L933*(1+'Assumptions'!$B$29)^('Assumptions'!$B$14/12)/J933)*(1-'Assumptions'!$B$42)-'Debt Schedule'!$F$9</x:f>
        <x:v>3731710.4529858427</x:v>
      </x:c>
      <x:c r="P933" s="132" t="n">
        <x:f>((O933+(L933-N933-'Assumptions'!$B$27-'Assumptions'!$B$28)*('Assumptions'!$B$14/12))/ABS('Monthly Cash Flow'!$S$5))^(1/('Assumptions'!$B$14/12))-1</x:f>
        <x:v>0.2392355724217874</x:v>
      </x:c>
      <x:c r="Q933" s="133" t="n">
        <x:f>-ABS('Monthly Cash Flow'!$S$5)+((L933-N933-'Assumptions'!$B$27-'Assumptions'!$B$28)*(1-(1+'Assumptions'!$B$43)^-('Assumptions'!$B$14/12))/'Assumptions'!$B$43)+(O933/(1+'Assumptions'!$B$43)^('Assumptions'!$B$14/12))</x:f>
        <x:v>1061715.7564392574</x:v>
      </x:c>
    </x:row>
    <x:row r="934">
      <x:c r="A934" s="131" t="n">
        <x:f>927</x:f>
        <x:v>927</x:v>
      </x:c>
      <x:c r="B934" s="131" t="n">
        <x:f>MOD(ABS(SIN((A934+1)*12.9898+78.233)*43758.5453),1)</x:f>
        <x:v>0.6635024221554886</x:v>
      </x:c>
      <x:c r="C934" s="131" t="n">
        <x:f>MOD(ABS(SIN((A934+2)*12.9898+78.233)*43758.5453),1)</x:f>
        <x:v>0.05803417615243234</x:v>
      </x:c>
      <x:c r="D934" s="131" t="n">
        <x:f>MOD(ABS(SIN((A934+3)*12.9898+78.233)*43758.5453),1)</x:f>
        <x:v>0.024219410432124278</x:v>
      </x:c>
      <x:c r="E934" s="131" t="n">
        <x:f>MOD(ABS(SIN((A934+4)*12.9898+78.233)*43758.5453),1)</x:f>
        <x:v>0.48781597603374394</x:v>
      </x:c>
      <x:c r="F934" s="131" t="n">
        <x:f>MOD(ABS(SIN((A934+5)*12.9898+78.233)*43758.5453),1)</x:f>
        <x:v>0.12813240900140954</x:v>
      </x:c>
      <x:c r="G934" s="132" t="n">
        <x:f>IF(B934&lt;(('Assumptions'!$C$47-'Assumptions'!$B$47)/('Assumptions'!$D$47-'Assumptions'!$B$47)),'Assumptions'!$B$47+SQRT(B934*('Assumptions'!$D$47-'Assumptions'!$B$47)*('Assumptions'!$C$47-'Assumptions'!$B$47)),'Assumptions'!$D$47-SQRT((1-B934)*('Assumptions'!$D$47-'Assumptions'!$B$47)*('Assumptions'!$D$47-'Assumptions'!$C$47)))</x:f>
        <x:v>0.02662451877151209</x:v>
      </x:c>
      <x:c r="H934" s="132" t="n">
        <x:f>IF(C934&lt;(('Assumptions'!$C$48-'Assumptions'!$B$48)/('Assumptions'!$D$48-'Assumptions'!$B$48)),'Assumptions'!$B$48+SQRT(C934*('Assumptions'!$D$48-'Assumptions'!$B$48)*('Assumptions'!$C$48-'Assumptions'!$B$48)),'Assumptions'!$D$48-SQRT((1-C934)*('Assumptions'!$D$48-'Assumptions'!$B$48)*('Assumptions'!$D$48-'Assumptions'!$C$48)))</x:f>
        <x:v>0.04383881430264265</x:v>
      </x:c>
      <x:c r="I934" s="132" t="n">
        <x:f>IF(D934&lt;(('Assumptions'!$C$49-'Assumptions'!$B$49)/('Assumptions'!$D$49-'Assumptions'!$B$49)),'Assumptions'!$B$49+SQRT(D934*('Assumptions'!$D$49-'Assumptions'!$B$49)*('Assumptions'!$C$49-'Assumptions'!$B$49)),'Assumptions'!$D$49-SQRT((1-D934)*('Assumptions'!$D$49-'Assumptions'!$B$49)*('Assumptions'!$D$49-'Assumptions'!$C$49)))</x:f>
        <x:v>-0.013826885498861321</x:v>
      </x:c>
      <x:c r="J934" s="132" t="n">
        <x:f>IF(E934&lt;(('Assumptions'!$C$50-'Assumptions'!$B$50)/('Assumptions'!$D$50-'Assumptions'!$B$50)),'Assumptions'!$B$50+SQRT(E934*('Assumptions'!$D$50-'Assumptions'!$B$50)*('Assumptions'!$C$50-'Assumptions'!$B$50)),'Assumptions'!$D$50-SQRT((1-E934)*('Assumptions'!$D$50-'Assumptions'!$B$50)*('Assumptions'!$D$50-'Assumptions'!$C$50)))</x:f>
        <x:v>0.06799784366288668</x:v>
      </x:c>
      <x:c r="K934" s="132" t="n">
        <x:f>IF(F934&lt;(('Assumptions'!$C$51-'Assumptions'!$B$51)/('Assumptions'!$D$51-'Assumptions'!$B$51)),'Assumptions'!$B$51+SQRT(F934*('Assumptions'!$D$51-'Assumptions'!$B$51)*('Assumptions'!$C$51-'Assumptions'!$B$51)),'Assumptions'!$D$51-SQRT((1-F934)*('Assumptions'!$D$51-'Assumptions'!$B$51)*('Assumptions'!$D$51-'Assumptions'!$C$51)))</x:f>
        <x:v>0.06343602665723358</x:v>
      </x:c>
      <x:c r="L934" s="133" t="n">
        <x:f>(('Assumptions'!$B$17*(1+G934)+'Assumptions'!$B$18)*(1-H934-'Assumptions'!$B$20)-SUM('Assumptions'!$B$21:$B$25)*(1+I934))-(('Assumptions'!$B$17*(1+G934)+'Assumptions'!$B$18)*(1-H934-'Assumptions'!$B$20)*'Assumptions'!$B$26)</x:f>
        <x:v>227791.19804653226</x:v>
      </x:c>
      <x:c r="M934" s="133" t="n">
        <x:f>'Assumptions'!$B$10*'Assumptions'!$B$33</x:f>
        <x:v>1950000</x:v>
      </x:c>
      <x:c r="N934" s="133" t="n">
        <x:f>-PMT(K934/12,'Assumptions'!$B$35*12,M934)*12</x:f>
        <x:v>145505.36959280714</x:v>
      </x:c>
      <x:c r="O934" s="133" t="n">
        <x:f>(L934*(1+'Assumptions'!$B$29)^('Assumptions'!$B$14/12)/J934)*(1-'Assumptions'!$B$42)-'Debt Schedule'!$F$9</x:f>
        <x:v>3650528.7677176744</x:v>
      </x:c>
      <x:c r="P934" s="132" t="n">
        <x:f>((O934+(L934-N934-'Assumptions'!$B$27-'Assumptions'!$B$28)*('Assumptions'!$B$14/12))/ABS('Monthly Cash Flow'!$S$5))^(1/('Assumptions'!$B$14/12))-1</x:f>
        <x:v>0.24434582872114974</x:v>
      </x:c>
      <x:c r="Q934" s="133" t="n">
        <x:f>-ABS('Monthly Cash Flow'!$S$5)+((L934-N934-'Assumptions'!$B$27-'Assumptions'!$B$28)*(1-(1+'Assumptions'!$B$43)^-('Assumptions'!$B$14/12))/'Assumptions'!$B$43)+(O934/(1+'Assumptions'!$B$43)^('Assumptions'!$B$14/12))</x:f>
        <x:v>1132487.7113526214</x:v>
      </x:c>
    </x:row>
    <x:row r="935">
      <x:c r="A935" s="131" t="n">
        <x:f>928</x:f>
        <x:v>928</x:v>
      </x:c>
      <x:c r="B935" s="131" t="n">
        <x:f>MOD(ABS(SIN((A935+1)*12.9898+78.233)*43758.5453),1)</x:f>
        <x:v>0.05803417615243234</x:v>
      </x:c>
      <x:c r="C935" s="131" t="n">
        <x:f>MOD(ABS(SIN((A935+2)*12.9898+78.233)*43758.5453),1)</x:f>
        <x:v>0.024219410432124278</x:v>
      </x:c>
      <x:c r="D935" s="131" t="n">
        <x:f>MOD(ABS(SIN((A935+3)*12.9898+78.233)*43758.5453),1)</x:f>
        <x:v>0.48781597603374394</x:v>
      </x:c>
      <x:c r="E935" s="131" t="n">
        <x:f>MOD(ABS(SIN((A935+4)*12.9898+78.233)*43758.5453),1)</x:f>
        <x:v>0.12813240900140954</x:v>
      </x:c>
      <x:c r="F935" s="131" t="n">
        <x:f>MOD(ABS(SIN((A935+5)*12.9898+78.233)*43758.5453),1)</x:f>
        <x:v>0.3887781663579517</x:v>
      </x:c>
      <x:c r="G935" s="132" t="n">
        <x:f>IF(B935&lt;(('Assumptions'!$C$47-'Assumptions'!$B$47)/('Assumptions'!$D$47-'Assumptions'!$B$47)),'Assumptions'!$B$47+SQRT(B935*('Assumptions'!$D$47-'Assumptions'!$B$47)*('Assumptions'!$C$47-'Assumptions'!$B$47)),'Assumptions'!$D$47-SQRT((1-B935)*('Assumptions'!$D$47-'Assumptions'!$B$47)*('Assumptions'!$D$47-'Assumptions'!$C$47)))</x:f>
        <x:v>-0.06267949320201592</x:v>
      </x:c>
      <x:c r="H935" s="132" t="n">
        <x:f>IF(C935&lt;(('Assumptions'!$C$48-'Assumptions'!$B$48)/('Assumptions'!$D$48-'Assumptions'!$B$48)),'Assumptions'!$B$48+SQRT(C935*('Assumptions'!$D$48-'Assumptions'!$B$48)*('Assumptions'!$C$48-'Assumptions'!$B$48)),'Assumptions'!$D$48-SQRT((1-C935)*('Assumptions'!$D$48-'Assumptions'!$B$48)*('Assumptions'!$D$48-'Assumptions'!$C$48)))</x:f>
        <x:v>0.03894002541528882</x:v>
      </x:c>
      <x:c r="I935" s="132" t="n">
        <x:f>IF(D935&lt;(('Assumptions'!$C$49-'Assumptions'!$B$49)/('Assumptions'!$D$49-'Assumptions'!$B$49)),'Assumptions'!$B$49+SQRT(D935*('Assumptions'!$D$49-'Assumptions'!$B$49)*('Assumptions'!$C$49-'Assumptions'!$B$49)),'Assumptions'!$D$49-SQRT((1-D935)*('Assumptions'!$D$49-'Assumptions'!$B$49)*('Assumptions'!$D$49-'Assumptions'!$C$49)))</x:f>
        <x:v>0.04481837176735126</x:v>
      </x:c>
      <x:c r="J935" s="132" t="n">
        <x:f>IF(E935&lt;(('Assumptions'!$C$50-'Assumptions'!$B$50)/('Assumptions'!$D$50-'Assumptions'!$B$50)),'Assumptions'!$B$50+SQRT(E935*('Assumptions'!$D$50-'Assumptions'!$B$50)*('Assumptions'!$C$50-'Assumptions'!$B$50)),'Assumptions'!$D$50-SQRT((1-E935)*('Assumptions'!$D$50-'Assumptions'!$B$50)*('Assumptions'!$D$50-'Assumptions'!$C$50)))</x:f>
        <x:v>0.06286933813661583</x:v>
      </x:c>
      <x:c r="K935" s="132" t="n">
        <x:f>IF(F935&lt;(('Assumptions'!$C$51-'Assumptions'!$B$51)/('Assumptions'!$D$51-'Assumptions'!$B$51)),'Assumptions'!$B$51+SQRT(F935*('Assumptions'!$D$51-'Assumptions'!$B$51)*('Assumptions'!$C$51-'Assumptions'!$B$51)),'Assumptions'!$D$51-SQRT((1-F935)*('Assumptions'!$D$51-'Assumptions'!$B$51)*('Assumptions'!$D$51-'Assumptions'!$C$51)))</x:f>
        <x:v>0.06784918347599055</x:v>
      </x:c>
      <x:c r="L935" s="133" t="n">
        <x:f>(('Assumptions'!$B$17*(1+G935)+'Assumptions'!$B$18)*(1-H935-'Assumptions'!$B$20)-SUM('Assumptions'!$B$21:$B$25)*(1+I935))-(('Assumptions'!$B$17*(1+G935)+'Assumptions'!$B$18)*(1-H935-'Assumptions'!$B$20)*'Assumptions'!$B$26)</x:f>
        <x:v>192871.636322253</x:v>
      </x:c>
      <x:c r="M935" s="133" t="n">
        <x:f>'Assumptions'!$B$10*'Assumptions'!$B$33</x:f>
        <x:v>1950000</x:v>
      </x:c>
      <x:c r="N935" s="133" t="n">
        <x:f>-PMT(K935/12,'Assumptions'!$B$35*12,M935)*12</x:f>
        <x:v>152315.48950005692</x:v>
      </x:c>
      <x:c r="O935" s="133" t="n">
        <x:f>(L935*(1+'Assumptions'!$B$29)^('Assumptions'!$B$14/12)/J935)*(1-'Assumptions'!$B$42)-'Debt Schedule'!$F$9</x:f>
        <x:v>3343054.478164214</x:v>
      </x:c>
      <x:c r="P935" s="132" t="n">
        <x:f>((O935+(L935-N935-'Assumptions'!$B$27-'Assumptions'!$B$28)*('Assumptions'!$B$14/12))/ABS('Monthly Cash Flow'!$S$5))^(1/('Assumptions'!$B$14/12))-1</x:f>
        <x:v>0.20915088628161427</x:v>
      </x:c>
      <x:c r="Q935" s="133" t="n">
        <x:f>-ABS('Monthly Cash Flow'!$S$5)+((L935-N935-'Assumptions'!$B$27-'Assumptions'!$B$28)*(1-(1+'Assumptions'!$B$43)^-('Assumptions'!$B$14/12))/'Assumptions'!$B$43)+(O935/(1+'Assumptions'!$B$43)^('Assumptions'!$B$14/12))</x:f>
        <x:v>783382.0436559862</x:v>
      </x:c>
    </x:row>
    <x:row r="936">
      <x:c r="A936" s="131" t="n">
        <x:f>929</x:f>
        <x:v>929</x:v>
      </x:c>
      <x:c r="B936" s="131" t="n">
        <x:f>MOD(ABS(SIN((A936+1)*12.9898+78.233)*43758.5453),1)</x:f>
        <x:v>0.024219410432124278</x:v>
      </x:c>
      <x:c r="C936" s="131" t="n">
        <x:f>MOD(ABS(SIN((A936+2)*12.9898+78.233)*43758.5453),1)</x:f>
        <x:v>0.48781597603374394</x:v>
      </x:c>
      <x:c r="D936" s="131" t="n">
        <x:f>MOD(ABS(SIN((A936+3)*12.9898+78.233)*43758.5453),1)</x:f>
        <x:v>0.12813240900140954</x:v>
      </x:c>
      <x:c r="E936" s="131" t="n">
        <x:f>MOD(ABS(SIN((A936+4)*12.9898+78.233)*43758.5453),1)</x:f>
        <x:v>0.3887781663579517</x:v>
      </x:c>
      <x:c r="F936" s="131" t="n">
        <x:f>MOD(ABS(SIN((A936+5)*12.9898+78.233)*43758.5453),1)</x:f>
        <x:v>0.47769620361577836</x:v>
      </x:c>
      <x:c r="G936" s="132" t="n">
        <x:f>IF(B936&lt;(('Assumptions'!$C$47-'Assumptions'!$B$47)/('Assumptions'!$D$47-'Assumptions'!$B$47)),'Assumptions'!$B$47+SQRT(B936*('Assumptions'!$D$47-'Assumptions'!$B$47)*('Assumptions'!$C$47-'Assumptions'!$B$47)),'Assumptions'!$D$47-SQRT((1-B936)*('Assumptions'!$D$47-'Assumptions'!$B$47)*('Assumptions'!$D$47-'Assumptions'!$C$47)))</x:f>
        <x:v>-0.07589054437837754</x:v>
      </x:c>
      <x:c r="H936" s="132" t="n">
        <x:f>IF(C936&lt;(('Assumptions'!$C$48-'Assumptions'!$B$48)/('Assumptions'!$D$48-'Assumptions'!$B$48)),'Assumptions'!$B$48+SQRT(C936*('Assumptions'!$D$48-'Assumptions'!$B$48)*('Assumptions'!$C$48-'Assumptions'!$B$48)),'Assumptions'!$D$48-SQRT((1-C936)*('Assumptions'!$D$48-'Assumptions'!$B$48)*('Assumptions'!$D$48-'Assumptions'!$C$48)))</x:f>
        <x:v>0.07286417192807515</x:v>
      </x:c>
      <x:c r="I936" s="132" t="n">
        <x:f>IF(D936&lt;(('Assumptions'!$C$49-'Assumptions'!$B$49)/('Assumptions'!$D$49-'Assumptions'!$B$49)),'Assumptions'!$B$49+SQRT(D936*('Assumptions'!$D$49-'Assumptions'!$B$49)*('Assumptions'!$C$49-'Assumptions'!$B$49)),'Assumptions'!$D$49-SQRT((1-D936)*('Assumptions'!$D$49-'Assumptions'!$B$49)*('Assumptions'!$D$49-'Assumptions'!$C$49)))</x:f>
        <x:v>0.007199865822543269</x:v>
      </x:c>
      <x:c r="J936" s="132" t="n">
        <x:f>IF(E936&lt;(('Assumptions'!$C$50-'Assumptions'!$B$50)/('Assumptions'!$D$50-'Assumptions'!$B$50)),'Assumptions'!$B$50+SQRT(E936*('Assumptions'!$D$50-'Assumptions'!$B$50)*('Assumptions'!$C$50-'Assumptions'!$B$50)),'Assumptions'!$D$50-SQRT((1-E936)*('Assumptions'!$D$50-'Assumptions'!$B$50)*('Assumptions'!$D$50-'Assumptions'!$C$50)))</x:f>
        <x:v>0.0668528117392867</x:v>
      </x:c>
      <x:c r="K936" s="132" t="n">
        <x:f>IF(F936&lt;(('Assumptions'!$C$51-'Assumptions'!$B$51)/('Assumptions'!$D$51-'Assumptions'!$B$51)),'Assumptions'!$B$51+SQRT(F936*('Assumptions'!$D$51-'Assumptions'!$B$51)*('Assumptions'!$C$51-'Assumptions'!$B$51)),'Assumptions'!$D$51-SQRT((1-F936)*('Assumptions'!$D$51-'Assumptions'!$B$51)*('Assumptions'!$D$51-'Assumptions'!$C$51)))</x:f>
        <x:v>0.06914570398882668</x:v>
      </x:c>
      <x:c r="L936" s="133" t="n">
        <x:f>(('Assumptions'!$B$17*(1+G936)+'Assumptions'!$B$18)*(1-H936-'Assumptions'!$B$20)-SUM('Assumptions'!$B$21:$B$25)*(1+I936))-(('Assumptions'!$B$17*(1+G936)+'Assumptions'!$B$18)*(1-H936-'Assumptions'!$B$20)*'Assumptions'!$B$26)</x:f>
        <x:v>181848.636679597</x:v>
      </x:c>
      <x:c r="M936" s="133" t="n">
        <x:f>'Assumptions'!$B$10*'Assumptions'!$B$33</x:f>
        <x:v>1950000</x:v>
      </x:c>
      <x:c r="N936" s="133" t="n">
        <x:f>-PMT(K936/12,'Assumptions'!$B$35*12,M936)*12</x:f>
        <x:v>154340.54874566587</x:v>
      </x:c>
      <x:c r="O936" s="133" t="n">
        <x:f>(L936*(1+'Assumptions'!$B$29)^('Assumptions'!$B$14/12)/J936)*(1-'Assumptions'!$B$42)-'Debt Schedule'!$F$9</x:f>
        <x:v>2964178.47203331</x:v>
      </x:c>
      <x:c r="P936" s="132" t="n">
        <x:f>((O936+(L936-N936-'Assumptions'!$B$27-'Assumptions'!$B$28)*('Assumptions'!$B$14/12))/ABS('Monthly Cash Flow'!$S$5))^(1/('Assumptions'!$B$14/12))-1</x:f>
        <x:v>0.17519695387962386</x:v>
      </x:c>
      <x:c r="Q936" s="133" t="n">
        <x:f>-ABS('Monthly Cash Flow'!$S$5)+((L936-N936-'Assumptions'!$B$27-'Assumptions'!$B$28)*(1-(1+'Assumptions'!$B$43)^-('Assumptions'!$B$14/12))/'Assumptions'!$B$43)+(O936/(1+'Assumptions'!$B$43)^('Assumptions'!$B$14/12))</x:f>
        <x:v>498667.44365371973</x:v>
      </x:c>
    </x:row>
    <x:row r="937">
      <x:c r="A937" s="131" t="n">
        <x:f>930</x:f>
        <x:v>930</x:v>
      </x:c>
      <x:c r="B937" s="131" t="n">
        <x:f>MOD(ABS(SIN((A937+1)*12.9898+78.233)*43758.5453),1)</x:f>
        <x:v>0.48781597603374394</x:v>
      </x:c>
      <x:c r="C937" s="131" t="n">
        <x:f>MOD(ABS(SIN((A937+2)*12.9898+78.233)*43758.5453),1)</x:f>
        <x:v>0.12813240900140954</x:v>
      </x:c>
      <x:c r="D937" s="131" t="n">
        <x:f>MOD(ABS(SIN((A937+3)*12.9898+78.233)*43758.5453),1)</x:f>
        <x:v>0.3887781663579517</x:v>
      </x:c>
      <x:c r="E937" s="131" t="n">
        <x:f>MOD(ABS(SIN((A937+4)*12.9898+78.233)*43758.5453),1)</x:f>
        <x:v>0.47769620361577836</x:v>
      </x:c>
      <x:c r="F937" s="131" t="n">
        <x:f>MOD(ABS(SIN((A937+5)*12.9898+78.233)*43758.5453),1)</x:f>
        <x:v>0.6626923068652104</x:v>
      </x:c>
      <x:c r="G937" s="132" t="n">
        <x:f>IF(B937&lt;(('Assumptions'!$C$47-'Assumptions'!$B$47)/('Assumptions'!$D$47-'Assumptions'!$B$47)),'Assumptions'!$B$47+SQRT(B937*('Assumptions'!$D$47-'Assumptions'!$B$47)*('Assumptions'!$C$47-'Assumptions'!$B$47)),'Assumptions'!$D$47-SQRT((1-B937)*('Assumptions'!$D$47-'Assumptions'!$B$47)*('Assumptions'!$D$47-'Assumptions'!$C$47)))</x:f>
        <x:v>0.008201586979165218</x:v>
      </x:c>
      <x:c r="H937" s="132" t="n">
        <x:f>IF(C937&lt;(('Assumptions'!$C$48-'Assumptions'!$B$48)/('Assumptions'!$D$48-'Assumptions'!$B$48)),'Assumptions'!$B$48+SQRT(C937*('Assumptions'!$D$48-'Assumptions'!$B$48)*('Assumptions'!$C$48-'Assumptions'!$B$48)),'Assumptions'!$D$48-SQRT((1-C937)*('Assumptions'!$D$48-'Assumptions'!$B$48)*('Assumptions'!$D$48-'Assumptions'!$C$48)))</x:f>
        <x:v>0.0505629995308236</x:v>
      </x:c>
      <x:c r="I937" s="132" t="n">
        <x:f>IF(D937&lt;(('Assumptions'!$C$49-'Assumptions'!$B$49)/('Assumptions'!$D$49-'Assumptions'!$B$49)),'Assumptions'!$B$49+SQRT(D937*('Assumptions'!$D$49-'Assumptions'!$B$49)*('Assumptions'!$C$49-'Assumptions'!$B$49)),'Assumptions'!$D$49-SQRT((1-D937)*('Assumptions'!$D$49-'Assumptions'!$B$49)*('Assumptions'!$D$49-'Assumptions'!$C$49)))</x:f>
        <x:v>0.03509833940856971</x:v>
      </x:c>
      <x:c r="J937" s="132" t="n">
        <x:f>IF(E937&lt;(('Assumptions'!$C$50-'Assumptions'!$B$50)/('Assumptions'!$D$50-'Assumptions'!$B$50)),'Assumptions'!$B$50+SQRT(E937*('Assumptions'!$D$50-'Assumptions'!$B$50)*('Assumptions'!$C$50-'Assumptions'!$B$50)),'Assumptions'!$D$50-SQRT((1-E937)*('Assumptions'!$D$50-'Assumptions'!$B$50)*('Assumptions'!$D$50-'Assumptions'!$C$50)))</x:f>
        <x:v>0.06787985384852714</x:v>
      </x:c>
      <x:c r="K937" s="132" t="n">
        <x:f>IF(F937&lt;(('Assumptions'!$C$51-'Assumptions'!$B$51)/('Assumptions'!$D$51-'Assumptions'!$B$51)),'Assumptions'!$B$51+SQRT(F937*('Assumptions'!$D$51-'Assumptions'!$B$51)*('Assumptions'!$C$51-'Assumptions'!$B$51)),'Assumptions'!$D$51-SQRT((1-F937)*('Assumptions'!$D$51-'Assumptions'!$B$51)*('Assumptions'!$D$51-'Assumptions'!$C$51)))</x:f>
        <x:v>0.07225914730792647</x:v>
      </x:c>
      <x:c r="L937" s="133" t="n">
        <x:f>(('Assumptions'!$B$17*(1+G937)+'Assumptions'!$B$18)*(1-H937-'Assumptions'!$B$20)-SUM('Assumptions'!$B$21:$B$25)*(1+I937))-(('Assumptions'!$B$17*(1+G937)+'Assumptions'!$B$18)*(1-H937-'Assumptions'!$B$20)*'Assumptions'!$B$26)</x:f>
        <x:v>213143.3125127614</x:v>
      </x:c>
      <x:c r="M937" s="133" t="n">
        <x:f>'Assumptions'!$B$10*'Assumptions'!$B$33</x:f>
        <x:v>1950000</x:v>
      </x:c>
      <x:c r="N937" s="133" t="n">
        <x:f>-PMT(K937/12,'Assumptions'!$B$35*12,M937)*12</x:f>
        <x:v>159247.1566904374</x:v>
      </x:c>
      <x:c r="O937" s="133" t="n">
        <x:f>(L937*(1+'Assumptions'!$B$29)^('Assumptions'!$B$14/12)/J937)*(1-'Assumptions'!$B$42)-'Debt Schedule'!$F$9</x:f>
        <x:v>3421722.5312001575</x:v>
      </x:c>
      <x:c r="P937" s="132" t="n">
        <x:f>((O937+(L937-N937-'Assumptions'!$B$27-'Assumptions'!$B$28)*('Assumptions'!$B$14/12))/ABS('Monthly Cash Flow'!$S$5))^(1/('Assumptions'!$B$14/12))-1</x:f>
        <x:v>0.21947981775051506</x:v>
      </x:c>
      <x:c r="Q937" s="133" t="n">
        <x:f>-ABS('Monthly Cash Flow'!$S$5)+((L937-N937-'Assumptions'!$B$27-'Assumptions'!$B$28)*(1-(1+'Assumptions'!$B$43)^-('Assumptions'!$B$14/12))/'Assumptions'!$B$43)+(O937/(1+'Assumptions'!$B$43)^('Assumptions'!$B$14/12))</x:f>
        <x:v>882797.8448510263</x:v>
      </x:c>
    </x:row>
    <x:row r="938">
      <x:c r="A938" s="131" t="n">
        <x:f>931</x:f>
        <x:v>931</x:v>
      </x:c>
      <x:c r="B938" s="131" t="n">
        <x:f>MOD(ABS(SIN((A938+1)*12.9898+78.233)*43758.5453),1)</x:f>
        <x:v>0.12813240900140954</x:v>
      </x:c>
      <x:c r="C938" s="131" t="n">
        <x:f>MOD(ABS(SIN((A938+2)*12.9898+78.233)*43758.5453),1)</x:f>
        <x:v>0.3887781663579517</x:v>
      </x:c>
      <x:c r="D938" s="131" t="n">
        <x:f>MOD(ABS(SIN((A938+3)*12.9898+78.233)*43758.5453),1)</x:f>
        <x:v>0.47769620361577836</x:v>
      </x:c>
      <x:c r="E938" s="131" t="n">
        <x:f>MOD(ABS(SIN((A938+4)*12.9898+78.233)*43758.5453),1)</x:f>
        <x:v>0.6626923068652104</x:v>
      </x:c>
      <x:c r="F938" s="131" t="n">
        <x:f>MOD(ABS(SIN((A938+5)*12.9898+78.233)*43758.5453),1)</x:f>
        <x:v>0.9887810612926842</x:v>
      </x:c>
      <x:c r="G938" s="132" t="n">
        <x:f>IF(B938&lt;(('Assumptions'!$C$47-'Assumptions'!$B$47)/('Assumptions'!$D$47-'Assumptions'!$B$47)),'Assumptions'!$B$47+SQRT(B938*('Assumptions'!$D$47-'Assumptions'!$B$47)*('Assumptions'!$C$47-'Assumptions'!$B$47)),'Assumptions'!$D$47-SQRT((1-B938)*('Assumptions'!$D$47-'Assumptions'!$B$47)*('Assumptions'!$D$47-'Assumptions'!$C$47)))</x:f>
        <x:v>-0.04454571417794807</x:v>
      </x:c>
      <x:c r="H938" s="132" t="n">
        <x:f>IF(C938&lt;(('Assumptions'!$C$48-'Assumptions'!$B$48)/('Assumptions'!$D$48-'Assumptions'!$B$48)),'Assumptions'!$B$48+SQRT(C938*('Assumptions'!$D$48-'Assumptions'!$B$48)*('Assumptions'!$C$48-'Assumptions'!$B$48)),'Assumptions'!$D$48-SQRT((1-C938)*('Assumptions'!$D$48-'Assumptions'!$B$48)*('Assumptions'!$D$48-'Assumptions'!$C$48)))</x:f>
        <x:v>0.06666002361569766</x:v>
      </x:c>
      <x:c r="I938" s="132" t="n">
        <x:f>IF(D938&lt;(('Assumptions'!$C$49-'Assumptions'!$B$49)/('Assumptions'!$D$49-'Assumptions'!$B$49)),'Assumptions'!$B$49+SQRT(D938*('Assumptions'!$D$49-'Assumptions'!$B$49)*('Assumptions'!$C$49-'Assumptions'!$B$49)),'Assumptions'!$D$49-SQRT((1-D938)*('Assumptions'!$D$49-'Assumptions'!$B$49)*('Assumptions'!$D$49-'Assumptions'!$C$49)))</x:f>
        <x:v>0.043784360841262235</x:v>
      </x:c>
      <x:c r="J938" s="132" t="n">
        <x:f>IF(E938&lt;(('Assumptions'!$C$50-'Assumptions'!$B$50)/('Assumptions'!$D$50-'Assumptions'!$B$50)),'Assumptions'!$B$50+SQRT(E938*('Assumptions'!$D$50-'Assumptions'!$B$50)*('Assumptions'!$C$50-'Assumptions'!$B$50)),'Assumptions'!$D$50-SQRT((1-E938)*('Assumptions'!$D$50-'Assumptions'!$B$50)*('Assumptions'!$D$50-'Assumptions'!$C$50)))</x:f>
        <x:v>0.07025999031344632</x:v>
      </x:c>
      <x:c r="K938" s="132" t="n">
        <x:f>IF(F938&lt;(('Assumptions'!$C$51-'Assumptions'!$B$51)/('Assumptions'!$D$51-'Assumptions'!$B$51)),'Assumptions'!$B$51+SQRT(F938*('Assumptions'!$D$51-'Assumptions'!$B$51)*('Assumptions'!$C$51-'Assumptions'!$B$51)),'Assumptions'!$D$51-SQRT((1-F938)*('Assumptions'!$D$51-'Assumptions'!$B$51)*('Assumptions'!$D$51-'Assumptions'!$C$51)))</x:f>
        <x:v>0.0826764005825238</x:v>
      </x:c>
      <x:c r="L938" s="133" t="n">
        <x:f>(('Assumptions'!$B$17*(1+G938)+'Assumptions'!$B$18)*(1-H938-'Assumptions'!$B$20)-SUM('Assumptions'!$B$21:$B$25)*(1+I938))-(('Assumptions'!$B$17*(1+G938)+'Assumptions'!$B$18)*(1-H938-'Assumptions'!$B$20)*'Assumptions'!$B$26)</x:f>
        <x:v>189329.96331753477</x:v>
      </x:c>
      <x:c r="M938" s="133" t="n">
        <x:f>'Assumptions'!$B$10*'Assumptions'!$B$33</x:f>
        <x:v>1950000</x:v>
      </x:c>
      <x:c r="N938" s="133" t="n">
        <x:f>-PMT(K938/12,'Assumptions'!$B$35*12,M938)*12</x:f>
        <x:v>176086.65643661685</x:v>
      </x:c>
      <x:c r="O938" s="133" t="n">
        <x:f>(L938*(1+'Assumptions'!$B$29)^('Assumptions'!$B$14/12)/J938)*(1-'Assumptions'!$B$42)-'Debt Schedule'!$F$9</x:f>
        <x:v>2936467.795740247</x:v>
      </x:c>
      <x:c r="P938" s="132" t="n">
        <x:f>((O938+(L938-N938-'Assumptions'!$B$27-'Assumptions'!$B$28)*('Assumptions'!$B$14/12))/ABS('Monthly Cash Flow'!$S$5))^(1/('Assumptions'!$B$14/12))-1</x:f>
        <x:v>0.16706333726825884</x:v>
      </x:c>
      <x:c r="Q938" s="133" t="n">
        <x:f>-ABS('Monthly Cash Flow'!$S$5)+((L938-N938-'Assumptions'!$B$27-'Assumptions'!$B$28)*(1-(1+'Assumptions'!$B$43)^-('Assumptions'!$B$14/12))/'Assumptions'!$B$43)+(O938/(1+'Assumptions'!$B$43)^('Assumptions'!$B$14/12))</x:f>
        <x:v>427386.550582696</x:v>
      </x:c>
    </x:row>
    <x:row r="939">
      <x:c r="A939" s="131" t="n">
        <x:f>932</x:f>
        <x:v>932</x:v>
      </x:c>
      <x:c r="B939" s="131" t="n">
        <x:f>MOD(ABS(SIN((A939+1)*12.9898+78.233)*43758.5453),1)</x:f>
        <x:v>0.3887781663579517</x:v>
      </x:c>
      <x:c r="C939" s="131" t="n">
        <x:f>MOD(ABS(SIN((A939+2)*12.9898+78.233)*43758.5453),1)</x:f>
        <x:v>0.47769620361577836</x:v>
      </x:c>
      <x:c r="D939" s="131" t="n">
        <x:f>MOD(ABS(SIN((A939+3)*12.9898+78.233)*43758.5453),1)</x:f>
        <x:v>0.6626923068652104</x:v>
      </x:c>
      <x:c r="E939" s="131" t="n">
        <x:f>MOD(ABS(SIN((A939+4)*12.9898+78.233)*43758.5453),1)</x:f>
        <x:v>0.9887810612926842</x:v>
      </x:c>
      <x:c r="F939" s="131" t="n">
        <x:f>MOD(ABS(SIN((A939+5)*12.9898+78.233)*43758.5453),1)</x:f>
        <x:v>0.5565654531528708</x:v>
      </x:c>
      <x:c r="G939" s="132" t="n">
        <x:f>IF(B939&lt;(('Assumptions'!$C$47-'Assumptions'!$B$47)/('Assumptions'!$D$47-'Assumptions'!$B$47)),'Assumptions'!$B$47+SQRT(B939*('Assumptions'!$D$47-'Assumptions'!$B$47)*('Assumptions'!$C$47-'Assumptions'!$B$47)),'Assumptions'!$D$47-SQRT((1-B939)*('Assumptions'!$D$47-'Assumptions'!$B$47)*('Assumptions'!$D$47-'Assumptions'!$C$47)))</x:f>
        <x:v>-0.0034045757160783424</x:v>
      </x:c>
      <x:c r="H939" s="132" t="n">
        <x:f>IF(C939&lt;(('Assumptions'!$C$48-'Assumptions'!$B$48)/('Assumptions'!$D$48-'Assumptions'!$B$48)),'Assumptions'!$B$48+SQRT(C939*('Assumptions'!$D$48-'Assumptions'!$B$48)*('Assumptions'!$C$48-'Assumptions'!$B$48)),'Assumptions'!$D$48-SQRT((1-C939)*('Assumptions'!$D$48-'Assumptions'!$B$48)*('Assumptions'!$D$48-'Assumptions'!$C$48)))</x:f>
        <x:v>0.0722041785345059</x:v>
      </x:c>
      <x:c r="I939" s="132" t="n">
        <x:f>IF(D939&lt;(('Assumptions'!$C$49-'Assumptions'!$B$49)/('Assumptions'!$D$49-'Assumptions'!$B$49)),'Assumptions'!$B$49+SQRT(D939*('Assumptions'!$D$49-'Assumptions'!$B$49)*('Assumptions'!$C$49-'Assumptions'!$B$49)),'Assumptions'!$D$49-SQRT((1-D939)*('Assumptions'!$D$49-'Assumptions'!$B$49)*('Assumptions'!$D$49-'Assumptions'!$C$49)))</x:f>
        <x:v>0.06464283174969161</x:v>
      </x:c>
      <x:c r="J939" s="132" t="n">
        <x:f>IF(E939&lt;(('Assumptions'!$C$50-'Assumptions'!$B$50)/('Assumptions'!$D$50-'Assumptions'!$B$50)),'Assumptions'!$B$50+SQRT(E939*('Assumptions'!$D$50-'Assumptions'!$B$50)*('Assumptions'!$C$50-'Assumptions'!$B$50)),'Assumptions'!$D$50-SQRT((1-E939)*('Assumptions'!$D$50-'Assumptions'!$B$50)*('Assumptions'!$D$50-'Assumptions'!$C$50)))</x:f>
        <x:v>0.07822367612428573</x:v>
      </x:c>
      <x:c r="K939" s="132" t="n">
        <x:f>IF(F939&lt;(('Assumptions'!$C$51-'Assumptions'!$B$51)/('Assumptions'!$D$51-'Assumptions'!$B$51)),'Assumptions'!$B$51+SQRT(F939*('Assumptions'!$D$51-'Assumptions'!$B$51)*('Assumptions'!$C$51-'Assumptions'!$B$51)),'Assumptions'!$D$51-SQRT((1-F939)*('Assumptions'!$D$51-'Assumptions'!$B$51)*('Assumptions'!$D$51-'Assumptions'!$C$51)))</x:f>
        <x:v>0.07039168470801027</x:v>
      </x:c>
      <x:c r="L939" s="133" t="n">
        <x:f>(('Assumptions'!$B$17*(1+G939)+'Assumptions'!$B$18)*(1-H939-'Assumptions'!$B$20)-SUM('Assumptions'!$B$21:$B$25)*(1+I939))-(('Assumptions'!$B$17*(1+G939)+'Assumptions'!$B$18)*(1-H939-'Assumptions'!$B$20)*'Assumptions'!$B$26)</x:f>
        <x:v>197824.8527184202</x:v>
      </x:c>
      <x:c r="M939" s="133" t="n">
        <x:f>'Assumptions'!$B$10*'Assumptions'!$B$33</x:f>
        <x:v>1950000</x:v>
      </x:c>
      <x:c r="N939" s="133" t="n">
        <x:f>-PMT(K939/12,'Assumptions'!$B$35*12,M939)*12</x:f>
        <x:v>156296.8162614226</x:v>
      </x:c>
      <x:c r="O939" s="133" t="n">
        <x:f>(L939*(1+'Assumptions'!$B$29)^('Assumptions'!$B$14/12)/J939)*(1-'Assumptions'!$B$42)-'Debt Schedule'!$F$9</x:f>
        <x:v>2755856.542533823</x:v>
      </x:c>
      <x:c r="P939" s="132" t="n">
        <x:f>((O939+(L939-N939-'Assumptions'!$B$27-'Assumptions'!$B$28)*('Assumptions'!$B$14/12))/ABS('Monthly Cash Flow'!$S$5))^(1/('Assumptions'!$B$14/12))-1</x:f>
        <x:v>0.1637813143452429</x:v>
      </x:c>
      <x:c r="Q939" s="133" t="n">
        <x:f>-ABS('Monthly Cash Flow'!$S$5)+((L939-N939-'Assumptions'!$B$27-'Assumptions'!$B$28)*(1-(1+'Assumptions'!$B$43)^-('Assumptions'!$B$14/12))/'Assumptions'!$B$43)+(O939/(1+'Assumptions'!$B$43)^('Assumptions'!$B$14/12))</x:f>
        <x:v>422462.5509356898</x:v>
      </x:c>
    </x:row>
    <x:row r="940">
      <x:c r="A940" s="131" t="n">
        <x:f>933</x:f>
        <x:v>933</x:v>
      </x:c>
      <x:c r="B940" s="131" t="n">
        <x:f>MOD(ABS(SIN((A940+1)*12.9898+78.233)*43758.5453),1)</x:f>
        <x:v>0.47769620361577836</x:v>
      </x:c>
      <x:c r="C940" s="131" t="n">
        <x:f>MOD(ABS(SIN((A940+2)*12.9898+78.233)*43758.5453),1)</x:f>
        <x:v>0.6626923068652104</x:v>
      </x:c>
      <x:c r="D940" s="131" t="n">
        <x:f>MOD(ABS(SIN((A940+3)*12.9898+78.233)*43758.5453),1)</x:f>
        <x:v>0.9887810612926842</x:v>
      </x:c>
      <x:c r="E940" s="131" t="n">
        <x:f>MOD(ABS(SIN((A940+4)*12.9898+78.233)*43758.5453),1)</x:f>
        <x:v>0.5565654531528708</x:v>
      </x:c>
      <x:c r="F940" s="131" t="n">
        <x:f>MOD(ABS(SIN((A940+5)*12.9898+78.233)*43758.5453),1)</x:f>
        <x:v>0.7699671883747214</x:v>
      </x:c>
      <x:c r="G940" s="132" t="n">
        <x:f>IF(B940&lt;(('Assumptions'!$C$47-'Assumptions'!$B$47)/('Assumptions'!$D$47-'Assumptions'!$B$47)),'Assumptions'!$B$47+SQRT(B940*('Assumptions'!$D$47-'Assumptions'!$B$47)*('Assumptions'!$C$47-'Assumptions'!$B$47)),'Assumptions'!$D$47-SQRT((1-B940)*('Assumptions'!$D$47-'Assumptions'!$B$47)*('Assumptions'!$D$47-'Assumptions'!$C$47)))</x:f>
        <x:v>0.007073380850604882</x:v>
      </x:c>
      <x:c r="H940" s="132" t="n">
        <x:f>IF(C940&lt;(('Assumptions'!$C$48-'Assumptions'!$B$48)/('Assumptions'!$D$48-'Assumptions'!$B$48)),'Assumptions'!$B$48+SQRT(C940*('Assumptions'!$D$48-'Assumptions'!$B$48)*('Assumptions'!$C$48-'Assumptions'!$B$48)),'Assumptions'!$D$48-SQRT((1-C940)*('Assumptions'!$D$48-'Assumptions'!$B$48)*('Assumptions'!$D$48-'Assumptions'!$C$48)))</x:f>
        <x:v>0.08551782218389073</x:v>
      </x:c>
      <x:c r="I940" s="132" t="n">
        <x:f>IF(D940&lt;(('Assumptions'!$C$49-'Assumptions'!$B$49)/('Assumptions'!$D$49-'Assumptions'!$B$49)),'Assumptions'!$B$49+SQRT(D940*('Assumptions'!$D$49-'Assumptions'!$B$49)*('Assumptions'!$C$49-'Assumptions'!$B$49)),'Assumptions'!$D$49-SQRT((1-D940)*('Assumptions'!$D$49-'Assumptions'!$B$49)*('Assumptions'!$D$49-'Assumptions'!$C$49)))</x:f>
        <x:v>0.13443307750138062</x:v>
      </x:c>
      <x:c r="J940" s="132" t="n">
        <x:f>IF(E940&lt;(('Assumptions'!$C$50-'Assumptions'!$B$50)/('Assumptions'!$D$50-'Assumptions'!$B$50)),'Assumptions'!$B$50+SQRT(E940*('Assumptions'!$D$50-'Assumptions'!$B$50)*('Assumptions'!$C$50-'Assumptions'!$B$50)),'Assumptions'!$D$50-SQRT((1-E940)*('Assumptions'!$D$50-'Assumptions'!$B$50)*('Assumptions'!$D$50-'Assumptions'!$C$50)))</x:f>
        <x:v>0.06883236970970318</x:v>
      </x:c>
      <x:c r="K940" s="132" t="n">
        <x:f>IF(F940&lt;(('Assumptions'!$C$51-'Assumptions'!$B$51)/('Assumptions'!$D$51-'Assumptions'!$B$51)),'Assumptions'!$B$51+SQRT(F940*('Assumptions'!$D$51-'Assumptions'!$B$51)*('Assumptions'!$C$51-'Assumptions'!$B$51)),'Assumptions'!$D$51-SQRT((1-F940)*('Assumptions'!$D$51-'Assumptions'!$B$51)*('Assumptions'!$D$51-'Assumptions'!$C$51)))</x:f>
        <x:v>0.07447843687493796</x:v>
      </x:c>
      <x:c r="L940" s="133" t="n">
        <x:f>(('Assumptions'!$B$17*(1+G940)+'Assumptions'!$B$18)*(1-H940-'Assumptions'!$B$20)-SUM('Assumptions'!$B$21:$B$25)*(1+I940))-(('Assumptions'!$B$17*(1+G940)+'Assumptions'!$B$18)*(1-H940-'Assumptions'!$B$20)*'Assumptions'!$B$26)</x:f>
        <x:v>187490.9862550014</x:v>
      </x:c>
      <x:c r="M940" s="133" t="n">
        <x:f>'Assumptions'!$B$10*'Assumptions'!$B$33</x:f>
        <x:v>1950000</x:v>
      </x:c>
      <x:c r="N940" s="133" t="n">
        <x:f>-PMT(K940/12,'Assumptions'!$B$35*12,M940)*12</x:f>
        <x:v>162781.29795467103</x:v>
      </x:c>
      <x:c r="O940" s="133" t="n">
        <x:f>(L940*(1+'Assumptions'!$B$29)^('Assumptions'!$B$14/12)/J940)*(1-'Assumptions'!$B$42)-'Debt Schedule'!$F$9</x:f>
        <x:v>2968258.0161080463</x:v>
      </x:c>
      <x:c r="P940" s="132" t="n">
        <x:f>((O940+(L940-N940-'Assumptions'!$B$27-'Assumptions'!$B$28)*('Assumptions'!$B$14/12))/ABS('Monthly Cash Flow'!$S$5))^(1/('Assumptions'!$B$14/12))-1</x:f>
        <x:v>0.1743929451856039</x:v>
      </x:c>
      <x:c r="Q940" s="133" t="n">
        <x:f>-ABS('Monthly Cash Flow'!$S$5)+((L940-N940-'Assumptions'!$B$27-'Assumptions'!$B$28)*(1-(1+'Assumptions'!$B$43)^-('Assumptions'!$B$14/12))/'Assumptions'!$B$43)+(O940/(1+'Assumptions'!$B$43)^('Assumptions'!$B$14/12))</x:f>
        <x:v>490592.3832515115</x:v>
      </x:c>
    </x:row>
    <x:row r="941">
      <x:c r="A941" s="131" t="n">
        <x:f>934</x:f>
        <x:v>934</x:v>
      </x:c>
      <x:c r="B941" s="131" t="n">
        <x:f>MOD(ABS(SIN((A941+1)*12.9898+78.233)*43758.5453),1)</x:f>
        <x:v>0.6626923068652104</x:v>
      </x:c>
      <x:c r="C941" s="131" t="n">
        <x:f>MOD(ABS(SIN((A941+2)*12.9898+78.233)*43758.5453),1)</x:f>
        <x:v>0.9887810612926842</x:v>
      </x:c>
      <x:c r="D941" s="131" t="n">
        <x:f>MOD(ABS(SIN((A941+3)*12.9898+78.233)*43758.5453),1)</x:f>
        <x:v>0.5565654531528708</x:v>
      </x:c>
      <x:c r="E941" s="131" t="n">
        <x:f>MOD(ABS(SIN((A941+4)*12.9898+78.233)*43758.5453),1)</x:f>
        <x:v>0.7699671883747214</x:v>
      </x:c>
      <x:c r="F941" s="131" t="n">
        <x:f>MOD(ABS(SIN((A941+5)*12.9898+78.233)*43758.5453),1)</x:f>
        <x:v>0.767704140067508</x:v>
      </x:c>
      <x:c r="G941" s="132" t="n">
        <x:f>IF(B941&lt;(('Assumptions'!$C$47-'Assumptions'!$B$47)/('Assumptions'!$D$47-'Assumptions'!$B$47)),'Assumptions'!$B$47+SQRT(B941*('Assumptions'!$D$47-'Assumptions'!$B$47)*('Assumptions'!$C$47-'Assumptions'!$B$47)),'Assumptions'!$D$47-SQRT((1-B941)*('Assumptions'!$D$47-'Assumptions'!$B$47)*('Assumptions'!$D$47-'Assumptions'!$C$47)))</x:f>
        <x:v>0.026536246419362475</x:v>
      </x:c>
      <x:c r="H941" s="132" t="n">
        <x:f>IF(C941&lt;(('Assumptions'!$C$48-'Assumptions'!$B$48)/('Assumptions'!$D$48-'Assumptions'!$B$48)),'Assumptions'!$B$48+SQRT(C941*('Assumptions'!$D$48-'Assumptions'!$B$48)*('Assumptions'!$C$48-'Assumptions'!$B$48)),'Assumptions'!$D$48-SQRT((1-C941)*('Assumptions'!$D$48-'Assumptions'!$B$48)*('Assumptions'!$D$48-'Assumptions'!$C$48)))</x:f>
        <x:v>0.1300638709436532</x:v>
      </x:c>
      <x:c r="I941" s="132" t="n">
        <x:f>IF(D941&lt;(('Assumptions'!$C$49-'Assumptions'!$B$49)/('Assumptions'!$D$49-'Assumptions'!$B$49)),'Assumptions'!$B$49+SQRT(D941*('Assumptions'!$D$49-'Assumptions'!$B$49)*('Assumptions'!$C$49-'Assumptions'!$B$49)),'Assumptions'!$D$49-SQRT((1-D941)*('Assumptions'!$D$49-'Assumptions'!$B$49)*('Assumptions'!$D$49-'Assumptions'!$C$49)))</x:f>
        <x:v>0.05213179161802342</x:v>
      </x:c>
      <x:c r="J941" s="132" t="n">
        <x:f>IF(E941&lt;(('Assumptions'!$C$50-'Assumptions'!$B$50)/('Assumptions'!$D$50-'Assumptions'!$B$50)),'Assumptions'!$B$50+SQRT(E941*('Assumptions'!$D$50-'Assumptions'!$B$50)*('Assumptions'!$C$50-'Assumptions'!$B$50)),'Assumptions'!$D$50-SQRT((1-E941)*('Assumptions'!$D$50-'Assumptions'!$B$50)*('Assumptions'!$D$50-'Assumptions'!$C$50)))</x:f>
        <x:v>0.07195657235566767</x:v>
      </x:c>
      <x:c r="K941" s="132" t="n">
        <x:f>IF(F941&lt;(('Assumptions'!$C$51-'Assumptions'!$B$51)/('Assumptions'!$D$51-'Assumptions'!$B$51)),'Assumptions'!$B$51+SQRT(F941*('Assumptions'!$D$51-'Assumptions'!$B$51)*('Assumptions'!$C$51-'Assumptions'!$B$51)),'Assumptions'!$D$51-SQRT((1-F941)*('Assumptions'!$D$51-'Assumptions'!$B$51)*('Assumptions'!$D$51-'Assumptions'!$C$51)))</x:f>
        <x:v>0.07442680830626287</x:v>
      </x:c>
      <x:c r="L941" s="133" t="n">
        <x:f>(('Assumptions'!$B$17*(1+G941)+'Assumptions'!$B$18)*(1-H941-'Assumptions'!$B$20)-SUM('Assumptions'!$B$21:$B$25)*(1+I941))-(('Assumptions'!$B$17*(1+G941)+'Assumptions'!$B$18)*(1-H941-'Assumptions'!$B$20)*'Assumptions'!$B$26)</x:f>
        <x:v>187371.42802812683</x:v>
      </x:c>
      <x:c r="M941" s="133" t="n">
        <x:f>'Assumptions'!$B$10*'Assumptions'!$B$33</x:f>
        <x:v>1950000</x:v>
      </x:c>
      <x:c r="N941" s="133" t="n">
        <x:f>-PMT(K941/12,'Assumptions'!$B$35*12,M941)*12</x:f>
        <x:v>162698.74180358375</x:v>
      </x:c>
      <x:c r="O941" s="133" t="n">
        <x:f>(L941*(1+'Assumptions'!$B$29)^('Assumptions'!$B$14/12)/J941)*(1-'Assumptions'!$B$42)-'Debt Schedule'!$F$9</x:f>
        <x:v>2837571.909924901</x:v>
      </x:c>
      <x:c r="P941" s="132" t="n">
        <x:f>((O941+(L941-N941-'Assumptions'!$B$27-'Assumptions'!$B$28)*('Assumptions'!$B$14/12))/ABS('Monthly Cash Flow'!$S$5))^(1/('Assumptions'!$B$14/12))-1</x:f>
        <x:v>0.16356550107423318</x:v>
      </x:c>
      <x:c r="Q941" s="133" t="n">
        <x:f>-ABS('Monthly Cash Flow'!$S$5)+((L941-N941-'Assumptions'!$B$27-'Assumptions'!$B$28)*(1-(1+'Assumptions'!$B$43)^-('Assumptions'!$B$14/12))/'Assumptions'!$B$43)+(O941/(1+'Assumptions'!$B$43)^('Assumptions'!$B$14/12))</x:f>
        <x:v>409306.3263154889</x:v>
      </x:c>
    </x:row>
    <x:row r="942">
      <x:c r="A942" s="131" t="n">
        <x:f>935</x:f>
        <x:v>935</x:v>
      </x:c>
      <x:c r="B942" s="131" t="n">
        <x:f>MOD(ABS(SIN((A942+1)*12.9898+78.233)*43758.5453),1)</x:f>
        <x:v>0.9887810612926842</x:v>
      </x:c>
      <x:c r="C942" s="131" t="n">
        <x:f>MOD(ABS(SIN((A942+2)*12.9898+78.233)*43758.5453),1)</x:f>
        <x:v>0.5565654531528708</x:v>
      </x:c>
      <x:c r="D942" s="131" t="n">
        <x:f>MOD(ABS(SIN((A942+3)*12.9898+78.233)*43758.5453),1)</x:f>
        <x:v>0.7699671883747214</x:v>
      </x:c>
      <x:c r="E942" s="131" t="n">
        <x:f>MOD(ABS(SIN((A942+4)*12.9898+78.233)*43758.5453),1)</x:f>
        <x:v>0.767704140067508</x:v>
      </x:c>
      <x:c r="F942" s="131" t="n">
        <x:f>MOD(ABS(SIN((A942+5)*12.9898+78.233)*43758.5453),1)</x:f>
        <x:v>0.5443492530030198</x:v>
      </x:c>
      <x:c r="G942" s="132" t="n">
        <x:f>IF(B942&lt;(('Assumptions'!$C$47-'Assumptions'!$B$47)/('Assumptions'!$D$47-'Assumptions'!$B$47)),'Assumptions'!$B$47+SQRT(B942*('Assumptions'!$D$47-'Assumptions'!$B$47)*('Assumptions'!$C$47-'Assumptions'!$B$47)),'Assumptions'!$D$47-SQRT((1-B942)*('Assumptions'!$D$47-'Assumptions'!$B$47)*('Assumptions'!$D$47-'Assumptions'!$C$47)))</x:f>
        <x:v>0.08660212631358792</x:v>
      </x:c>
      <x:c r="H942" s="132" t="n">
        <x:f>IF(C942&lt;(('Assumptions'!$C$48-'Assumptions'!$B$48)/('Assumptions'!$D$48-'Assumptions'!$B$48)),'Assumptions'!$B$48+SQRT(C942*('Assumptions'!$D$48-'Assumptions'!$B$48)*('Assumptions'!$C$48-'Assumptions'!$B$48)),'Assumptions'!$D$48-SQRT((1-C942)*('Assumptions'!$D$48-'Assumptions'!$B$48)*('Assumptions'!$D$48-'Assumptions'!$C$48)))</x:f>
        <x:v>0.07753221620503303</x:v>
      </x:c>
      <x:c r="I942" s="132" t="n">
        <x:f>IF(D942&lt;(('Assumptions'!$C$49-'Assumptions'!$B$49)/('Assumptions'!$D$49-'Assumptions'!$B$49)),'Assumptions'!$B$49+SQRT(D942*('Assumptions'!$D$49-'Assumptions'!$B$49)*('Assumptions'!$C$49-'Assumptions'!$B$49)),'Assumptions'!$D$49-SQRT((1-D942)*('Assumptions'!$D$49-'Assumptions'!$B$49)*('Assumptions'!$D$49-'Assumptions'!$C$49)))</x:f>
        <x:v>0.07951093183261665</x:v>
      </x:c>
      <x:c r="J942" s="132" t="n">
        <x:f>IF(E942&lt;(('Assumptions'!$C$50-'Assumptions'!$B$50)/('Assumptions'!$D$50-'Assumptions'!$B$50)),'Assumptions'!$B$50+SQRT(E942*('Assumptions'!$D$50-'Assumptions'!$B$50)*('Assumptions'!$C$50-'Assumptions'!$B$50)),'Assumptions'!$D$50-SQRT((1-E942)*('Assumptions'!$D$50-'Assumptions'!$B$50)*('Assumptions'!$D$50-'Assumptions'!$C$50)))</x:f>
        <x:v>0.07191710382313286</x:v>
      </x:c>
      <x:c r="K942" s="132" t="n">
        <x:f>IF(F942&lt;(('Assumptions'!$C$51-'Assumptions'!$B$51)/('Assumptions'!$D$51-'Assumptions'!$B$51)),'Assumptions'!$B$51+SQRT(F942*('Assumptions'!$D$51-'Assumptions'!$B$51)*('Assumptions'!$C$51-'Assumptions'!$B$51)),'Assumptions'!$D$51-SQRT((1-F942)*('Assumptions'!$D$51-'Assumptions'!$B$51)*('Assumptions'!$D$51-'Assumptions'!$C$51)))</x:f>
        <x:v>0.07019182921518338</x:v>
      </x:c>
      <x:c r="L942" s="133" t="n">
        <x:f>(('Assumptions'!$B$17*(1+G942)+'Assumptions'!$B$18)*(1-H942-'Assumptions'!$B$20)-SUM('Assumptions'!$B$21:$B$25)*(1+I942))-(('Assumptions'!$B$17*(1+G942)+'Assumptions'!$B$18)*(1-H942-'Assumptions'!$B$20)*'Assumptions'!$B$26)</x:f>
        <x:v>222407.814305675</x:v>
      </x:c>
      <x:c r="M942" s="133" t="n">
        <x:f>'Assumptions'!$B$10*'Assumptions'!$B$33</x:f>
        <x:v>1950000</x:v>
      </x:c>
      <x:c r="N942" s="133" t="n">
        <x:f>-PMT(K942/12,'Assumptions'!$B$35*12,M942)*12</x:f>
        <x:v>155982.3670065072</x:v>
      </x:c>
      <x:c r="O942" s="133" t="n">
        <x:f>(L942*(1+'Assumptions'!$B$29)^('Assumptions'!$B$14/12)/J942)*(1-'Assumptions'!$B$42)-'Debt Schedule'!$F$9</x:f>
        <x:v>3370014.966948123</x:v>
      </x:c>
      <x:c r="P942" s="132" t="n">
        <x:f>((O942+(L942-N942-'Assumptions'!$B$27-'Assumptions'!$B$28)*('Assumptions'!$B$14/12))/ABS('Monthly Cash Flow'!$S$5))^(1/('Assumptions'!$B$14/12))-1</x:f>
        <x:v>0.22024305441923842</x:v>
      </x:c>
      <x:c r="Q942" s="133" t="n">
        <x:f>-ABS('Monthly Cash Flow'!$S$5)+((L942-N942-'Assumptions'!$B$27-'Assumptions'!$B$28)*(1-(1+'Assumptions'!$B$43)^-('Assumptions'!$B$14/12))/'Assumptions'!$B$43)+(O942/(1+'Assumptions'!$B$43)^('Assumptions'!$B$14/12))</x:f>
        <x:v>898187.3880039686</x:v>
      </x:c>
    </x:row>
    <x:row r="943">
      <x:c r="A943" s="131" t="n">
        <x:f>936</x:f>
        <x:v>936</x:v>
      </x:c>
      <x:c r="B943" s="131" t="n">
        <x:f>MOD(ABS(SIN((A943+1)*12.9898+78.233)*43758.5453),1)</x:f>
        <x:v>0.5565654531528708</x:v>
      </x:c>
      <x:c r="C943" s="131" t="n">
        <x:f>MOD(ABS(SIN((A943+2)*12.9898+78.233)*43758.5453),1)</x:f>
        <x:v>0.7699671883747214</x:v>
      </x:c>
      <x:c r="D943" s="131" t="n">
        <x:f>MOD(ABS(SIN((A943+3)*12.9898+78.233)*43758.5453),1)</x:f>
        <x:v>0.767704140067508</x:v>
      </x:c>
      <x:c r="E943" s="131" t="n">
        <x:f>MOD(ABS(SIN((A943+4)*12.9898+78.233)*43758.5453),1)</x:f>
        <x:v>0.5443492530030198</x:v>
      </x:c>
      <x:c r="F943" s="131" t="n">
        <x:f>MOD(ABS(SIN((A943+5)*12.9898+78.233)*43758.5453),1)</x:f>
        <x:v>0.7656155339427642</x:v>
      </x:c>
      <x:c r="G943" s="132" t="n">
        <x:f>IF(B943&lt;(('Assumptions'!$C$47-'Assumptions'!$B$47)/('Assumptions'!$D$47-'Assumptions'!$B$47)),'Assumptions'!$B$47+SQRT(B943*('Assumptions'!$D$47-'Assumptions'!$B$47)*('Assumptions'!$C$47-'Assumptions'!$B$47)),'Assumptions'!$D$47-SQRT((1-B943)*('Assumptions'!$D$47-'Assumptions'!$B$47)*('Assumptions'!$D$47-'Assumptions'!$C$47)))</x:f>
        <x:v>0.015574957822483748</x:v>
      </x:c>
      <x:c r="H943" s="132" t="n">
        <x:f>IF(C943&lt;(('Assumptions'!$C$48-'Assumptions'!$B$48)/('Assumptions'!$D$48-'Assumptions'!$B$48)),'Assumptions'!$B$48+SQRT(C943*('Assumptions'!$D$48-'Assumptions'!$B$48)*('Assumptions'!$C$48-'Assumptions'!$B$48)),'Assumptions'!$D$48-SQRT((1-C943)*('Assumptions'!$D$48-'Assumptions'!$B$48)*('Assumptions'!$D$48-'Assumptions'!$C$48)))</x:f>
        <x:v>0.0950079035573752</x:v>
      </x:c>
      <x:c r="I943" s="132" t="n">
        <x:f>IF(D943&lt;(('Assumptions'!$C$49-'Assumptions'!$B$49)/('Assumptions'!$D$49-'Assumptions'!$B$49)),'Assumptions'!$B$49+SQRT(D943*('Assumptions'!$D$49-'Assumptions'!$B$49)*('Assumptions'!$C$49-'Assumptions'!$B$49)),'Assumptions'!$D$49-SQRT((1-D943)*('Assumptions'!$D$49-'Assumptions'!$B$49)*('Assumptions'!$D$49-'Assumptions'!$C$49)))</x:f>
        <x:v>0.07916504694332163</x:v>
      </x:c>
      <x:c r="J943" s="132" t="n">
        <x:f>IF(E943&lt;(('Assumptions'!$C$50-'Assumptions'!$B$50)/('Assumptions'!$D$50-'Assumptions'!$B$50)),'Assumptions'!$B$50+SQRT(E943*('Assumptions'!$D$50-'Assumptions'!$B$50)*('Assumptions'!$C$50-'Assumptions'!$B$50)),'Assumptions'!$D$50-SQRT((1-E943)*('Assumptions'!$D$50-'Assumptions'!$B$50)*('Assumptions'!$D$50-'Assumptions'!$C$50)))</x:f>
        <x:v>0.06867958602378427</x:v>
      </x:c>
      <x:c r="K943" s="132" t="n">
        <x:f>IF(F943&lt;(('Assumptions'!$C$51-'Assumptions'!$B$51)/('Assumptions'!$D$51-'Assumptions'!$B$51)),'Assumptions'!$B$51+SQRT(F943*('Assumptions'!$D$51-'Assumptions'!$B$51)*('Assumptions'!$C$51-'Assumptions'!$B$51)),'Assumptions'!$D$51-SQRT((1-F943)*('Assumptions'!$D$51-'Assumptions'!$B$51)*('Assumptions'!$D$51-'Assumptions'!$C$51)))</x:f>
        <x:v>0.07437938211354704</x:v>
      </x:c>
      <x:c r="L943" s="133" t="n">
        <x:f>(('Assumptions'!$B$17*(1+G943)+'Assumptions'!$B$18)*(1-H943-'Assumptions'!$B$20)-SUM('Assumptions'!$B$21:$B$25)*(1+I943))-(('Assumptions'!$B$17*(1+G943)+'Assumptions'!$B$18)*(1-H943-'Assumptions'!$B$20)*'Assumptions'!$B$26)</x:f>
        <x:v>193617.41485370812</x:v>
      </x:c>
      <x:c r="M943" s="133" t="n">
        <x:f>'Assumptions'!$B$10*'Assumptions'!$B$33</x:f>
        <x:v>1950000</x:v>
      </x:c>
      <x:c r="N943" s="133" t="n">
        <x:f>-PMT(K943/12,'Assumptions'!$B$35*12,M943)*12</x:f>
        <x:v>162622.9195467686</x:v>
      </x:c>
      <x:c r="O943" s="133" t="n">
        <x:f>(L943*(1+'Assumptions'!$B$29)^('Assumptions'!$B$14/12)/J943)*(1-'Assumptions'!$B$42)-'Debt Schedule'!$F$9</x:f>
        <x:v>3072067.300135606</x:v>
      </x:c>
      <x:c r="P943" s="132" t="n">
        <x:f>((O943+(L943-N943-'Assumptions'!$B$27-'Assumptions'!$B$28)*('Assumptions'!$B$14/12))/ABS('Monthly Cash Flow'!$S$5))^(1/('Assumptions'!$B$14/12))-1</x:f>
        <x:v>0.185176999469165</x:v>
      </x:c>
      <x:c r="Q943" s="133" t="n">
        <x:f>-ABS('Monthly Cash Flow'!$S$5)+((L943-N943-'Assumptions'!$B$27-'Assumptions'!$B$28)*(1-(1+'Assumptions'!$B$43)^-('Assumptions'!$B$14/12))/'Assumptions'!$B$43)+(O943/(1+'Assumptions'!$B$43)^('Assumptions'!$B$14/12))</x:f>
        <x:v>578874.1444846671</x:v>
      </x:c>
    </x:row>
    <x:row r="944">
      <x:c r="A944" s="131" t="n">
        <x:f>937</x:f>
        <x:v>937</x:v>
      </x:c>
      <x:c r="B944" s="131" t="n">
        <x:f>MOD(ABS(SIN((A944+1)*12.9898+78.233)*43758.5453),1)</x:f>
        <x:v>0.7699671883747214</x:v>
      </x:c>
      <x:c r="C944" s="131" t="n">
        <x:f>MOD(ABS(SIN((A944+2)*12.9898+78.233)*43758.5453),1)</x:f>
        <x:v>0.767704140067508</x:v>
      </x:c>
      <x:c r="D944" s="131" t="n">
        <x:f>MOD(ABS(SIN((A944+3)*12.9898+78.233)*43758.5453),1)</x:f>
        <x:v>0.5443492530030198</x:v>
      </x:c>
      <x:c r="E944" s="131" t="n">
        <x:f>MOD(ABS(SIN((A944+4)*12.9898+78.233)*43758.5453),1)</x:f>
        <x:v>0.7656155339427642</x:v>
      </x:c>
      <x:c r="F944" s="131" t="n">
        <x:f>MOD(ABS(SIN((A944+5)*12.9898+78.233)*43758.5453),1)</x:f>
        <x:v>0.13200648548809113</x:v>
      </x:c>
      <x:c r="G944" s="132" t="n">
        <x:f>IF(B944&lt;(('Assumptions'!$C$47-'Assumptions'!$B$47)/('Assumptions'!$D$47-'Assumptions'!$B$47)),'Assumptions'!$B$47+SQRT(B944*('Assumptions'!$D$47-'Assumptions'!$B$47)*('Assumptions'!$C$47-'Assumptions'!$B$47)),'Assumptions'!$D$47-SQRT((1-B944)*('Assumptions'!$D$47-'Assumptions'!$B$47)*('Assumptions'!$D$47-'Assumptions'!$C$47)))</x:f>
        <x:v>0.03933266953289888</x:v>
      </x:c>
      <x:c r="H944" s="132" t="n">
        <x:f>IF(C944&lt;(('Assumptions'!$C$48-'Assumptions'!$B$48)/('Assumptions'!$D$48-'Assumptions'!$B$48)),'Assumptions'!$B$48+SQRT(C944*('Assumptions'!$D$48-'Assumptions'!$B$48)*('Assumptions'!$C$48-'Assumptions'!$B$48)),'Assumptions'!$D$48-SQRT((1-C944)*('Assumptions'!$D$48-'Assumptions'!$B$48)*('Assumptions'!$D$48-'Assumptions'!$C$48)))</x:f>
        <x:v>0.09478713051125898</x:v>
      </x:c>
      <x:c r="I944" s="132" t="n">
        <x:f>IF(D944&lt;(('Assumptions'!$C$49-'Assumptions'!$B$49)/('Assumptions'!$D$49-'Assumptions'!$B$49)),'Assumptions'!$B$49+SQRT(D944*('Assumptions'!$D$49-'Assumptions'!$B$49)*('Assumptions'!$C$49-'Assumptions'!$B$49)),'Assumptions'!$D$49-SQRT((1-D944)*('Assumptions'!$D$49-'Assumptions'!$B$49)*('Assumptions'!$D$49-'Assumptions'!$C$49)))</x:f>
        <x:v>0.05079286247887821</x:v>
      </x:c>
      <x:c r="J944" s="132" t="n">
        <x:f>IF(E944&lt;(('Assumptions'!$C$50-'Assumptions'!$B$50)/('Assumptions'!$D$50-'Assumptions'!$B$50)),'Assumptions'!$B$50+SQRT(E944*('Assumptions'!$D$50-'Assumptions'!$B$50)*('Assumptions'!$C$50-'Assumptions'!$B$50)),'Assumptions'!$D$50-SQRT((1-E944)*('Assumptions'!$D$50-'Assumptions'!$B$50)*('Assumptions'!$D$50-'Assumptions'!$C$50)))</x:f>
        <x:v>0.07188084788425556</x:v>
      </x:c>
      <x:c r="K944" s="132" t="n">
        <x:f>IF(F944&lt;(('Assumptions'!$C$51-'Assumptions'!$B$51)/('Assumptions'!$D$51-'Assumptions'!$B$51)),'Assumptions'!$B$51+SQRT(F944*('Assumptions'!$D$51-'Assumptions'!$B$51)*('Assumptions'!$C$51-'Assumptions'!$B$51)),'Assumptions'!$D$51-SQRT((1-F944)*('Assumptions'!$D$51-'Assumptions'!$B$51)*('Assumptions'!$D$51-'Assumptions'!$C$51)))</x:f>
        <x:v>0.06352509614107735</x:v>
      </x:c>
      <x:c r="L944" s="133" t="n">
        <x:f>(('Assumptions'!$B$17*(1+G944)+'Assumptions'!$B$18)*(1-H944-'Assumptions'!$B$20)-SUM('Assumptions'!$B$21:$B$25)*(1+I944))-(('Assumptions'!$B$17*(1+G944)+'Assumptions'!$B$18)*(1-H944-'Assumptions'!$B$20)*'Assumptions'!$B$26)</x:f>
        <x:v>204623.9057001435</x:v>
      </x:c>
      <x:c r="M944" s="133" t="n">
        <x:f>'Assumptions'!$B$10*'Assumptions'!$B$33</x:f>
        <x:v>1950000</x:v>
      </x:c>
      <x:c r="N944" s="133" t="n">
        <x:f>-PMT(K944/12,'Assumptions'!$B$35*12,M944)*12</x:f>
        <x:v>145641.52302739632</x:v>
      </x:c>
      <x:c r="O944" s="133" t="n">
        <x:f>(L944*(1+'Assumptions'!$B$29)^('Assumptions'!$B$14/12)/J944)*(1-'Assumptions'!$B$42)-'Debt Schedule'!$F$9</x:f>
        <x:v>3102109.728694704</x:v>
      </x:c>
      <x:c r="P944" s="132" t="n">
        <x:f>((O944+(L944-N944-'Assumptions'!$B$27-'Assumptions'!$B$28)*('Assumptions'!$B$14/12))/ABS('Monthly Cash Flow'!$S$5))^(1/('Assumptions'!$B$14/12))-1</x:f>
        <x:v>0.19819831437260071</x:v>
      </x:c>
      <x:c r="Q944" s="133" t="n">
        <x:f>-ABS('Monthly Cash Flow'!$S$5)+((L944-N944-'Assumptions'!$B$27-'Assumptions'!$B$28)*(1-(1+'Assumptions'!$B$43)^-('Assumptions'!$B$14/12))/'Assumptions'!$B$43)+(O944/(1+'Assumptions'!$B$43)^('Assumptions'!$B$14/12))</x:f>
        <x:v>703624.24210349</x:v>
      </x:c>
    </x:row>
    <x:row r="945">
      <x:c r="A945" s="131" t="n">
        <x:f>938</x:f>
        <x:v>938</x:v>
      </x:c>
      <x:c r="B945" s="131" t="n">
        <x:f>MOD(ABS(SIN((A945+1)*12.9898+78.233)*43758.5453),1)</x:f>
        <x:v>0.767704140067508</x:v>
      </x:c>
      <x:c r="C945" s="131" t="n">
        <x:f>MOD(ABS(SIN((A945+2)*12.9898+78.233)*43758.5453),1)</x:f>
        <x:v>0.5443492530030198</x:v>
      </x:c>
      <x:c r="D945" s="131" t="n">
        <x:f>MOD(ABS(SIN((A945+3)*12.9898+78.233)*43758.5453),1)</x:f>
        <x:v>0.7656155339427642</x:v>
      </x:c>
      <x:c r="E945" s="131" t="n">
        <x:f>MOD(ABS(SIN((A945+4)*12.9898+78.233)*43758.5453),1)</x:f>
        <x:v>0.13200648548809113</x:v>
      </x:c>
      <x:c r="F945" s="131" t="n">
        <x:f>MOD(ABS(SIN((A945+5)*12.9898+78.233)*43758.5453),1)</x:f>
        <x:v>0.2354027022517471</x:v>
      </x:c>
      <x:c r="G945" s="132" t="n">
        <x:f>IF(B945&lt;(('Assumptions'!$C$47-'Assumptions'!$B$47)/('Assumptions'!$D$47-'Assumptions'!$B$47)),'Assumptions'!$B$47+SQRT(B945*('Assumptions'!$D$47-'Assumptions'!$B$47)*('Assumptions'!$C$47-'Assumptions'!$B$47)),'Assumptions'!$D$47-SQRT((1-B945)*('Assumptions'!$D$47-'Assumptions'!$B$47)*('Assumptions'!$D$47-'Assumptions'!$C$47)))</x:f>
        <x:v>0.039034979218244566</x:v>
      </x:c>
      <x:c r="H945" s="132" t="n">
        <x:f>IF(C945&lt;(('Assumptions'!$C$48-'Assumptions'!$B$48)/('Assumptions'!$D$48-'Assumptions'!$B$48)),'Assumptions'!$B$48+SQRT(C945*('Assumptions'!$D$48-'Assumptions'!$B$48)*('Assumptions'!$C$48-'Assumptions'!$B$48)),'Assumptions'!$D$48-SQRT((1-C945)*('Assumptions'!$D$48-'Assumptions'!$B$48)*('Assumptions'!$D$48-'Assumptions'!$C$48)))</x:f>
        <x:v>0.07667759816957805</x:v>
      </x:c>
      <x:c r="I945" s="132" t="n">
        <x:f>IF(D945&lt;(('Assumptions'!$C$49-'Assumptions'!$B$49)/('Assumptions'!$D$49-'Assumptions'!$B$49)),'Assumptions'!$B$49+SQRT(D945*('Assumptions'!$D$49-'Assumptions'!$B$49)*('Assumptions'!$C$49-'Assumptions'!$B$49)),'Assumptions'!$D$49-SQRT((1-D945)*('Assumptions'!$D$49-'Assumptions'!$B$49)*('Assumptions'!$D$49-'Assumptions'!$C$49)))</x:f>
        <x:v>0.07884731581425551</x:v>
      </x:c>
      <x:c r="J945" s="132" t="n">
        <x:f>IF(E945&lt;(('Assumptions'!$C$50-'Assumptions'!$B$50)/('Assumptions'!$D$50-'Assumptions'!$B$50)),'Assumptions'!$B$50+SQRT(E945*('Assumptions'!$D$50-'Assumptions'!$B$50)*('Assumptions'!$C$50-'Assumptions'!$B$50)),'Assumptions'!$D$50-SQRT((1-E945)*('Assumptions'!$D$50-'Assumptions'!$B$50)*('Assumptions'!$D$50-'Assumptions'!$C$50)))</x:f>
        <x:v>0.06294990451611958</x:v>
      </x:c>
      <x:c r="K945" s="132" t="n">
        <x:f>IF(F945&lt;(('Assumptions'!$C$51-'Assumptions'!$B$51)/('Assumptions'!$D$51-'Assumptions'!$B$51)),'Assumptions'!$B$51+SQRT(F945*('Assumptions'!$D$51-'Assumptions'!$B$51)*('Assumptions'!$C$51-'Assumptions'!$B$51)),'Assumptions'!$D$51-SQRT((1-F945)*('Assumptions'!$D$51-'Assumptions'!$B$51)*('Assumptions'!$D$51-'Assumptions'!$C$51)))</x:f>
        <x:v>0.0655458525414794</x:v>
      </x:c>
      <x:c r="L945" s="133" t="n">
        <x:f>(('Assumptions'!$B$17*(1+G945)+'Assumptions'!$B$18)*(1-H945-'Assumptions'!$B$20)-SUM('Assumptions'!$B$21:$B$25)*(1+I945))-(('Assumptions'!$B$17*(1+G945)+'Assumptions'!$B$18)*(1-H945-'Assumptions'!$B$20)*'Assumptions'!$B$26)</x:f>
        <x:v>207812.83703258995</x:v>
      </x:c>
      <x:c r="M945" s="133" t="n">
        <x:f>'Assumptions'!$B$10*'Assumptions'!$B$33</x:f>
        <x:v>1950000</x:v>
      </x:c>
      <x:c r="N945" s="133" t="n">
        <x:f>-PMT(K945/12,'Assumptions'!$B$35*12,M945)*12</x:f>
        <x:v>148744.92921048286</x:v>
      </x:c>
      <x:c r="O945" s="133" t="n">
        <x:f>(L945*(1+'Assumptions'!$B$29)^('Assumptions'!$B$14/12)/J945)*(1-'Assumptions'!$B$42)-'Debt Schedule'!$F$9</x:f>
        <x:v>3597421.059850961</x:v>
      </x:c>
      <x:c r="P945" s="132" t="n">
        <x:f>((O945+(L945-N945-'Assumptions'!$B$27-'Assumptions'!$B$28)*('Assumptions'!$B$14/12))/ABS('Monthly Cash Flow'!$S$5))^(1/('Assumptions'!$B$14/12))-1</x:f>
        <x:v>0.233246295883615</x:v>
      </x:c>
      <x:c r="Q945" s="133" t="n">
        <x:f>-ABS('Monthly Cash Flow'!$S$5)+((L945-N945-'Assumptions'!$B$27-'Assumptions'!$B$28)*(1-(1+'Assumptions'!$B$43)^-('Assumptions'!$B$14/12))/'Assumptions'!$B$43)+(O945/(1+'Assumptions'!$B$43)^('Assumptions'!$B$14/12))</x:f>
        <x:v>1011497.8167758696</x:v>
      </x:c>
    </x:row>
    <x:row r="946">
      <x:c r="A946" s="131" t="n">
        <x:f>939</x:f>
        <x:v>939</x:v>
      </x:c>
      <x:c r="B946" s="131" t="n">
        <x:f>MOD(ABS(SIN((A946+1)*12.9898+78.233)*43758.5453),1)</x:f>
        <x:v>0.5443492530030198</x:v>
      </x:c>
      <x:c r="C946" s="131" t="n">
        <x:f>MOD(ABS(SIN((A946+2)*12.9898+78.233)*43758.5453),1)</x:f>
        <x:v>0.7656155339427642</x:v>
      </x:c>
      <x:c r="D946" s="131" t="n">
        <x:f>MOD(ABS(SIN((A946+3)*12.9898+78.233)*43758.5453),1)</x:f>
        <x:v>0.13200648548809113</x:v>
      </x:c>
      <x:c r="E946" s="131" t="n">
        <x:f>MOD(ABS(SIN((A946+4)*12.9898+78.233)*43758.5453),1)</x:f>
        <x:v>0.2354027022517471</x:v>
      </x:c>
      <x:c r="F946" s="131" t="n">
        <x:f>MOD(ABS(SIN((A946+5)*12.9898+78.233)*43758.5453),1)</x:f>
        <x:v>0.2923897867658525</x:v>
      </x:c>
      <x:c r="G946" s="132" t="n">
        <x:f>IF(B946&lt;(('Assumptions'!$C$47-'Assumptions'!$B$47)/('Assumptions'!$D$47-'Assumptions'!$B$47)),'Assumptions'!$B$47+SQRT(B946*('Assumptions'!$D$47-'Assumptions'!$B$47)*('Assumptions'!$C$47-'Assumptions'!$B$47)),'Assumptions'!$D$47-SQRT((1-B946)*('Assumptions'!$D$47-'Assumptions'!$B$47)*('Assumptions'!$D$47-'Assumptions'!$C$47)))</x:f>
        <x:v>0.014299527873357712</x:v>
      </x:c>
      <x:c r="H946" s="132" t="n">
        <x:f>IF(C946&lt;(('Assumptions'!$C$48-'Assumptions'!$B$48)/('Assumptions'!$D$48-'Assumptions'!$B$48)),'Assumptions'!$B$48+SQRT(C946*('Assumptions'!$D$48-'Assumptions'!$B$48)*('Assumptions'!$C$48-'Assumptions'!$B$48)),'Assumptions'!$D$48-SQRT((1-C946)*('Assumptions'!$D$48-'Assumptions'!$B$48)*('Assumptions'!$D$48-'Assumptions'!$C$48)))</x:f>
        <x:v>0.09458432758062835</x:v>
      </x:c>
      <x:c r="I946" s="132" t="n">
        <x:f>IF(D946&lt;(('Assumptions'!$C$49-'Assumptions'!$B$49)/('Assumptions'!$D$49-'Assumptions'!$B$49)),'Assumptions'!$B$49+SQRT(D946*('Assumptions'!$D$49-'Assumptions'!$B$49)*('Assumptions'!$C$49-'Assumptions'!$B$49)),'Assumptions'!$D$49-SQRT((1-D946)*('Assumptions'!$D$49-'Assumptions'!$B$49)*('Assumptions'!$D$49-'Assumptions'!$C$49)))</x:f>
        <x:v>0.007758046073272705</x:v>
      </x:c>
      <x:c r="J946" s="132" t="n">
        <x:f>IF(E946&lt;(('Assumptions'!$C$50-'Assumptions'!$B$50)/('Assumptions'!$D$50-'Assumptions'!$B$50)),'Assumptions'!$B$50+SQRT(E946*('Assumptions'!$D$50-'Assumptions'!$B$50)*('Assumptions'!$C$50-'Assumptions'!$B$50)),'Assumptions'!$D$50-SQRT((1-E946)*('Assumptions'!$D$50-'Assumptions'!$B$50)*('Assumptions'!$D$50-'Assumptions'!$C$50)))</x:f>
        <x:v>0.06477774745416762</x:v>
      </x:c>
      <x:c r="K946" s="132" t="n">
        <x:f>IF(F946&lt;(('Assumptions'!$C$51-'Assumptions'!$B$51)/('Assumptions'!$D$51-'Assumptions'!$B$51)),'Assumptions'!$B$51+SQRT(F946*('Assumptions'!$D$51-'Assumptions'!$B$51)*('Assumptions'!$C$51-'Assumptions'!$B$51)),'Assumptions'!$D$51-SQRT((1-F946)*('Assumptions'!$D$51-'Assumptions'!$B$51)*('Assumptions'!$D$51-'Assumptions'!$C$51)))</x:f>
        <x:v>0.06646700570762668</x:v>
      </x:c>
      <x:c r="L946" s="133" t="n">
        <x:f>(('Assumptions'!$B$17*(1+G946)+'Assumptions'!$B$18)*(1-H946-'Assumptions'!$B$20)-SUM('Assumptions'!$B$21:$B$25)*(1+I946))-(('Assumptions'!$B$17*(1+G946)+'Assumptions'!$B$18)*(1-H946-'Assumptions'!$B$20)*'Assumptions'!$B$26)</x:f>
        <x:v>202375.99518639955</x:v>
      </x:c>
      <x:c r="M946" s="133" t="n">
        <x:f>'Assumptions'!$B$10*'Assumptions'!$B$33</x:f>
        <x:v>1950000</x:v>
      </x:c>
      <x:c r="N946" s="133" t="n">
        <x:f>-PMT(K946/12,'Assumptions'!$B$35*12,M946)*12</x:f>
        <x:v>150168.67923740117</x:v>
      </x:c>
      <x:c r="O946" s="133" t="n">
        <x:f>(L946*(1+'Assumptions'!$B$29)^('Assumptions'!$B$14/12)/J946)*(1-'Assumptions'!$B$42)-'Debt Schedule'!$F$9</x:f>
        <x:v>3404451.3506350843</x:v>
      </x:c>
      <x:c r="P946" s="132" t="n">
        <x:f>((O946+(L946-N946-'Assumptions'!$B$27-'Assumptions'!$B$28)*('Assumptions'!$B$14/12))/ABS('Monthly Cash Flow'!$S$5))^(1/('Assumptions'!$B$14/12))-1</x:f>
        <x:v>0.21767802113054824</x:v>
      </x:c>
      <x:c r="Q946" s="133" t="n">
        <x:f>-ABS('Monthly Cash Flow'!$S$5)+((L946-N946-'Assumptions'!$B$27-'Assumptions'!$B$28)*(1-(1+'Assumptions'!$B$43)^-('Assumptions'!$B$14/12))/'Assumptions'!$B$43)+(O946/(1+'Assumptions'!$B$43)^('Assumptions'!$B$14/12))</x:f>
        <x:v>865671.7687163155</x:v>
      </x:c>
    </x:row>
    <x:row r="947">
      <x:c r="A947" s="131" t="n">
        <x:f>940</x:f>
        <x:v>940</x:v>
      </x:c>
      <x:c r="B947" s="131" t="n">
        <x:f>MOD(ABS(SIN((A947+1)*12.9898+78.233)*43758.5453),1)</x:f>
        <x:v>0.7656155339427642</x:v>
      </x:c>
      <x:c r="C947" s="131" t="n">
        <x:f>MOD(ABS(SIN((A947+2)*12.9898+78.233)*43758.5453),1)</x:f>
        <x:v>0.13200648548809113</x:v>
      </x:c>
      <x:c r="D947" s="131" t="n">
        <x:f>MOD(ABS(SIN((A947+3)*12.9898+78.233)*43758.5453),1)</x:f>
        <x:v>0.2354027022517471</x:v>
      </x:c>
      <x:c r="E947" s="131" t="n">
        <x:f>MOD(ABS(SIN((A947+4)*12.9898+78.233)*43758.5453),1)</x:f>
        <x:v>0.2923897867658525</x:v>
      </x:c>
      <x:c r="F947" s="131" t="n">
        <x:f>MOD(ABS(SIN((A947+5)*12.9898+78.233)*43758.5453),1)</x:f>
        <x:v>0.5848567898065085</x:v>
      </x:c>
      <x:c r="G947" s="132" t="n">
        <x:f>IF(B947&lt;(('Assumptions'!$C$47-'Assumptions'!$B$47)/('Assumptions'!$D$47-'Assumptions'!$B$47)),'Assumptions'!$B$47+SQRT(B947*('Assumptions'!$D$47-'Assumptions'!$B$47)*('Assumptions'!$C$47-'Assumptions'!$B$47)),'Assumptions'!$D$47-SQRT((1-B947)*('Assumptions'!$D$47-'Assumptions'!$B$47)*('Assumptions'!$D$47-'Assumptions'!$C$47)))</x:f>
        <x:v>0.03876151980236795</x:v>
      </x:c>
      <x:c r="H947" s="132" t="n">
        <x:f>IF(C947&lt;(('Assumptions'!$C$48-'Assumptions'!$B$48)/('Assumptions'!$D$48-'Assumptions'!$B$48)),'Assumptions'!$B$48+SQRT(C947*('Assumptions'!$D$48-'Assumptions'!$B$48)*('Assumptions'!$C$48-'Assumptions'!$B$48)),'Assumptions'!$D$48-SQRT((1-C947)*('Assumptions'!$D$48-'Assumptions'!$B$48)*('Assumptions'!$D$48-'Assumptions'!$C$48)))</x:f>
        <x:v>0.05087154527366627</x:v>
      </x:c>
      <x:c r="I947" s="132" t="n">
        <x:f>IF(D947&lt;(('Assumptions'!$C$49-'Assumptions'!$B$49)/('Assumptions'!$D$49-'Assumptions'!$B$49)),'Assumptions'!$B$49+SQRT(D947*('Assumptions'!$D$49-'Assumptions'!$B$49)*('Assumptions'!$C$49-'Assumptions'!$B$49)),'Assumptions'!$D$49-SQRT((1-D947)*('Assumptions'!$D$49-'Assumptions'!$B$49)*('Assumptions'!$D$49-'Assumptions'!$C$49)))</x:f>
        <x:v>0.020421713421093383</x:v>
      </x:c>
      <x:c r="J947" s="132" t="n">
        <x:f>IF(E947&lt;(('Assumptions'!$C$50-'Assumptions'!$B$50)/('Assumptions'!$D$50-'Assumptions'!$B$50)),'Assumptions'!$B$50+SQRT(E947*('Assumptions'!$D$50-'Assumptions'!$B$50)*('Assumptions'!$C$50-'Assumptions'!$B$50)),'Assumptions'!$D$50-SQRT((1-E947)*('Assumptions'!$D$50-'Assumptions'!$B$50)*('Assumptions'!$D$50-'Assumptions'!$C$50)))</x:f>
        <x:v>0.06561096184322901</x:v>
      </x:c>
      <x:c r="K947" s="132" t="n">
        <x:f>IF(F947&lt;(('Assumptions'!$C$51-'Assumptions'!$B$51)/('Assumptions'!$D$51-'Assumptions'!$B$51)),'Assumptions'!$B$51+SQRT(F947*('Assumptions'!$D$51-'Assumptions'!$B$51)*('Assumptions'!$C$51-'Assumptions'!$B$51)),'Assumptions'!$D$51-SQRT((1-F947)*('Assumptions'!$D$51-'Assumptions'!$B$51)*('Assumptions'!$D$51-'Assumptions'!$C$51)))</x:f>
        <x:v>0.07086537337225997</x:v>
      </x:c>
      <x:c r="L947" s="133" t="n">
        <x:f>(('Assumptions'!$B$17*(1+G947)+'Assumptions'!$B$18)*(1-H947-'Assumptions'!$B$20)-SUM('Assumptions'!$B$21:$B$25)*(1+I947))-(('Assumptions'!$B$17*(1+G947)+'Assumptions'!$B$18)*(1-H947-'Assumptions'!$B$20)*'Assumptions'!$B$26)</x:f>
        <x:v>224798.3449249716</x:v>
      </x:c>
      <x:c r="M947" s="133" t="n">
        <x:f>'Assumptions'!$B$10*'Assumptions'!$B$33</x:f>
        <x:v>1950000</x:v>
      </x:c>
      <x:c r="N947" s="133" t="n">
        <x:f>-PMT(K947/12,'Assumptions'!$B$35*12,M947)*12</x:f>
        <x:v>157043.1159775621</x:v>
      </x:c>
      <x:c r="O947" s="133" t="n">
        <x:f>(L947*(1+'Assumptions'!$B$29)^('Assumptions'!$B$14/12)/J947)*(1-'Assumptions'!$B$42)-'Debt Schedule'!$F$9</x:f>
        <x:v>3733624.8813021295</x:v>
      </x:c>
      <x:c r="P947" s="132" t="n">
        <x:f>((O947+(L947-N947-'Assumptions'!$B$27-'Assumptions'!$B$28)*('Assumptions'!$B$14/12))/ABS('Monthly Cash Flow'!$S$5))^(1/('Assumptions'!$B$14/12))-1</x:f>
        <x:v>0.24501806882433796</x:v>
      </x:c>
      <x:c r="Q947" s="133" t="n">
        <x:f>-ABS('Monthly Cash Flow'!$S$5)+((L947-N947-'Assumptions'!$B$27-'Assumptions'!$B$28)*(1-(1+'Assumptions'!$B$43)^-('Assumptions'!$B$14/12))/'Assumptions'!$B$43)+(O947/(1+'Assumptions'!$B$43)^('Assumptions'!$B$14/12))</x:f>
        <x:v>1129001.4557804412</x:v>
      </x:c>
    </x:row>
    <x:row r="948">
      <x:c r="A948" s="131" t="n">
        <x:f>941</x:f>
        <x:v>941</x:v>
      </x:c>
      <x:c r="B948" s="131" t="n">
        <x:f>MOD(ABS(SIN((A948+1)*12.9898+78.233)*43758.5453),1)</x:f>
        <x:v>0.13200648548809113</x:v>
      </x:c>
      <x:c r="C948" s="131" t="n">
        <x:f>MOD(ABS(SIN((A948+2)*12.9898+78.233)*43758.5453),1)</x:f>
        <x:v>0.2354027022517471</x:v>
      </x:c>
      <x:c r="D948" s="131" t="n">
        <x:f>MOD(ABS(SIN((A948+3)*12.9898+78.233)*43758.5453),1)</x:f>
        <x:v>0.2923897867658525</x:v>
      </x:c>
      <x:c r="E948" s="131" t="n">
        <x:f>MOD(ABS(SIN((A948+4)*12.9898+78.233)*43758.5453),1)</x:f>
        <x:v>0.5848567898065085</x:v>
      </x:c>
      <x:c r="F948" s="131" t="n">
        <x:f>MOD(ABS(SIN((A948+5)*12.9898+78.233)*43758.5453),1)</x:f>
        <x:v>0.5980911084843683</x:v>
      </x:c>
      <x:c r="G948" s="132" t="n">
        <x:f>IF(B948&lt;(('Assumptions'!$C$47-'Assumptions'!$B$47)/('Assumptions'!$D$47-'Assumptions'!$B$47)),'Assumptions'!$B$47+SQRT(B948*('Assumptions'!$D$47-'Assumptions'!$B$47)*('Assumptions'!$C$47-'Assumptions'!$B$47)),'Assumptions'!$D$47-SQRT((1-B948)*('Assumptions'!$D$47-'Assumptions'!$B$47)*('Assumptions'!$D$47-'Assumptions'!$C$47)))</x:f>
        <x:v>-0.04371362818839549</x:v>
      </x:c>
      <x:c r="H948" s="132" t="n">
        <x:f>IF(C948&lt;(('Assumptions'!$C$48-'Assumptions'!$B$48)/('Assumptions'!$D$48-'Assumptions'!$B$48)),'Assumptions'!$B$48+SQRT(C948*('Assumptions'!$D$48-'Assumptions'!$B$48)*('Assumptions'!$C$48-'Assumptions'!$B$48)),'Assumptions'!$D$48-SQRT((1-C948)*('Assumptions'!$D$48-'Assumptions'!$B$48)*('Assumptions'!$D$48-'Assumptions'!$C$48)))</x:f>
        <x:v>0.057871650784098984</x:v>
      </x:c>
      <x:c r="I948" s="132" t="n">
        <x:f>IF(D948&lt;(('Assumptions'!$C$49-'Assumptions'!$B$49)/('Assumptions'!$D$49-'Assumptions'!$B$49)),'Assumptions'!$B$49+SQRT(D948*('Assumptions'!$D$49-'Assumptions'!$B$49)*('Assumptions'!$C$49-'Assumptions'!$B$49)),'Assumptions'!$D$49-SQRT((1-D948)*('Assumptions'!$D$49-'Assumptions'!$B$49)*('Assumptions'!$D$49-'Assumptions'!$C$49)))</x:f>
        <x:v>0.02619439204290057</x:v>
      </x:c>
      <x:c r="J948" s="132" t="n">
        <x:f>IF(E948&lt;(('Assumptions'!$C$50-'Assumptions'!$B$50)/('Assumptions'!$D$50-'Assumptions'!$B$50)),'Assumptions'!$B$50+SQRT(E948*('Assumptions'!$D$50-'Assumptions'!$B$50)*('Assumptions'!$C$50-'Assumptions'!$B$50)),'Assumptions'!$D$50-SQRT((1-E948)*('Assumptions'!$D$50-'Assumptions'!$B$50)*('Assumptions'!$D$50-'Assumptions'!$C$50)))</x:f>
        <x:v>0.06919449085572922</x:v>
      </x:c>
      <x:c r="K948" s="132" t="n">
        <x:f>IF(F948&lt;(('Assumptions'!$C$51-'Assumptions'!$B$51)/('Assumptions'!$D$51-'Assumptions'!$B$51)),'Assumptions'!$B$51+SQRT(F948*('Assumptions'!$D$51-'Assumptions'!$B$51)*('Assumptions'!$C$51-'Assumptions'!$B$51)),'Assumptions'!$D$51-SQRT((1-F948)*('Assumptions'!$D$51-'Assumptions'!$B$51)*('Assumptions'!$D$51-'Assumptions'!$C$51)))</x:f>
        <x:v>0.0710924964842033</x:v>
      </x:c>
      <x:c r="L948" s="133" t="n">
        <x:f>(('Assumptions'!$B$17*(1+G948)+'Assumptions'!$B$18)*(1-H948-'Assumptions'!$B$20)-SUM('Assumptions'!$B$21:$B$25)*(1+I948))-(('Assumptions'!$B$17*(1+G948)+'Assumptions'!$B$18)*(1-H948-'Assumptions'!$B$20)*'Assumptions'!$B$26)</x:f>
        <x:v>194868.17827069882</x:v>
      </x:c>
      <x:c r="M948" s="133" t="n">
        <x:f>'Assumptions'!$B$10*'Assumptions'!$B$33</x:f>
        <x:v>1950000</x:v>
      </x:c>
      <x:c r="N948" s="133" t="n">
        <x:f>-PMT(K948/12,'Assumptions'!$B$35*12,M948)*12</x:f>
        <x:v>157401.45008842245</x:v>
      </x:c>
      <x:c r="O948" s="133" t="n">
        <x:f>(L948*(1+'Assumptions'!$B$29)^('Assumptions'!$B$14/12)/J948)*(1-'Assumptions'!$B$42)-'Debt Schedule'!$F$9</x:f>
        <x:v>3068904.5721794167</x:v>
      </x:c>
      <x:c r="P948" s="132" t="n">
        <x:f>((O948+(L948-N948-'Assumptions'!$B$27-'Assumptions'!$B$28)*('Assumptions'!$B$14/12))/ABS('Monthly Cash Flow'!$S$5))^(1/('Assumptions'!$B$14/12))-1</x:f>
        <x:v>0.1874546413904914</x:v>
      </x:c>
      <x:c r="Q948" s="133" t="n">
        <x:f>-ABS('Monthly Cash Flow'!$S$5)+((L948-N948-'Assumptions'!$B$27-'Assumptions'!$B$28)*(1-(1+'Assumptions'!$B$43)^-('Assumptions'!$B$14/12))/'Assumptions'!$B$43)+(O948/(1+'Assumptions'!$B$43)^('Assumptions'!$B$14/12))</x:f>
        <x:v>601445.1940099914</x:v>
      </x:c>
    </x:row>
    <x:row r="949">
      <x:c r="A949" s="131" t="n">
        <x:f>942</x:f>
        <x:v>942</x:v>
      </x:c>
      <x:c r="B949" s="131" t="n">
        <x:f>MOD(ABS(SIN((A949+1)*12.9898+78.233)*43758.5453),1)</x:f>
        <x:v>0.2354027022517471</x:v>
      </x:c>
      <x:c r="C949" s="131" t="n">
        <x:f>MOD(ABS(SIN((A949+2)*12.9898+78.233)*43758.5453),1)</x:f>
        <x:v>0.2923897867658525</x:v>
      </x:c>
      <x:c r="D949" s="131" t="n">
        <x:f>MOD(ABS(SIN((A949+3)*12.9898+78.233)*43758.5453),1)</x:f>
        <x:v>0.5848567898065085</x:v>
      </x:c>
      <x:c r="E949" s="131" t="n">
        <x:f>MOD(ABS(SIN((A949+4)*12.9898+78.233)*43758.5453),1)</x:f>
        <x:v>0.5980911084843683</x:v>
      </x:c>
      <x:c r="F949" s="131" t="n">
        <x:f>MOD(ABS(SIN((A949+5)*12.9898+78.233)*43758.5453),1)</x:f>
        <x:v>0.9677557212489774</x:v>
      </x:c>
      <x:c r="G949" s="132" t="n">
        <x:f>IF(B949&lt;(('Assumptions'!$C$47-'Assumptions'!$B$47)/('Assumptions'!$D$47-'Assumptions'!$B$47)),'Assumptions'!$B$47+SQRT(B949*('Assumptions'!$D$47-'Assumptions'!$B$47)*('Assumptions'!$C$47-'Assumptions'!$B$47)),'Assumptions'!$D$47-SQRT((1-B949)*('Assumptions'!$D$47-'Assumptions'!$B$47)*('Assumptions'!$D$47-'Assumptions'!$C$47)))</x:f>
        <x:v>-0.024835747498947805</x:v>
      </x:c>
      <x:c r="H949" s="132" t="n">
        <x:f>IF(C949&lt;(('Assumptions'!$C$48-'Assumptions'!$B$48)/('Assumptions'!$D$48-'Assumptions'!$B$48)),'Assumptions'!$B$48+SQRT(C949*('Assumptions'!$D$48-'Assumptions'!$B$48)*('Assumptions'!$C$48-'Assumptions'!$B$48)),'Assumptions'!$D$48-SQRT((1-C949)*('Assumptions'!$D$48-'Assumptions'!$B$48)*('Assumptions'!$D$48-'Assumptions'!$C$48)))</x:f>
        <x:v>0.061088848212305896</x:v>
      </x:c>
      <x:c r="I949" s="132" t="n">
        <x:f>IF(D949&lt;(('Assumptions'!$C$49-'Assumptions'!$B$49)/('Assumptions'!$D$49-'Assumptions'!$B$49)),'Assumptions'!$B$49+SQRT(D949*('Assumptions'!$D$49-'Assumptions'!$B$49)*('Assumptions'!$C$49-'Assumptions'!$B$49)),'Assumptions'!$D$49-SQRT((1-D949)*('Assumptions'!$D$49-'Assumptions'!$B$49)*('Assumptions'!$D$49-'Assumptions'!$C$49)))</x:f>
        <x:v>0.05530526234167277</x:v>
      </x:c>
      <x:c r="J949" s="132" t="n">
        <x:f>IF(E949&lt;(('Assumptions'!$C$50-'Assumptions'!$B$50)/('Assumptions'!$D$50-'Assumptions'!$B$50)),'Assumptions'!$B$50+SQRT(E949*('Assumptions'!$D$50-'Assumptions'!$B$50)*('Assumptions'!$C$50-'Assumptions'!$B$50)),'Assumptions'!$D$50-SQRT((1-E949)*('Assumptions'!$D$50-'Assumptions'!$B$50)*('Assumptions'!$D$50-'Assumptions'!$C$50)))</x:f>
        <x:v>0.06936811983989796</x:v>
      </x:c>
      <x:c r="K949" s="132" t="n">
        <x:f>IF(F949&lt;(('Assumptions'!$C$51-'Assumptions'!$B$51)/('Assumptions'!$D$51-'Assumptions'!$B$51)),'Assumptions'!$B$51+SQRT(F949*('Assumptions'!$D$51-'Assumptions'!$B$51)*('Assumptions'!$C$51-'Assumptions'!$B$51)),'Assumptions'!$D$51-SQRT((1-F949)*('Assumptions'!$D$51-'Assumptions'!$B$51)*('Assumptions'!$D$51-'Assumptions'!$C$51)))</x:f>
        <x:v>0.08106076668005949</x:v>
      </x:c>
      <x:c r="L949" s="133" t="n">
        <x:f>(('Assumptions'!$B$17*(1+G949)+'Assumptions'!$B$18)*(1-H949-'Assumptions'!$B$20)-SUM('Assumptions'!$B$21:$B$25)*(1+I949))-(('Assumptions'!$B$17*(1+G949)+'Assumptions'!$B$18)*(1-H949-'Assumptions'!$B$20)*'Assumptions'!$B$26)</x:f>
        <x:v>196141.75361288802</x:v>
      </x:c>
      <x:c r="M949" s="133" t="n">
        <x:f>'Assumptions'!$B$10*'Assumptions'!$B$33</x:f>
        <x:v>1950000</x:v>
      </x:c>
      <x:c r="N949" s="133" t="n">
        <x:f>-PMT(K949/12,'Assumptions'!$B$35*12,M949)*12</x:f>
        <x:v>173434.43531707808</x:v>
      </x:c>
      <x:c r="O949" s="133" t="n">
        <x:f>(L949*(1+'Assumptions'!$B$29)^('Assumptions'!$B$14/12)/J949)*(1-'Assumptions'!$B$42)-'Debt Schedule'!$F$9</x:f>
        <x:v>3081229.9274277734</x:v>
      </x:c>
      <x:c r="P949" s="132" t="n">
        <x:f>((O949+(L949-N949-'Assumptions'!$B$27-'Assumptions'!$B$28)*('Assumptions'!$B$14/12))/ABS('Monthly Cash Flow'!$S$5))^(1/('Assumptions'!$B$14/12))-1</x:f>
        <x:v>0.1826389624245781</x:v>
      </x:c>
      <x:c r="Q949" s="133" t="n">
        <x:f>-ABS('Monthly Cash Flow'!$S$5)+((L949-N949-'Assumptions'!$B$27-'Assumptions'!$B$28)*(1-(1+'Assumptions'!$B$43)^-('Assumptions'!$B$14/12))/'Assumptions'!$B$43)+(O949/(1+'Assumptions'!$B$43)^('Assumptions'!$B$14/12))</x:f>
        <x:v>553148.4941760818</x:v>
      </x:c>
    </x:row>
    <x:row r="950">
      <x:c r="A950" s="131" t="n">
        <x:f>943</x:f>
        <x:v>943</x:v>
      </x:c>
      <x:c r="B950" s="131" t="n">
        <x:f>MOD(ABS(SIN((A950+1)*12.9898+78.233)*43758.5453),1)</x:f>
        <x:v>0.2923897867658525</x:v>
      </x:c>
      <x:c r="C950" s="131" t="n">
        <x:f>MOD(ABS(SIN((A950+2)*12.9898+78.233)*43758.5453),1)</x:f>
        <x:v>0.5848567898065085</x:v>
      </x:c>
      <x:c r="D950" s="131" t="n">
        <x:f>MOD(ABS(SIN((A950+3)*12.9898+78.233)*43758.5453),1)</x:f>
        <x:v>0.5980911084843683</x:v>
      </x:c>
      <x:c r="E950" s="131" t="n">
        <x:f>MOD(ABS(SIN((A950+4)*12.9898+78.233)*43758.5453),1)</x:f>
        <x:v>0.9677557212489774</x:v>
      </x:c>
      <x:c r="F950" s="131" t="n">
        <x:f>MOD(ABS(SIN((A950+5)*12.9898+78.233)*43758.5453),1)</x:f>
        <x:v>0.26573202591680456</x:v>
      </x:c>
      <x:c r="G950" s="132" t="n">
        <x:f>IF(B950&lt;(('Assumptions'!$C$47-'Assumptions'!$B$47)/('Assumptions'!$D$47-'Assumptions'!$B$47)),'Assumptions'!$B$47+SQRT(B950*('Assumptions'!$D$47-'Assumptions'!$B$47)*('Assumptions'!$C$47-'Assumptions'!$B$47)),'Assumptions'!$D$47-SQRT((1-B950)*('Assumptions'!$D$47-'Assumptions'!$B$47)*('Assumptions'!$D$47-'Assumptions'!$C$47)))</x:f>
        <x:v>-0.01623034629186737</x:v>
      </x:c>
      <x:c r="H950" s="132" t="n">
        <x:f>IF(C950&lt;(('Assumptions'!$C$48-'Assumptions'!$B$48)/('Assumptions'!$D$48-'Assumptions'!$B$48)),'Assumptions'!$B$48+SQRT(C950*('Assumptions'!$D$48-'Assumptions'!$B$48)*('Assumptions'!$C$48-'Assumptions'!$B$48)),'Assumptions'!$D$48-SQRT((1-C950)*('Assumptions'!$D$48-'Assumptions'!$B$48)*('Assumptions'!$D$48-'Assumptions'!$C$48)))</x:f>
        <x:v>0.07955779413602837</x:v>
      </x:c>
      <x:c r="I950" s="132" t="n">
        <x:f>IF(D950&lt;(('Assumptions'!$C$49-'Assumptions'!$B$49)/('Assumptions'!$D$49-'Assumptions'!$B$49)),'Assumptions'!$B$49+SQRT(D950*('Assumptions'!$D$49-'Assumptions'!$B$49)*('Assumptions'!$C$49-'Assumptions'!$B$49)),'Assumptions'!$D$49-SQRT((1-D950)*('Assumptions'!$D$49-'Assumptions'!$B$49)*('Assumptions'!$D$49-'Assumptions'!$C$49)))</x:f>
        <x:v>0.0568268705219276</x:v>
      </x:c>
      <x:c r="J950" s="132" t="n">
        <x:f>IF(E950&lt;(('Assumptions'!$C$50-'Assumptions'!$B$50)/('Assumptions'!$D$50-'Assumptions'!$B$50)),'Assumptions'!$B$50+SQRT(E950*('Assumptions'!$D$50-'Assumptions'!$B$50)*('Assumptions'!$C$50-'Assumptions'!$B$50)),'Assumptions'!$D$50-SQRT((1-E950)*('Assumptions'!$D$50-'Assumptions'!$B$50)*('Assumptions'!$D$50-'Assumptions'!$C$50)))</x:f>
        <x:v>0.0769885712031122</x:v>
      </x:c>
      <x:c r="K950" s="132" t="n">
        <x:f>IF(F950&lt;(('Assumptions'!$C$51-'Assumptions'!$B$51)/('Assumptions'!$D$51-'Assumptions'!$B$51)),'Assumptions'!$B$51+SQRT(F950*('Assumptions'!$D$51-'Assumptions'!$B$51)*('Assumptions'!$C$51-'Assumptions'!$B$51)),'Assumptions'!$D$51-SQRT((1-F950)*('Assumptions'!$D$51-'Assumptions'!$B$51)*('Assumptions'!$D$51-'Assumptions'!$C$51)))</x:f>
        <x:v>0.06604846811581591</x:v>
      </x:c>
      <x:c r="L950" s="133" t="n">
        <x:f>(('Assumptions'!$B$17*(1+G950)+'Assumptions'!$B$18)*(1-H950-'Assumptions'!$B$20)-SUM('Assumptions'!$B$21:$B$25)*(1+I950))-(('Assumptions'!$B$17*(1+G950)+'Assumptions'!$B$18)*(1-H950-'Assumptions'!$B$20)*'Assumptions'!$B$26)</x:f>
        <x:v>192114.2225662204</x:v>
      </x:c>
      <x:c r="M950" s="133" t="n">
        <x:f>'Assumptions'!$B$10*'Assumptions'!$B$33</x:f>
        <x:v>1950000</x:v>
      </x:c>
      <x:c r="N950" s="133" t="n">
        <x:f>-PMT(K950/12,'Assumptions'!$B$35*12,M950)*12</x:f>
        <x:v>149521.08241634435</x:v>
      </x:c>
      <x:c r="O950" s="133" t="n">
        <x:f>(L950*(1+'Assumptions'!$B$29)^('Assumptions'!$B$14/12)/J950)*(1-'Assumptions'!$B$42)-'Debt Schedule'!$F$9</x:f>
        <x:v>2719238.0895274663</x:v>
      </x:c>
      <x:c r="P950" s="132" t="n">
        <x:f>((O950+(L950-N950-'Assumptions'!$B$27-'Assumptions'!$B$28)*('Assumptions'!$B$14/12))/ABS('Monthly Cash Flow'!$S$5))^(1/('Assumptions'!$B$14/12))-1</x:f>
        <x:v>0.1611336385455142</x:v>
      </x:c>
      <x:c r="Q950" s="133" t="n">
        <x:f>-ABS('Monthly Cash Flow'!$S$5)+((L950-N950-'Assumptions'!$B$27-'Assumptions'!$B$28)*(1-(1+'Assumptions'!$B$43)^-('Assumptions'!$B$14/12))/'Assumptions'!$B$43)+(O950/(1+'Assumptions'!$B$43)^('Assumptions'!$B$14/12))</x:f>
        <x:v>403762.95363361505</x:v>
      </x:c>
    </x:row>
    <x:row r="951">
      <x:c r="A951" s="131" t="n">
        <x:f>944</x:f>
        <x:v>944</x:v>
      </x:c>
      <x:c r="B951" s="131" t="n">
        <x:f>MOD(ABS(SIN((A951+1)*12.9898+78.233)*43758.5453),1)</x:f>
        <x:v>0.5848567898065085</x:v>
      </x:c>
      <x:c r="C951" s="131" t="n">
        <x:f>MOD(ABS(SIN((A951+2)*12.9898+78.233)*43758.5453),1)</x:f>
        <x:v>0.5980911084843683</x:v>
      </x:c>
      <x:c r="D951" s="131" t="n">
        <x:f>MOD(ABS(SIN((A951+3)*12.9898+78.233)*43758.5453),1)</x:f>
        <x:v>0.9677557212489774</x:v>
      </x:c>
      <x:c r="E951" s="131" t="n">
        <x:f>MOD(ABS(SIN((A951+4)*12.9898+78.233)*43758.5453),1)</x:f>
        <x:v>0.26573202591680456</x:v>
      </x:c>
      <x:c r="F951" s="131" t="n">
        <x:f>MOD(ABS(SIN((A951+5)*12.9898+78.233)*43758.5453),1)</x:f>
        <x:v>0.11898625978574273</x:v>
      </x:c>
      <x:c r="G951" s="132" t="n">
        <x:f>IF(B951&lt;(('Assumptions'!$C$47-'Assumptions'!$B$47)/('Assumptions'!$D$47-'Assumptions'!$B$47)),'Assumptions'!$B$47+SQRT(B951*('Assumptions'!$D$47-'Assumptions'!$B$47)*('Assumptions'!$C$47-'Assumptions'!$B$47)),'Assumptions'!$D$47-SQRT((1-B951)*('Assumptions'!$D$47-'Assumptions'!$B$47)*('Assumptions'!$D$47-'Assumptions'!$C$47)))</x:f>
        <x:v>0.01847600160098334</x:v>
      </x:c>
      <x:c r="H951" s="132" t="n">
        <x:f>IF(C951&lt;(('Assumptions'!$C$48-'Assumptions'!$B$48)/('Assumptions'!$D$48-'Assumptions'!$B$48)),'Assumptions'!$B$48+SQRT(C951*('Assumptions'!$D$48-'Assumptions'!$B$48)*('Assumptions'!$C$48-'Assumptions'!$B$48)),'Assumptions'!$D$48-SQRT((1-C951)*('Assumptions'!$D$48-'Assumptions'!$B$48)*('Assumptions'!$D$48-'Assumptions'!$C$48)))</x:f>
        <x:v>0.08052901341546823</x:v>
      </x:c>
      <x:c r="I951" s="132" t="n">
        <x:f>IF(D951&lt;(('Assumptions'!$C$49-'Assumptions'!$B$49)/('Assumptions'!$D$49-'Assumptions'!$B$49)),'Assumptions'!$B$49+SQRT(D951*('Assumptions'!$D$49-'Assumptions'!$B$49)*('Assumptions'!$C$49-'Assumptions'!$B$49)),'Assumptions'!$D$49-SQRT((1-D951)*('Assumptions'!$D$49-'Assumptions'!$B$49)*('Assumptions'!$D$49-'Assumptions'!$C$49)))</x:f>
        <x:v>0.12360916028198252</x:v>
      </x:c>
      <x:c r="J951" s="132" t="n">
        <x:f>IF(E951&lt;(('Assumptions'!$C$50-'Assumptions'!$B$50)/('Assumptions'!$D$50-'Assumptions'!$B$50)),'Assumptions'!$B$50+SQRT(E951*('Assumptions'!$D$50-'Assumptions'!$B$50)*('Assumptions'!$C$50-'Assumptions'!$B$50)),'Assumptions'!$D$50-SQRT((1-E951)*('Assumptions'!$D$50-'Assumptions'!$B$50)*('Assumptions'!$D$50-'Assumptions'!$C$50)))</x:f>
        <x:v>0.06523238034703939</x:v>
      </x:c>
      <x:c r="K951" s="132" t="n">
        <x:f>IF(F951&lt;(('Assumptions'!$C$51-'Assumptions'!$B$51)/('Assumptions'!$D$51-'Assumptions'!$B$51)),'Assumptions'!$B$51+SQRT(F951*('Assumptions'!$D$51-'Assumptions'!$B$51)*('Assumptions'!$C$51-'Assumptions'!$B$51)),'Assumptions'!$D$51-SQRT((1-F951)*('Assumptions'!$D$51-'Assumptions'!$B$51)*('Assumptions'!$D$51-'Assumptions'!$C$51)))</x:f>
        <x:v>0.06322024662414824</x:v>
      </x:c>
      <x:c r="L951" s="133" t="n">
        <x:f>(('Assumptions'!$B$17*(1+G951)+'Assumptions'!$B$18)*(1-H951-'Assumptions'!$B$20)-SUM('Assumptions'!$B$21:$B$25)*(1+I951))-(('Assumptions'!$B$17*(1+G951)+'Assumptions'!$B$18)*(1-H951-'Assumptions'!$B$20)*'Assumptions'!$B$26)</x:f>
        <x:v>194261.32810315094</x:v>
      </x:c>
      <x:c r="M951" s="133" t="n">
        <x:f>'Assumptions'!$B$10*'Assumptions'!$B$33</x:f>
        <x:v>1950000</x:v>
      </x:c>
      <x:c r="N951" s="133" t="n">
        <x:f>-PMT(K951/12,'Assumptions'!$B$35*12,M951)*12</x:f>
        <x:v>145175.7484346553</x:v>
      </x:c>
      <x:c r="O951" s="133" t="n">
        <x:f>(L951*(1+'Assumptions'!$B$29)^('Assumptions'!$B$14/12)/J951)*(1-'Assumptions'!$B$42)-'Debt Schedule'!$F$9</x:f>
        <x:v>3245167.3985269866</x:v>
      </x:c>
      <x:c r="P951" s="132" t="n">
        <x:f>((O951+(L951-N951-'Assumptions'!$B$27-'Assumptions'!$B$28)*('Assumptions'!$B$14/12))/ABS('Monthly Cash Flow'!$S$5))^(1/('Assumptions'!$B$14/12))-1</x:f>
        <x:v>0.20513162567147925</x:v>
      </x:c>
      <x:c r="Q951" s="133" t="n">
        <x:f>-ABS('Monthly Cash Flow'!$S$5)+((L951-N951-'Assumptions'!$B$27-'Assumptions'!$B$28)*(1-(1+'Assumptions'!$B$43)^-('Assumptions'!$B$14/12))/'Assumptions'!$B$43)+(O951/(1+'Assumptions'!$B$43)^('Assumptions'!$B$14/12))</x:f>
        <x:v>754935.1298415521</x:v>
      </x:c>
    </x:row>
    <x:row r="952">
      <x:c r="A952" s="131" t="n">
        <x:f>945</x:f>
        <x:v>945</x:v>
      </x:c>
      <x:c r="B952" s="131" t="n">
        <x:f>MOD(ABS(SIN((A952+1)*12.9898+78.233)*43758.5453),1)</x:f>
        <x:v>0.5980911084843683</x:v>
      </x:c>
      <x:c r="C952" s="131" t="n">
        <x:f>MOD(ABS(SIN((A952+2)*12.9898+78.233)*43758.5453),1)</x:f>
        <x:v>0.9677557212489774</x:v>
      </x:c>
      <x:c r="D952" s="131" t="n">
        <x:f>MOD(ABS(SIN((A952+3)*12.9898+78.233)*43758.5453),1)</x:f>
        <x:v>0.26573202591680456</x:v>
      </x:c>
      <x:c r="E952" s="131" t="n">
        <x:f>MOD(ABS(SIN((A952+4)*12.9898+78.233)*43758.5453),1)</x:f>
        <x:v>0.11898625978574273</x:v>
      </x:c>
      <x:c r="F952" s="131" t="n">
        <x:f>MOD(ABS(SIN((A952+5)*12.9898+78.233)*43758.5453),1)</x:f>
        <x:v>0.16224381599658955</x:v>
      </x:c>
      <x:c r="G952" s="132" t="n">
        <x:f>IF(B952&lt;(('Assumptions'!$C$47-'Assumptions'!$B$47)/('Assumptions'!$D$47-'Assumptions'!$B$47)),'Assumptions'!$B$47+SQRT(B952*('Assumptions'!$D$47-'Assumptions'!$B$47)*('Assumptions'!$C$47-'Assumptions'!$B$47)),'Assumptions'!$D$47-SQRT((1-B952)*('Assumptions'!$D$47-'Assumptions'!$B$47)*('Assumptions'!$D$47-'Assumptions'!$C$47)))</x:f>
        <x:v>0.019808958778652436</x:v>
      </x:c>
      <x:c r="H952" s="132" t="n">
        <x:f>IF(C952&lt;(('Assumptions'!$C$48-'Assumptions'!$B$48)/('Assumptions'!$D$48-'Assumptions'!$B$48)),'Assumptions'!$B$48+SQRT(C952*('Assumptions'!$D$48-'Assumptions'!$B$48)*('Assumptions'!$C$48-'Assumptions'!$B$48)),'Assumptions'!$D$48-SQRT((1-C952)*('Assumptions'!$D$48-'Assumptions'!$B$48)*('Assumptions'!$D$48-'Assumptions'!$C$48)))</x:f>
        <x:v>0.12315512977167829</x:v>
      </x:c>
      <x:c r="I952" s="132" t="n">
        <x:f>IF(D952&lt;(('Assumptions'!$C$49-'Assumptions'!$B$49)/('Assumptions'!$D$49-'Assumptions'!$B$49)),'Assumptions'!$B$49+SQRT(D952*('Assumptions'!$D$49-'Assumptions'!$B$49)*('Assumptions'!$C$49-'Assumptions'!$B$49)),'Assumptions'!$D$49-SQRT((1-D952)*('Assumptions'!$D$49-'Assumptions'!$B$49)*('Assumptions'!$D$49-'Assumptions'!$C$49)))</x:f>
        <x:v>0.023571502498077178</x:v>
      </x:c>
      <x:c r="J952" s="132" t="n">
        <x:f>IF(E952&lt;(('Assumptions'!$C$50-'Assumptions'!$B$50)/('Assumptions'!$D$50-'Assumptions'!$B$50)),'Assumptions'!$B$50+SQRT(E952*('Assumptions'!$D$50-'Assumptions'!$B$50)*('Assumptions'!$C$50-'Assumptions'!$B$50)),'Assumptions'!$D$50-SQRT((1-E952)*('Assumptions'!$D$50-'Assumptions'!$B$50)*('Assumptions'!$D$50-'Assumptions'!$C$50)))</x:f>
        <x:v>0.06267415775289004</x:v>
      </x:c>
      <x:c r="K952" s="132" t="n">
        <x:f>IF(F952&lt;(('Assumptions'!$C$51-'Assumptions'!$B$51)/('Assumptions'!$D$51-'Assumptions'!$B$51)),'Assumptions'!$B$51+SQRT(F952*('Assumptions'!$D$51-'Assumptions'!$B$51)*('Assumptions'!$C$51-'Assumptions'!$B$51)),'Assumptions'!$D$51-SQRT((1-F952)*('Assumptions'!$D$51-'Assumptions'!$B$51)*('Assumptions'!$D$51-'Assumptions'!$C$51)))</x:f>
        <x:v>0.06417959949391146</x:v>
      </x:c>
      <x:c r="L952" s="133" t="n">
        <x:f>(('Assumptions'!$B$17*(1+G952)+'Assumptions'!$B$18)*(1-H952-'Assumptions'!$B$20)-SUM('Assumptions'!$B$21:$B$25)*(1+I952))-(('Assumptions'!$B$17*(1+G952)+'Assumptions'!$B$18)*(1-H952-'Assumptions'!$B$20)*'Assumptions'!$B$26)</x:f>
        <x:v>191525.0565044113</x:v>
      </x:c>
      <x:c r="M952" s="133" t="n">
        <x:f>'Assumptions'!$B$10*'Assumptions'!$B$33</x:f>
        <x:v>1950000</x:v>
      </x:c>
      <x:c r="N952" s="133" t="n">
        <x:f>-PMT(K952/12,'Assumptions'!$B$35*12,M952)*12</x:f>
        <x:v>146643.666313936</x:v>
      </x:c>
      <x:c r="O952" s="133" t="n">
        <x:f>(L952*(1+'Assumptions'!$B$29)^('Assumptions'!$B$14/12)/J952)*(1-'Assumptions'!$B$42)-'Debt Schedule'!$F$9</x:f>
        <x:v>3330052.4189288886</x:v>
      </x:c>
      <x:c r="P952" s="132" t="n">
        <x:f>((O952+(L952-N952-'Assumptions'!$B$27-'Assumptions'!$B$28)*('Assumptions'!$B$14/12))/ABS('Monthly Cash Flow'!$S$5))^(1/('Assumptions'!$B$14/12))-1</x:f>
        <x:v>0.20977358119893252</x:v>
      </x:c>
      <x:c r="Q952" s="133" t="n">
        <x:f>-ABS('Monthly Cash Flow'!$S$5)+((L952-N952-'Assumptions'!$B$27-'Assumptions'!$B$28)*(1-(1+'Assumptions'!$B$43)^-('Assumptions'!$B$14/12))/'Assumptions'!$B$43)+(O952/(1+'Assumptions'!$B$43)^('Assumptions'!$B$14/12))</x:f>
        <x:v>791704.8631680389</x:v>
      </x:c>
    </x:row>
    <x:row r="953">
      <x:c r="A953" s="131" t="n">
        <x:f>946</x:f>
        <x:v>946</x:v>
      </x:c>
      <x:c r="B953" s="131" t="n">
        <x:f>MOD(ABS(SIN((A953+1)*12.9898+78.233)*43758.5453),1)</x:f>
        <x:v>0.9677557212489774</x:v>
      </x:c>
      <x:c r="C953" s="131" t="n">
        <x:f>MOD(ABS(SIN((A953+2)*12.9898+78.233)*43758.5453),1)</x:f>
        <x:v>0.26573202591680456</x:v>
      </x:c>
      <x:c r="D953" s="131" t="n">
        <x:f>MOD(ABS(SIN((A953+3)*12.9898+78.233)*43758.5453),1)</x:f>
        <x:v>0.11898625978574273</x:v>
      </x:c>
      <x:c r="E953" s="131" t="n">
        <x:f>MOD(ABS(SIN((A953+4)*12.9898+78.233)*43758.5453),1)</x:f>
        <x:v>0.16224381599658955</x:v>
      </x:c>
      <x:c r="F953" s="131" t="n">
        <x:f>MOD(ABS(SIN((A953+5)*12.9898+78.233)*43758.5453),1)</x:f>
        <x:v>0.43091745798665215</x:v>
      </x:c>
      <x:c r="G953" s="132" t="n">
        <x:f>IF(B953&lt;(('Assumptions'!$C$47-'Assumptions'!$B$47)/('Assumptions'!$D$47-'Assumptions'!$B$47)),'Assumptions'!$B$47+SQRT(B953*('Assumptions'!$D$47-'Assumptions'!$B$47)*('Assumptions'!$C$47-'Assumptions'!$B$47)),'Assumptions'!$D$47-SQRT((1-B953)*('Assumptions'!$D$47-'Assumptions'!$B$47)*('Assumptions'!$D$47-'Assumptions'!$C$47)))</x:f>
        <x:v>0.07728638161770868</x:v>
      </x:c>
      <x:c r="H953" s="132" t="n">
        <x:f>IF(C953&lt;(('Assumptions'!$C$48-'Assumptions'!$B$48)/('Assumptions'!$D$48-'Assumptions'!$B$48)),'Assumptions'!$B$48+SQRT(C953*('Assumptions'!$D$48-'Assumptions'!$B$48)*('Assumptions'!$C$48-'Assumptions'!$B$48)),'Assumptions'!$D$48-SQRT((1-C953)*('Assumptions'!$D$48-'Assumptions'!$B$48)*('Assumptions'!$D$48-'Assumptions'!$C$48)))</x:f>
        <x:v>0.0596127622069515</x:v>
      </x:c>
      <x:c r="I953" s="132" t="n">
        <x:f>IF(D953&lt;(('Assumptions'!$C$49-'Assumptions'!$B$49)/('Assumptions'!$D$49-'Assumptions'!$B$49)),'Assumptions'!$B$49+SQRT(D953*('Assumptions'!$D$49-'Assumptions'!$B$49)*('Assumptions'!$C$49-'Assumptions'!$B$49)),'Assumptions'!$D$49-SQRT((1-D953)*('Assumptions'!$D$49-'Assumptions'!$B$49)*('Assumptions'!$D$49-'Assumptions'!$C$49)))</x:f>
        <x:v>0.005847616457527849</x:v>
      </x:c>
      <x:c r="J953" s="132" t="n">
        <x:f>IF(E953&lt;(('Assumptions'!$C$50-'Assumptions'!$B$50)/('Assumptions'!$D$50-'Assumptions'!$B$50)),'Assumptions'!$B$50+SQRT(E953*('Assumptions'!$D$50-'Assumptions'!$B$50)*('Assumptions'!$C$50-'Assumptions'!$B$50)),'Assumptions'!$D$50-SQRT((1-E953)*('Assumptions'!$D$50-'Assumptions'!$B$50)*('Assumptions'!$D$50-'Assumptions'!$C$50)))</x:f>
        <x:v>0.06354192507395058</x:v>
      </x:c>
      <x:c r="K953" s="132" t="n">
        <x:f>IF(F953&lt;(('Assumptions'!$C$51-'Assumptions'!$B$51)/('Assumptions'!$D$51-'Assumptions'!$B$51)),'Assumptions'!$B$51+SQRT(F953*('Assumptions'!$D$51-'Assumptions'!$B$51)*('Assumptions'!$C$51-'Assumptions'!$B$51)),'Assumptions'!$D$51-SQRT((1-F953)*('Assumptions'!$D$51-'Assumptions'!$B$51)*('Assumptions'!$D$51-'Assumptions'!$C$51)))</x:f>
        <x:v>0.06845095249436017</x:v>
      </x:c>
      <x:c r="L953" s="133" t="n">
        <x:f>(('Assumptions'!$B$17*(1+G953)+'Assumptions'!$B$18)*(1-H953-'Assumptions'!$B$20)-SUM('Assumptions'!$B$21:$B$25)*(1+I953))-(('Assumptions'!$B$17*(1+G953)+'Assumptions'!$B$18)*(1-H953-'Assumptions'!$B$20)*'Assumptions'!$B$26)</x:f>
        <x:v>235732.9257083105</x:v>
      </x:c>
      <x:c r="M953" s="133" t="n">
        <x:f>'Assumptions'!$B$10*'Assumptions'!$B$33</x:f>
        <x:v>1950000</x:v>
      </x:c>
      <x:c r="N953" s="133" t="n">
        <x:f>-PMT(K953/12,'Assumptions'!$B$35*12,M953)*12</x:f>
        <x:v>153254.05442018397</x:v>
      </x:c>
      <x:c r="O953" s="133" t="n">
        <x:f>(L953*(1+'Assumptions'!$B$29)^('Assumptions'!$B$14/12)/J953)*(1-'Assumptions'!$B$42)-'Debt Schedule'!$F$9</x:f>
        <x:v>4042721.790056231</x:v>
      </x:c>
      <x:c r="P953" s="132" t="n">
        <x:f>((O953+(L953-N953-'Assumptions'!$B$27-'Assumptions'!$B$28)*('Assumptions'!$B$14/12))/ABS('Monthly Cash Flow'!$S$5))^(1/('Assumptions'!$B$14/12))-1</x:f>
        <x:v>0.2687085680916834</x:v>
      </x:c>
      <x:c r="Q953" s="133" t="n">
        <x:f>-ABS('Monthly Cash Flow'!$S$5)+((L953-N953-'Assumptions'!$B$27-'Assumptions'!$B$28)*(1-(1+'Assumptions'!$B$43)^-('Assumptions'!$B$14/12))/'Assumptions'!$B$43)+(O953/(1+'Assumptions'!$B$43)^('Assumptions'!$B$14/12))</x:f>
        <x:v>1376740.505900225</x:v>
      </x:c>
    </x:row>
    <x:row r="954">
      <x:c r="A954" s="131" t="n">
        <x:f>947</x:f>
        <x:v>947</x:v>
      </x:c>
      <x:c r="B954" s="131" t="n">
        <x:f>MOD(ABS(SIN((A954+1)*12.9898+78.233)*43758.5453),1)</x:f>
        <x:v>0.26573202591680456</x:v>
      </x:c>
      <x:c r="C954" s="131" t="n">
        <x:f>MOD(ABS(SIN((A954+2)*12.9898+78.233)*43758.5453),1)</x:f>
        <x:v>0.11898625978574273</x:v>
      </x:c>
      <x:c r="D954" s="131" t="n">
        <x:f>MOD(ABS(SIN((A954+3)*12.9898+78.233)*43758.5453),1)</x:f>
        <x:v>0.16224381599658955</x:v>
      </x:c>
      <x:c r="E954" s="131" t="n">
        <x:f>MOD(ABS(SIN((A954+4)*12.9898+78.233)*43758.5453),1)</x:f>
        <x:v>0.43091745798665215</x:v>
      </x:c>
      <x:c r="F954" s="131" t="n">
        <x:f>MOD(ABS(SIN((A954+5)*12.9898+78.233)*43758.5453),1)</x:f>
        <x:v>0.810416505784815</x:v>
      </x:c>
      <x:c r="G954" s="132" t="n">
        <x:f>IF(B954&lt;(('Assumptions'!$C$47-'Assumptions'!$B$47)/('Assumptions'!$D$47-'Assumptions'!$B$47)),'Assumptions'!$B$47+SQRT(B954*('Assumptions'!$D$47-'Assumptions'!$B$47)*('Assumptions'!$C$47-'Assumptions'!$B$47)),'Assumptions'!$D$47-SQRT((1-B954)*('Assumptions'!$D$47-'Assumptions'!$B$47)*('Assumptions'!$D$47-'Assumptions'!$C$47)))</x:f>
        <x:v>-0.02014031917166642</x:v>
      </x:c>
      <x:c r="H954" s="132" t="n">
        <x:f>IF(C954&lt;(('Assumptions'!$C$48-'Assumptions'!$B$48)/('Assumptions'!$D$48-'Assumptions'!$B$48)),'Assumptions'!$B$48+SQRT(C954*('Assumptions'!$D$48-'Assumptions'!$B$48)*('Assumptions'!$C$48-'Assumptions'!$B$48)),'Assumptions'!$D$48-SQRT((1-C954)*('Assumptions'!$D$48-'Assumptions'!$B$48)*('Assumptions'!$D$48-'Assumptions'!$C$48)))</x:f>
        <x:v>0.04981551556969818</x:v>
      </x:c>
      <x:c r="I954" s="132" t="n">
        <x:f>IF(D954&lt;(('Assumptions'!$C$49-'Assumptions'!$B$49)/('Assumptions'!$D$49-'Assumptions'!$B$49)),'Assumptions'!$B$49+SQRT(D954*('Assumptions'!$D$49-'Assumptions'!$B$49)*('Assumptions'!$C$49-'Assumptions'!$B$49)),'Assumptions'!$D$49-SQRT((1-D954)*('Assumptions'!$D$49-'Assumptions'!$B$49)*('Assumptions'!$D$49-'Assumptions'!$C$49)))</x:f>
        <x:v>0.011859684814426959</x:v>
      </x:c>
      <x:c r="J954" s="132" t="n">
        <x:f>IF(E954&lt;(('Assumptions'!$C$50-'Assumptions'!$B$50)/('Assumptions'!$D$50-'Assumptions'!$B$50)),'Assumptions'!$B$50+SQRT(E954*('Assumptions'!$D$50-'Assumptions'!$B$50)*('Assumptions'!$C$50-'Assumptions'!$B$50)),'Assumptions'!$D$50-SQRT((1-E954)*('Assumptions'!$D$50-'Assumptions'!$B$50)*('Assumptions'!$D$50-'Assumptions'!$C$50)))</x:f>
        <x:v>0.06734664552256234</x:v>
      </x:c>
      <x:c r="K954" s="132" t="n">
        <x:f>IF(F954&lt;(('Assumptions'!$C$51-'Assumptions'!$B$51)/('Assumptions'!$D$51-'Assumptions'!$B$51)),'Assumptions'!$B$51+SQRT(F954*('Assumptions'!$D$51-'Assumptions'!$B$51)*('Assumptions'!$C$51-'Assumptions'!$B$51)),'Assumptions'!$D$51-SQRT((1-F954)*('Assumptions'!$D$51-'Assumptions'!$B$51)*('Assumptions'!$D$51-'Assumptions'!$C$51)))</x:f>
        <x:v>0.07544819092574304</x:v>
      </x:c>
      <x:c r="L954" s="133" t="n">
        <x:f>(('Assumptions'!$B$17*(1+G954)+'Assumptions'!$B$18)*(1-H954-'Assumptions'!$B$20)-SUM('Assumptions'!$B$21:$B$25)*(1+I954))-(('Assumptions'!$B$17*(1+G954)+'Assumptions'!$B$18)*(1-H954-'Assumptions'!$B$20)*'Assumptions'!$B$26)</x:f>
        <x:v>207135.6766732393</x:v>
      </x:c>
      <x:c r="M954" s="133" t="n">
        <x:f>'Assumptions'!$B$10*'Assumptions'!$B$33</x:f>
        <x:v>1950000</x:v>
      </x:c>
      <x:c r="N954" s="133" t="n">
        <x:f>-PMT(K954/12,'Assumptions'!$B$35*12,M954)*12</x:f>
        <x:v>164334.93901455717</x:v>
      </x:c>
      <x:c r="O954" s="133" t="n">
        <x:f>(L954*(1+'Assumptions'!$B$29)^('Assumptions'!$B$14/12)/J954)*(1-'Assumptions'!$B$42)-'Debt Schedule'!$F$9</x:f>
        <x:v>3351605.664820546</x:v>
      </x:c>
      <x:c r="P954" s="132" t="n">
        <x:f>((O954+(L954-N954-'Assumptions'!$B$27-'Assumptions'!$B$28)*('Assumptions'!$B$14/12))/ABS('Monthly Cash Flow'!$S$5))^(1/('Assumptions'!$B$14/12))-1</x:f>
        <x:v>0.21057675421824706</x:v>
      </x:c>
      <x:c r="Q954" s="133" t="n">
        <x:f>-ABS('Monthly Cash Flow'!$S$5)+((L954-N954-'Assumptions'!$B$27-'Assumptions'!$B$28)*(1-(1+'Assumptions'!$B$43)^-('Assumptions'!$B$14/12))/'Assumptions'!$B$43)+(O954/(1+'Assumptions'!$B$43)^('Assumptions'!$B$14/12))</x:f>
        <x:v>797200.4230340482</x:v>
      </x:c>
    </x:row>
    <x:row r="955">
      <x:c r="A955" s="131" t="n">
        <x:f>948</x:f>
        <x:v>948</x:v>
      </x:c>
      <x:c r="B955" s="131" t="n">
        <x:f>MOD(ABS(SIN((A955+1)*12.9898+78.233)*43758.5453),1)</x:f>
        <x:v>0.11898625978574273</x:v>
      </x:c>
      <x:c r="C955" s="131" t="n">
        <x:f>MOD(ABS(SIN((A955+2)*12.9898+78.233)*43758.5453),1)</x:f>
        <x:v>0.16224381599658955</x:v>
      </x:c>
      <x:c r="D955" s="131" t="n">
        <x:f>MOD(ABS(SIN((A955+3)*12.9898+78.233)*43758.5453),1)</x:f>
        <x:v>0.43091745798665215</x:v>
      </x:c>
      <x:c r="E955" s="131" t="n">
        <x:f>MOD(ABS(SIN((A955+4)*12.9898+78.233)*43758.5453),1)</x:f>
        <x:v>0.810416505784815</x:v>
      </x:c>
      <x:c r="F955" s="131" t="n">
        <x:f>MOD(ABS(SIN((A955+5)*12.9898+78.233)*43758.5453),1)</x:f>
        <x:v>0.762831738240493</x:v>
      </x:c>
      <x:c r="G955" s="132" t="n">
        <x:f>IF(B955&lt;(('Assumptions'!$C$47-'Assumptions'!$B$47)/('Assumptions'!$D$47-'Assumptions'!$B$47)),'Assumptions'!$B$47+SQRT(B955*('Assumptions'!$D$47-'Assumptions'!$B$47)*('Assumptions'!$C$47-'Assumptions'!$B$47)),'Assumptions'!$D$47-SQRT((1-B955)*('Assumptions'!$D$47-'Assumptions'!$B$47)*('Assumptions'!$D$47-'Assumptions'!$C$47)))</x:f>
        <x:v>-0.046561528513085024</x:v>
      </x:c>
      <x:c r="H955" s="132" t="n">
        <x:f>IF(C955&lt;(('Assumptions'!$C$48-'Assumptions'!$B$48)/('Assumptions'!$D$48-'Assumptions'!$B$48)),'Assumptions'!$B$48+SQRT(C955*('Assumptions'!$D$48-'Assumptions'!$B$48)*('Assumptions'!$C$48-'Assumptions'!$B$48)),'Assumptions'!$D$48-SQRT((1-C955)*('Assumptions'!$D$48-'Assumptions'!$B$48)*('Assumptions'!$D$48-'Assumptions'!$C$48)))</x:f>
        <x:v>0.05313881139533199</x:v>
      </x:c>
      <x:c r="I955" s="132" t="n">
        <x:f>IF(D955&lt;(('Assumptions'!$C$49-'Assumptions'!$B$49)/('Assumptions'!$D$49-'Assumptions'!$B$49)),'Assumptions'!$B$49+SQRT(D955*('Assumptions'!$D$49-'Assumptions'!$B$49)*('Assumptions'!$C$49-'Assumptions'!$B$49)),'Assumptions'!$D$49-SQRT((1-D955)*('Assumptions'!$D$49-'Assumptions'!$B$49)*('Assumptions'!$D$49-'Assumptions'!$C$49)))</x:f>
        <x:v>0.039129882711849195</x:v>
      </x:c>
      <x:c r="J955" s="132" t="n">
        <x:f>IF(E955&lt;(('Assumptions'!$C$50-'Assumptions'!$B$50)/('Assumptions'!$D$50-'Assumptions'!$B$50)),'Assumptions'!$B$50+SQRT(E955*('Assumptions'!$D$50-'Assumptions'!$B$50)*('Assumptions'!$C$50-'Assumptions'!$B$50)),'Assumptions'!$D$50-SQRT((1-E955)*('Assumptions'!$D$50-'Assumptions'!$B$50)*('Assumptions'!$D$50-'Assumptions'!$C$50)))</x:f>
        <x:v>0.07269792099823477</x:v>
      </x:c>
      <x:c r="K955" s="132" t="n">
        <x:f>IF(F955&lt;(('Assumptions'!$C$51-'Assumptions'!$B$51)/('Assumptions'!$D$51-'Assumptions'!$B$51)),'Assumptions'!$B$51+SQRT(F955*('Assumptions'!$D$51-'Assumptions'!$B$51)*('Assumptions'!$C$51-'Assumptions'!$B$51)),'Assumptions'!$D$51-SQRT((1-F955)*('Assumptions'!$D$51-'Assumptions'!$B$51)*('Assumptions'!$D$51-'Assumptions'!$C$51)))</x:f>
        <x:v>0.07431649748576045</x:v>
      </x:c>
      <x:c r="L955" s="133" t="n">
        <x:f>(('Assumptions'!$B$17*(1+G955)+'Assumptions'!$B$18)*(1-H955-'Assumptions'!$B$20)-SUM('Assumptions'!$B$21:$B$25)*(1+I955))-(('Assumptions'!$B$17*(1+G955)+'Assumptions'!$B$18)*(1-H955-'Assumptions'!$B$20)*'Assumptions'!$B$26)</x:f>
        <x:v>193962.16719942482</x:v>
      </x:c>
      <x:c r="M955" s="133" t="n">
        <x:f>'Assumptions'!$B$10*'Assumptions'!$B$33</x:f>
        <x:v>1950000</x:v>
      </x:c>
      <x:c r="N955" s="133" t="n">
        <x:f>-PMT(K955/12,'Assumptions'!$B$35*12,M955)*12</x:f>
        <x:v>162522.4041106133</x:v>
      </x:c>
      <x:c r="O955" s="133" t="n">
        <x:f>(L955*(1+'Assumptions'!$B$29)^('Assumptions'!$B$14/12)/J955)*(1-'Assumptions'!$B$42)-'Debt Schedule'!$F$9</x:f>
        <x:v>2907428.3035508976</x:v>
      </x:c>
      <x:c r="P955" s="132" t="n">
        <x:f>((O955+(L955-N955-'Assumptions'!$B$27-'Assumptions'!$B$28)*('Assumptions'!$B$14/12))/ABS('Monthly Cash Flow'!$S$5))^(1/('Assumptions'!$B$14/12))-1</x:f>
        <x:v>0.17217703583008803</x:v>
      </x:c>
      <x:c r="Q955" s="133" t="n">
        <x:f>-ABS('Monthly Cash Flow'!$S$5)+((L955-N955-'Assumptions'!$B$27-'Assumptions'!$B$28)*(1-(1+'Assumptions'!$B$43)^-('Assumptions'!$B$14/12))/'Assumptions'!$B$43)+(O955/(1+'Assumptions'!$B$43)^('Assumptions'!$B$14/12))</x:f>
        <x:v>478334.19611452264</x:v>
      </x:c>
    </x:row>
    <x:row r="956">
      <x:c r="A956" s="131" t="n">
        <x:f>949</x:f>
        <x:v>949</x:v>
      </x:c>
      <x:c r="B956" s="131" t="n">
        <x:f>MOD(ABS(SIN((A956+1)*12.9898+78.233)*43758.5453),1)</x:f>
        <x:v>0.16224381599658955</x:v>
      </x:c>
      <x:c r="C956" s="131" t="n">
        <x:f>MOD(ABS(SIN((A956+2)*12.9898+78.233)*43758.5453),1)</x:f>
        <x:v>0.43091745798665215</x:v>
      </x:c>
      <x:c r="D956" s="131" t="n">
        <x:f>MOD(ABS(SIN((A956+3)*12.9898+78.233)*43758.5453),1)</x:f>
        <x:v>0.810416505784815</x:v>
      </x:c>
      <x:c r="E956" s="131" t="n">
        <x:f>MOD(ABS(SIN((A956+4)*12.9898+78.233)*43758.5453),1)</x:f>
        <x:v>0.762831738240493</x:v>
      </x:c>
      <x:c r="F956" s="131" t="n">
        <x:f>MOD(ABS(SIN((A956+5)*12.9898+78.233)*43758.5453),1)</x:f>
        <x:v>0.21131016009894665</x:v>
      </x:c>
      <x:c r="G956" s="132" t="n">
        <x:f>IF(B956&lt;(('Assumptions'!$C$47-'Assumptions'!$B$47)/('Assumptions'!$D$47-'Assumptions'!$B$47)),'Assumptions'!$B$47+SQRT(B956*('Assumptions'!$D$47-'Assumptions'!$B$47)*('Assumptions'!$C$47-'Assumptions'!$B$47)),'Assumptions'!$D$47-SQRT((1-B956)*('Assumptions'!$D$47-'Assumptions'!$B$47)*('Assumptions'!$D$47-'Assumptions'!$C$47)))</x:f>
        <x:v>-0.037599266158817105</x:v>
      </x:c>
      <x:c r="H956" s="132" t="n">
        <x:f>IF(C956&lt;(('Assumptions'!$C$48-'Assumptions'!$B$48)/('Assumptions'!$D$48-'Assumptions'!$B$48)),'Assumptions'!$B$48+SQRT(C956*('Assumptions'!$D$48-'Assumptions'!$B$48)*('Assumptions'!$C$48-'Assumptions'!$B$48)),'Assumptions'!$D$48-SQRT((1-C956)*('Assumptions'!$D$48-'Assumptions'!$B$48)*('Assumptions'!$D$48-'Assumptions'!$C$48)))</x:f>
        <x:v>0.06923329617879988</x:v>
      </x:c>
      <x:c r="I956" s="132" t="n">
        <x:f>IF(D956&lt;(('Assumptions'!$C$49-'Assumptions'!$B$49)/('Assumptions'!$D$49-'Assumptions'!$B$49)),'Assumptions'!$B$49+SQRT(D956*('Assumptions'!$D$49-'Assumptions'!$B$49)*('Assumptions'!$C$49-'Assumptions'!$B$49)),'Assumptions'!$D$49-SQRT((1-D956)*('Assumptions'!$D$49-'Assumptions'!$B$49)*('Assumptions'!$D$49-'Assumptions'!$C$49)))</x:f>
        <x:v>0.08600778582477397</x:v>
      </x:c>
      <x:c r="J956" s="132" t="n">
        <x:f>IF(E956&lt;(('Assumptions'!$C$50-'Assumptions'!$B$50)/('Assumptions'!$D$50-'Assumptions'!$B$50)),'Assumptions'!$B$50+SQRT(E956*('Assumptions'!$D$50-'Assumptions'!$B$50)*('Assumptions'!$C$50-'Assumptions'!$B$50)),'Assumptions'!$D$50-SQRT((1-E956)*('Assumptions'!$D$50-'Assumptions'!$B$50)*('Assumptions'!$D$50-'Assumptions'!$C$50)))</x:f>
        <x:v>0.07183277442335151</x:v>
      </x:c>
      <x:c r="K956" s="132" t="n">
        <x:f>IF(F956&lt;(('Assumptions'!$C$51-'Assumptions'!$B$51)/('Assumptions'!$D$51-'Assumptions'!$B$51)),'Assumptions'!$B$51+SQRT(F956*('Assumptions'!$D$51-'Assumptions'!$B$51)*('Assumptions'!$C$51-'Assumptions'!$B$51)),'Assumptions'!$D$51-SQRT((1-F956)*('Assumptions'!$D$51-'Assumptions'!$B$51)*('Assumptions'!$D$51-'Assumptions'!$C$51)))</x:f>
        <x:v>0.0651230108242879</x:v>
      </x:c>
      <x:c r="L956" s="133" t="n">
        <x:f>(('Assumptions'!$B$17*(1+G956)+'Assumptions'!$B$18)*(1-H956-'Assumptions'!$B$20)-SUM('Assumptions'!$B$21:$B$25)*(1+I956))-(('Assumptions'!$B$17*(1+G956)+'Assumptions'!$B$18)*(1-H956-'Assumptions'!$B$20)*'Assumptions'!$B$26)</x:f>
        <x:v>185326.1158106285</x:v>
      </x:c>
      <x:c r="M956" s="133" t="n">
        <x:f>'Assumptions'!$B$10*'Assumptions'!$B$33</x:f>
        <x:v>1950000</x:v>
      </x:c>
      <x:c r="N956" s="133" t="n">
        <x:f>-PMT(K956/12,'Assumptions'!$B$35*12,M956)*12</x:f>
        <x:v>148093.26992655403</x:v>
      </x:c>
      <x:c r="O956" s="133" t="n">
        <x:f>(L956*(1+'Assumptions'!$B$29)^('Assumptions'!$B$14/12)/J956)*(1-'Assumptions'!$B$42)-'Debt Schedule'!$F$9</x:f>
        <x:v>2811434.436302809</x:v>
      </x:c>
      <x:c r="P956" s="132" t="n">
        <x:f>((O956+(L956-N956-'Assumptions'!$B$27-'Assumptions'!$B$28)*('Assumptions'!$B$14/12))/ABS('Monthly Cash Flow'!$S$5))^(1/('Assumptions'!$B$14/12))-1</x:f>
        <x:v>0.16663948609644352</x:v>
      </x:c>
      <x:c r="Q956" s="133" t="n">
        <x:f>-ABS('Monthly Cash Flow'!$S$5)+((L956-N956-'Assumptions'!$B$27-'Assumptions'!$B$28)*(1-(1+'Assumptions'!$B$43)^-('Assumptions'!$B$14/12))/'Assumptions'!$B$43)+(O956/(1+'Assumptions'!$B$43)^('Assumptions'!$B$14/12))</x:f>
        <x:v>440689.898671645</x:v>
      </x:c>
    </x:row>
    <x:row r="957">
      <x:c r="A957" s="131" t="n">
        <x:f>950</x:f>
        <x:v>950</x:v>
      </x:c>
      <x:c r="B957" s="131" t="n">
        <x:f>MOD(ABS(SIN((A957+1)*12.9898+78.233)*43758.5453),1)</x:f>
        <x:v>0.43091745798665215</x:v>
      </x:c>
      <x:c r="C957" s="131" t="n">
        <x:f>MOD(ABS(SIN((A957+2)*12.9898+78.233)*43758.5453),1)</x:f>
        <x:v>0.810416505784815</x:v>
      </x:c>
      <x:c r="D957" s="131" t="n">
        <x:f>MOD(ABS(SIN((A957+3)*12.9898+78.233)*43758.5453),1)</x:f>
        <x:v>0.762831738240493</x:v>
      </x:c>
      <x:c r="E957" s="131" t="n">
        <x:f>MOD(ABS(SIN((A957+4)*12.9898+78.233)*43758.5453),1)</x:f>
        <x:v>0.21131016009894665</x:v>
      </x:c>
      <x:c r="F957" s="131" t="n">
        <x:f>MOD(ABS(SIN((A957+5)*12.9898+78.233)*43758.5453),1)</x:f>
        <x:v>0.2029457646276569</x:v>
      </x:c>
      <x:c r="G957" s="132" t="n">
        <x:f>IF(B957&lt;(('Assumptions'!$C$47-'Assumptions'!$B$47)/('Assumptions'!$D$47-'Assumptions'!$B$47)),'Assumptions'!$B$47+SQRT(B957*('Assumptions'!$D$47-'Assumptions'!$B$47)*('Assumptions'!$C$47-'Assumptions'!$B$47)),'Assumptions'!$D$47-SQRT((1-B957)*('Assumptions'!$D$47-'Assumptions'!$B$47)*('Assumptions'!$D$47-'Assumptions'!$C$47)))</x:f>
        <x:v>0.0016957176663779244</x:v>
      </x:c>
      <x:c r="H957" s="132" t="n">
        <x:f>IF(C957&lt;(('Assumptions'!$C$48-'Assumptions'!$B$48)/('Assumptions'!$D$48-'Assumptions'!$B$48)),'Assumptions'!$B$48+SQRT(C957*('Assumptions'!$D$48-'Assumptions'!$B$48)*('Assumptions'!$C$48-'Assumptions'!$B$48)),'Assumptions'!$D$48-SQRT((1-C957)*('Assumptions'!$D$48-'Assumptions'!$B$48)*('Assumptions'!$D$48-'Assumptions'!$C$48)))</x:f>
        <x:v>0.09915474630885948</x:v>
      </x:c>
      <x:c r="I957" s="132" t="n">
        <x:f>IF(D957&lt;(('Assumptions'!$C$49-'Assumptions'!$B$49)/('Assumptions'!$D$49-'Assumptions'!$B$49)),'Assumptions'!$B$49+SQRT(D957*('Assumptions'!$D$49-'Assumptions'!$B$49)*('Assumptions'!$C$49-'Assumptions'!$B$49)),'Assumptions'!$D$49-SQRT((1-D957)*('Assumptions'!$D$49-'Assumptions'!$B$49)*('Assumptions'!$D$49-'Assumptions'!$C$49)))</x:f>
        <x:v>0.07842602111098369</x:v>
      </x:c>
      <x:c r="J957" s="132" t="n">
        <x:f>IF(E957&lt;(('Assumptions'!$C$50-'Assumptions'!$B$50)/('Assumptions'!$D$50-'Assumptions'!$B$50)),'Assumptions'!$B$50+SQRT(E957*('Assumptions'!$D$50-'Assumptions'!$B$50)*('Assumptions'!$C$50-'Assumptions'!$B$50)),'Assumptions'!$D$50-SQRT((1-E957)*('Assumptions'!$D$50-'Assumptions'!$B$50)*('Assumptions'!$D$50-'Assumptions'!$C$50)))</x:f>
        <x:v>0.06439527273008566</x:v>
      </x:c>
      <x:c r="K957" s="132" t="n">
        <x:f>IF(F957&lt;(('Assumptions'!$C$51-'Assumptions'!$B$51)/('Assumptions'!$D$51-'Assumptions'!$B$51)),'Assumptions'!$B$51+SQRT(F957*('Assumptions'!$D$51-'Assumptions'!$B$51)*('Assumptions'!$C$51-'Assumptions'!$B$51)),'Assumptions'!$D$51-SQRT((1-F957)*('Assumptions'!$D$51-'Assumptions'!$B$51)*('Assumptions'!$D$51-'Assumptions'!$C$51)))</x:f>
        <x:v>0.06497061478545144</x:v>
      </x:c>
      <x:c r="L957" s="133" t="n">
        <x:f>(('Assumptions'!$B$17*(1+G957)+'Assumptions'!$B$18)*(1-H957-'Assumptions'!$B$20)-SUM('Assumptions'!$B$21:$B$25)*(1+I957))-(('Assumptions'!$B$17*(1+G957)+'Assumptions'!$B$18)*(1-H957-'Assumptions'!$B$20)*'Assumptions'!$B$26)</x:f>
        <x:v>187910.31797464698</x:v>
      </x:c>
      <x:c r="M957" s="133" t="n">
        <x:f>'Assumptions'!$B$10*'Assumptions'!$B$33</x:f>
        <x:v>1950000</x:v>
      </x:c>
      <x:c r="N957" s="133" t="n">
        <x:f>-PMT(K957/12,'Assumptions'!$B$35*12,M957)*12</x:f>
        <x:v>147858.6994123946</x:v>
      </x:c>
      <x:c r="O957" s="133" t="n">
        <x:f>(L957*(1+'Assumptions'!$B$29)^('Assumptions'!$B$14/12)/J957)*(1-'Assumptions'!$B$42)-'Debt Schedule'!$F$9</x:f>
        <x:v>3179879.1688402942</x:v>
      </x:c>
      <x:c r="P957" s="132" t="n">
        <x:f>((O957+(L957-N957-'Assumptions'!$B$27-'Assumptions'!$B$28)*('Assumptions'!$B$14/12))/ABS('Monthly Cash Flow'!$S$5))^(1/('Assumptions'!$B$14/12))-1</x:f>
        <x:v>0.19693002705638052</x:v>
      </x:c>
      <x:c r="Q957" s="133" t="n">
        <x:f>-ABS('Monthly Cash Flow'!$S$5)+((L957-N957-'Assumptions'!$B$27-'Assumptions'!$B$28)*(1-(1+'Assumptions'!$B$43)^-('Assumptions'!$B$14/12))/'Assumptions'!$B$43)+(O957/(1+'Assumptions'!$B$43)^('Assumptions'!$B$14/12))</x:f>
        <x:v>680150.4556474036</x:v>
      </x:c>
    </x:row>
    <x:row r="958">
      <x:c r="A958" s="131" t="n">
        <x:f>951</x:f>
        <x:v>951</x:v>
      </x:c>
      <x:c r="B958" s="131" t="n">
        <x:f>MOD(ABS(SIN((A958+1)*12.9898+78.233)*43758.5453),1)</x:f>
        <x:v>0.810416505784815</x:v>
      </x:c>
      <x:c r="C958" s="131" t="n">
        <x:f>MOD(ABS(SIN((A958+2)*12.9898+78.233)*43758.5453),1)</x:f>
        <x:v>0.762831738240493</x:v>
      </x:c>
      <x:c r="D958" s="131" t="n">
        <x:f>MOD(ABS(SIN((A958+3)*12.9898+78.233)*43758.5453),1)</x:f>
        <x:v>0.21131016009894665</x:v>
      </x:c>
      <x:c r="E958" s="131" t="n">
        <x:f>MOD(ABS(SIN((A958+4)*12.9898+78.233)*43758.5453),1)</x:f>
        <x:v>0.2029457646276569</x:v>
      </x:c>
      <x:c r="F958" s="131" t="n">
        <x:f>MOD(ABS(SIN((A958+5)*12.9898+78.233)*43758.5453),1)</x:f>
        <x:v>0.269315081917739</x:v>
      </x:c>
      <x:c r="G958" s="132" t="n">
        <x:f>IF(B958&lt;(('Assumptions'!$C$47-'Assumptions'!$B$47)/('Assumptions'!$D$47-'Assumptions'!$B$47)),'Assumptions'!$B$47+SQRT(B958*('Assumptions'!$D$47-'Assumptions'!$B$47)*('Assumptions'!$C$47-'Assumptions'!$B$47)),'Assumptions'!$D$47-SQRT((1-B958)*('Assumptions'!$D$47-'Assumptions'!$B$47)*('Assumptions'!$D$47-'Assumptions'!$C$47)))</x:f>
        <x:v>0.044924271158313656</x:v>
      </x:c>
      <x:c r="H958" s="132" t="n">
        <x:f>IF(C958&lt;(('Assumptions'!$C$48-'Assumptions'!$B$48)/('Assumptions'!$D$48-'Assumptions'!$B$48)),'Assumptions'!$B$48+SQRT(C958*('Assumptions'!$D$48-'Assumptions'!$B$48)*('Assumptions'!$C$48-'Assumptions'!$B$48)),'Assumptions'!$D$48-SQRT((1-C958)*('Assumptions'!$D$48-'Assumptions'!$B$48)*('Assumptions'!$D$48-'Assumptions'!$C$48)))</x:f>
        <x:v>0.09431542160111728</x:v>
      </x:c>
      <x:c r="I958" s="132" t="n">
        <x:f>IF(D958&lt;(('Assumptions'!$C$49-'Assumptions'!$B$49)/('Assumptions'!$D$49-'Assumptions'!$B$49)),'Assumptions'!$B$49+SQRT(D958*('Assumptions'!$D$49-'Assumptions'!$B$49)*('Assumptions'!$C$49-'Assumptions'!$B$49)),'Assumptions'!$D$49-SQRT((1-D958)*('Assumptions'!$D$49-'Assumptions'!$B$49)*('Assumptions'!$D$49-'Assumptions'!$C$49)))</x:f>
        <x:v>0.017771850802210123</x:v>
      </x:c>
      <x:c r="J958" s="132" t="n">
        <x:f>IF(E958&lt;(('Assumptions'!$C$50-'Assumptions'!$B$50)/('Assumptions'!$D$50-'Assumptions'!$B$50)),'Assumptions'!$B$50+SQRT(E958*('Assumptions'!$D$50-'Assumptions'!$B$50)*('Assumptions'!$C$50-'Assumptions'!$B$50)),'Assumptions'!$D$50-SQRT((1-E958)*('Assumptions'!$D$50-'Assumptions'!$B$50)*('Assumptions'!$D$50-'Assumptions'!$C$50)))</x:f>
        <x:v>0.06425742532635195</x:v>
      </x:c>
      <x:c r="K958" s="132" t="n">
        <x:f>IF(F958&lt;(('Assumptions'!$C$51-'Assumptions'!$B$51)/('Assumptions'!$D$51-'Assumptions'!$B$51)),'Assumptions'!$B$51+SQRT(F958*('Assumptions'!$D$51-'Assumptions'!$B$51)*('Assumptions'!$C$51-'Assumptions'!$B$51)),'Assumptions'!$D$51-SQRT((1-F958)*('Assumptions'!$D$51-'Assumptions'!$B$51)*('Assumptions'!$D$51-'Assumptions'!$C$51)))</x:f>
        <x:v>0.0661059077108332</x:v>
      </x:c>
      <x:c r="L958" s="133" t="n">
        <x:f>(('Assumptions'!$B$17*(1+G958)+'Assumptions'!$B$18)*(1-H958-'Assumptions'!$B$20)-SUM('Assumptions'!$B$21:$B$25)*(1+I958))-(('Assumptions'!$B$17*(1+G958)+'Assumptions'!$B$18)*(1-H958-'Assumptions'!$B$20)*'Assumptions'!$B$26)</x:f>
        <x:v>210693.01141537883</x:v>
      </x:c>
      <x:c r="M958" s="133" t="n">
        <x:f>'Assumptions'!$B$10*'Assumptions'!$B$33</x:f>
        <x:v>1950000</x:v>
      </x:c>
      <x:c r="N958" s="133" t="n">
        <x:f>-PMT(K958/12,'Assumptions'!$B$35*12,M958)*12</x:f>
        <x:v>149609.8891469182</x:v>
      </x:c>
      <x:c r="O958" s="133" t="n">
        <x:f>(L958*(1+'Assumptions'!$B$29)^('Assumptions'!$B$14/12)/J958)*(1-'Assumptions'!$B$42)-'Debt Schedule'!$F$9</x:f>
        <x:v>3573063.9355337326</x:v>
      </x:c>
      <x:c r="P958" s="132" t="n">
        <x:f>((O958+(L958-N958-'Assumptions'!$B$27-'Assumptions'!$B$28)*('Assumptions'!$B$14/12))/ABS('Monthly Cash Flow'!$S$5))^(1/('Assumptions'!$B$14/12))-1</x:f>
        <x:v>0.23229094760059676</x:v>
      </x:c>
      <x:c r="Q958" s="133" t="n">
        <x:f>-ABS('Monthly Cash Flow'!$S$5)+((L958-N958-'Assumptions'!$B$27-'Assumptions'!$B$28)*(1-(1+'Assumptions'!$B$43)^-('Assumptions'!$B$14/12))/'Assumptions'!$B$43)+(O958/(1+'Assumptions'!$B$43)^('Assumptions'!$B$14/12))</x:f>
        <x:v>1004013.2071796576</x:v>
      </x:c>
    </x:row>
    <x:row r="959">
      <x:c r="A959" s="131" t="n">
        <x:f>952</x:f>
        <x:v>952</x:v>
      </x:c>
      <x:c r="B959" s="131" t="n">
        <x:f>MOD(ABS(SIN((A959+1)*12.9898+78.233)*43758.5453),1)</x:f>
        <x:v>0.762831738240493</x:v>
      </x:c>
      <x:c r="C959" s="131" t="n">
        <x:f>MOD(ABS(SIN((A959+2)*12.9898+78.233)*43758.5453),1)</x:f>
        <x:v>0.21131016009894665</x:v>
      </x:c>
      <x:c r="D959" s="131" t="n">
        <x:f>MOD(ABS(SIN((A959+3)*12.9898+78.233)*43758.5453),1)</x:f>
        <x:v>0.2029457646276569</x:v>
      </x:c>
      <x:c r="E959" s="131" t="n">
        <x:f>MOD(ABS(SIN((A959+4)*12.9898+78.233)*43758.5453),1)</x:f>
        <x:v>0.269315081917739</x:v>
      </x:c>
      <x:c r="F959" s="131" t="n">
        <x:f>MOD(ABS(SIN((A959+5)*12.9898+78.233)*43758.5453),1)</x:f>
        <x:v>0.9553107106476091</x:v>
      </x:c>
      <x:c r="G959" s="132" t="n">
        <x:f>IF(B959&lt;(('Assumptions'!$C$47-'Assumptions'!$B$47)/('Assumptions'!$D$47-'Assumptions'!$B$47)),'Assumptions'!$B$47+SQRT(B959*('Assumptions'!$D$47-'Assumptions'!$B$47)*('Assumptions'!$C$47-'Assumptions'!$B$47)),'Assumptions'!$D$47-SQRT((1-B959)*('Assumptions'!$D$47-'Assumptions'!$B$47)*('Assumptions'!$D$47-'Assumptions'!$C$47)))</x:f>
        <x:v>0.03839892705356414</x:v>
      </x:c>
      <x:c r="H959" s="132" t="n">
        <x:f>IF(C959&lt;(('Assumptions'!$C$48-'Assumptions'!$B$48)/('Assumptions'!$D$48-'Assumptions'!$B$48)),'Assumptions'!$B$48+SQRT(C959*('Assumptions'!$D$48-'Assumptions'!$B$48)*('Assumptions'!$C$48-'Assumptions'!$B$48)),'Assumptions'!$D$48-SQRT((1-C959)*('Assumptions'!$D$48-'Assumptions'!$B$48)*('Assumptions'!$D$48-'Assumptions'!$C$48)))</x:f>
        <x:v>0.056406884108628264</x:v>
      </x:c>
      <x:c r="I959" s="132" t="n">
        <x:f>IF(D959&lt;(('Assumptions'!$C$49-'Assumptions'!$B$49)/('Assumptions'!$D$49-'Assumptions'!$B$49)),'Assumptions'!$B$49+SQRT(D959*('Assumptions'!$D$49-'Assumptions'!$B$49)*('Assumptions'!$C$49-'Assumptions'!$B$49)),'Assumptions'!$D$49-SQRT((1-D959)*('Assumptions'!$D$49-'Assumptions'!$B$49)*('Assumptions'!$D$49-'Assumptions'!$C$49)))</x:f>
        <x:v>0.01681681597437714</x:v>
      </x:c>
      <x:c r="J959" s="132" t="n">
        <x:f>IF(E959&lt;(('Assumptions'!$C$50-'Assumptions'!$B$50)/('Assumptions'!$D$50-'Assumptions'!$B$50)),'Assumptions'!$B$50+SQRT(E959*('Assumptions'!$D$50-'Assumptions'!$B$50)*('Assumptions'!$C$50-'Assumptions'!$B$50)),'Assumptions'!$D$50-SQRT((1-E959)*('Assumptions'!$D$50-'Assumptions'!$B$50)*('Assumptions'!$D$50-'Assumptions'!$C$50)))</x:f>
        <x:v>0.06528433641561639</x:v>
      </x:c>
      <x:c r="K959" s="132" t="n">
        <x:f>IF(F959&lt;(('Assumptions'!$C$51-'Assumptions'!$B$51)/('Assumptions'!$D$51-'Assumptions'!$B$51)),'Assumptions'!$B$51+SQRT(F959*('Assumptions'!$D$51-'Assumptions'!$B$51)*('Assumptions'!$C$51-'Assumptions'!$B$51)),'Assumptions'!$D$51-SQRT((1-F959)*('Assumptions'!$D$51-'Assumptions'!$B$51)*('Assumptions'!$D$51-'Assumptions'!$C$51)))</x:f>
        <x:v>0.08036246611863179</x:v>
      </x:c>
      <x:c r="L959" s="133" t="n">
        <x:f>(('Assumptions'!$B$17*(1+G959)+'Assumptions'!$B$18)*(1-H959-'Assumptions'!$B$20)-SUM('Assumptions'!$B$21:$B$25)*(1+I959))-(('Assumptions'!$B$17*(1+G959)+'Assumptions'!$B$18)*(1-H959-'Assumptions'!$B$20)*'Assumptions'!$B$26)</x:f>
        <x:v>223052.75648067606</x:v>
      </x:c>
      <x:c r="M959" s="133" t="n">
        <x:f>'Assumptions'!$B$10*'Assumptions'!$B$33</x:f>
        <x:v>1950000</x:v>
      </x:c>
      <x:c r="N959" s="133" t="n">
        <x:f>-PMT(K959/12,'Assumptions'!$B$35*12,M959)*12</x:f>
        <x:v>172292.55436557066</x:v>
      </x:c>
      <x:c r="O959" s="133" t="n">
        <x:f>(L959*(1+'Assumptions'!$B$29)^('Assumptions'!$B$14/12)/J959)*(1-'Assumptions'!$B$42)-'Debt Schedule'!$F$9</x:f>
        <x:v>3723167.5232851827</x:v>
      </x:c>
      <x:c r="P959" s="132" t="n">
        <x:f>((O959+(L959-N959-'Assumptions'!$B$27-'Assumptions'!$B$28)*('Assumptions'!$B$14/12))/ABS('Monthly Cash Flow'!$S$5))^(1/('Assumptions'!$B$14/12))-1</x:f>
        <x:v>0.2388201546754236</x:v>
      </x:c>
      <x:c r="Q959" s="133" t="n">
        <x:f>-ABS('Monthly Cash Flow'!$S$5)+((L959-N959-'Assumptions'!$B$27-'Assumptions'!$B$28)*(1-(1+'Assumptions'!$B$43)^-('Assumptions'!$B$14/12))/'Assumptions'!$B$43)+(O959/(1+'Assumptions'!$B$43)^('Assumptions'!$B$14/12))</x:f>
        <x:v>1058083.736343215</x:v>
      </x:c>
    </x:row>
    <x:row r="960">
      <x:c r="A960" s="131" t="n">
        <x:f>953</x:f>
        <x:v>953</x:v>
      </x:c>
      <x:c r="B960" s="131" t="n">
        <x:f>MOD(ABS(SIN((A960+1)*12.9898+78.233)*43758.5453),1)</x:f>
        <x:v>0.21131016009894665</x:v>
      </x:c>
      <x:c r="C960" s="131" t="n">
        <x:f>MOD(ABS(SIN((A960+2)*12.9898+78.233)*43758.5453),1)</x:f>
        <x:v>0.2029457646276569</x:v>
      </x:c>
      <x:c r="D960" s="131" t="n">
        <x:f>MOD(ABS(SIN((A960+3)*12.9898+78.233)*43758.5453),1)</x:f>
        <x:v>0.269315081917739</x:v>
      </x:c>
      <x:c r="E960" s="131" t="n">
        <x:f>MOD(ABS(SIN((A960+4)*12.9898+78.233)*43758.5453),1)</x:f>
        <x:v>0.9553107106476091</x:v>
      </x:c>
      <x:c r="F960" s="131" t="n">
        <x:f>MOD(ABS(SIN((A960+5)*12.9898+78.233)*43758.5453),1)</x:f>
        <x:v>0.15058418216949576</x:v>
      </x:c>
      <x:c r="G960" s="132" t="n">
        <x:f>IF(B960&lt;(('Assumptions'!$C$47-'Assumptions'!$B$47)/('Assumptions'!$D$47-'Assumptions'!$B$47)),'Assumptions'!$B$47+SQRT(B960*('Assumptions'!$D$47-'Assumptions'!$B$47)*('Assumptions'!$C$47-'Assumptions'!$B$47)),'Assumptions'!$D$47-SQRT((1-B960)*('Assumptions'!$D$47-'Assumptions'!$B$47)*('Assumptions'!$D$47-'Assumptions'!$C$47)))</x:f>
        <x:v>-0.02878592946352021</x:v>
      </x:c>
      <x:c r="H960" s="132" t="n">
        <x:f>IF(C960&lt;(('Assumptions'!$C$48-'Assumptions'!$B$48)/('Assumptions'!$D$48-'Assumptions'!$B$48)),'Assumptions'!$B$48+SQRT(C960*('Assumptions'!$D$48-'Assumptions'!$B$48)*('Assumptions'!$C$48-'Assumptions'!$B$48)),'Assumptions'!$D$48-SQRT((1-C960)*('Assumptions'!$D$48-'Assumptions'!$B$48)*('Assumptions'!$D$48-'Assumptions'!$C$48)))</x:f>
        <x:v>0.055878968744354315</x:v>
      </x:c>
      <x:c r="I960" s="132" t="n">
        <x:f>IF(D960&lt;(('Assumptions'!$C$49-'Assumptions'!$B$49)/('Assumptions'!$D$49-'Assumptions'!$B$49)),'Assumptions'!$B$49+SQRT(D960*('Assumptions'!$D$49-'Assumptions'!$B$49)*('Assumptions'!$C$49-'Assumptions'!$B$49)),'Assumptions'!$D$49-SQRT((1-D960)*('Assumptions'!$D$49-'Assumptions'!$B$49)*('Assumptions'!$D$49-'Assumptions'!$C$49)))</x:f>
        <x:v>0.023931464700224683</x:v>
      </x:c>
      <x:c r="J960" s="132" t="n">
        <x:f>IF(E960&lt;(('Assumptions'!$C$50-'Assumptions'!$B$50)/('Assumptions'!$D$50-'Assumptions'!$B$50)),'Assumptions'!$B$50+SQRT(E960*('Assumptions'!$D$50-'Assumptions'!$B$50)*('Assumptions'!$C$50-'Assumptions'!$B$50)),'Assumptions'!$D$50-SQRT((1-E960)*('Assumptions'!$D$50-'Assumptions'!$B$50)*('Assumptions'!$D$50-'Assumptions'!$C$50)))</x:f>
        <x:v>0.0764547408232458</x:v>
      </x:c>
      <x:c r="K960" s="132" t="n">
        <x:f>IF(F960&lt;(('Assumptions'!$C$51-'Assumptions'!$B$51)/('Assumptions'!$D$51-'Assumptions'!$B$51)),'Assumptions'!$B$51+SQRT(F960*('Assumptions'!$D$51-'Assumptions'!$B$51)*('Assumptions'!$C$51-'Assumptions'!$B$51)),'Assumptions'!$D$51-SQRT((1-F960)*('Assumptions'!$D$51-'Assumptions'!$B$51)*('Assumptions'!$D$51-'Assumptions'!$C$51)))</x:f>
        <x:v>0.06393511072916476</x:v>
      </x:c>
      <x:c r="L960" s="133" t="n">
        <x:f>(('Assumptions'!$B$17*(1+G960)+'Assumptions'!$B$18)*(1-H960-'Assumptions'!$B$20)-SUM('Assumptions'!$B$21:$B$25)*(1+I960))-(('Assumptions'!$B$17*(1+G960)+'Assumptions'!$B$18)*(1-H960-'Assumptions'!$B$20)*'Assumptions'!$B$26)</x:f>
        <x:v>200665.4495144908</x:v>
      </x:c>
      <x:c r="M960" s="133" t="n">
        <x:f>'Assumptions'!$B$10*'Assumptions'!$B$33</x:f>
        <x:v>1950000</x:v>
      </x:c>
      <x:c r="N960" s="133" t="n">
        <x:f>-PMT(K960/12,'Assumptions'!$B$35*12,M960)*12</x:f>
        <x:v>146268.97665835358</x:v>
      </x:c>
      <x:c r="O960" s="133" t="n">
        <x:f>(L960*(1+'Assumptions'!$B$29)^('Assumptions'!$B$14/12)/J960)*(1-'Assumptions'!$B$42)-'Debt Schedule'!$F$9</x:f>
        <x:v>2860106.1972291064</x:v>
      </x:c>
      <x:c r="P960" s="132" t="n">
        <x:f>((O960+(L960-N960-'Assumptions'!$B$27-'Assumptions'!$B$28)*('Assumptions'!$B$14/12))/ABS('Monthly Cash Flow'!$S$5))^(1/('Assumptions'!$B$14/12))-1</x:f>
        <x:v>0.1776466629829505</x:v>
      </x:c>
      <x:c r="Q960" s="133" t="n">
        <x:f>-ABS('Monthly Cash Flow'!$S$5)+((L960-N960-'Assumptions'!$B$27-'Assumptions'!$B$28)*(1-(1+'Assumptions'!$B$43)^-('Assumptions'!$B$14/12))/'Assumptions'!$B$43)+(O960/(1+'Assumptions'!$B$43)^('Assumptions'!$B$14/12))</x:f>
        <x:v>535974.882902378</x:v>
      </x:c>
    </x:row>
    <x:row r="961">
      <x:c r="A961" s="131" t="n">
        <x:f>954</x:f>
        <x:v>954</x:v>
      </x:c>
      <x:c r="B961" s="131" t="n">
        <x:f>MOD(ABS(SIN((A961+1)*12.9898+78.233)*43758.5453),1)</x:f>
        <x:v>0.2029457646276569</x:v>
      </x:c>
      <x:c r="C961" s="131" t="n">
        <x:f>MOD(ABS(SIN((A961+2)*12.9898+78.233)*43758.5453),1)</x:f>
        <x:v>0.269315081917739</x:v>
      </x:c>
      <x:c r="D961" s="131" t="n">
        <x:f>MOD(ABS(SIN((A961+3)*12.9898+78.233)*43758.5453),1)</x:f>
        <x:v>0.9553107106476091</x:v>
      </x:c>
      <x:c r="E961" s="131" t="n">
        <x:f>MOD(ABS(SIN((A961+4)*12.9898+78.233)*43758.5453),1)</x:f>
        <x:v>0.15058418216949576</x:v>
      </x:c>
      <x:c r="F961" s="131" t="n">
        <x:f>MOD(ABS(SIN((A961+5)*12.9898+78.233)*43758.5453),1)</x:f>
        <x:v>0.8983474799169926</x:v>
      </x:c>
      <x:c r="G961" s="132" t="n">
        <x:f>IF(B961&lt;(('Assumptions'!$C$47-'Assumptions'!$B$47)/('Assumptions'!$D$47-'Assumptions'!$B$47)),'Assumptions'!$B$47+SQRT(B961*('Assumptions'!$D$47-'Assumptions'!$B$47)*('Assumptions'!$C$47-'Assumptions'!$B$47)),'Assumptions'!$D$47-SQRT((1-B961)*('Assumptions'!$D$47-'Assumptions'!$B$47)*('Assumptions'!$D$47-'Assumptions'!$C$47)))</x:f>
        <x:v>-0.03020961132746311</x:v>
      </x:c>
      <x:c r="H961" s="132" t="n">
        <x:f>IF(C961&lt;(('Assumptions'!$C$48-'Assumptions'!$B$48)/('Assumptions'!$D$48-'Assumptions'!$B$48)),'Assumptions'!$B$48+SQRT(C961*('Assumptions'!$D$48-'Assumptions'!$B$48)*('Assumptions'!$C$48-'Assumptions'!$B$48)),'Assumptions'!$D$48-SQRT((1-C961)*('Assumptions'!$D$48-'Assumptions'!$B$48)*('Assumptions'!$D$48-'Assumptions'!$C$48)))</x:f>
        <x:v>0.05981173880082372</x:v>
      </x:c>
      <x:c r="I961" s="132" t="n">
        <x:f>IF(D961&lt;(('Assumptions'!$C$49-'Assumptions'!$B$49)/('Assumptions'!$D$49-'Assumptions'!$B$49)),'Assumptions'!$B$49+SQRT(D961*('Assumptions'!$D$49-'Assumptions'!$B$49)*('Assumptions'!$C$49-'Assumptions'!$B$49)),'Assumptions'!$D$49-SQRT((1-D961)*('Assumptions'!$D$49-'Assumptions'!$B$49)*('Assumptions'!$D$49-'Assumptions'!$C$49)))</x:f>
        <x:v>0.11893090522703238</x:v>
      </x:c>
      <x:c r="J961" s="132" t="n">
        <x:f>IF(E961&lt;(('Assumptions'!$C$50-'Assumptions'!$B$50)/('Assumptions'!$D$50-'Assumptions'!$B$50)),'Assumptions'!$B$50+SQRT(E961*('Assumptions'!$D$50-'Assumptions'!$B$50)*('Assumptions'!$C$50-'Assumptions'!$B$50)),'Assumptions'!$D$50-SQRT((1-E961)*('Assumptions'!$D$50-'Assumptions'!$B$50)*('Assumptions'!$D$50-'Assumptions'!$C$50)))</x:f>
        <x:v>0.06332077666537178</x:v>
      </x:c>
      <x:c r="K961" s="132" t="n">
        <x:f>IF(F961&lt;(('Assumptions'!$C$51-'Assumptions'!$B$51)/('Assumptions'!$D$51-'Assumptions'!$B$51)),'Assumptions'!$B$51+SQRT(F961*('Assumptions'!$D$51-'Assumptions'!$B$51)*('Assumptions'!$C$51-'Assumptions'!$B$51)),'Assumptions'!$D$51-SQRT((1-F961)*('Assumptions'!$D$51-'Assumptions'!$B$51)*('Assumptions'!$D$51-'Assumptions'!$C$51)))</x:f>
        <x:v>0.07800569694037017</x:v>
      </x:c>
      <x:c r="L961" s="133" t="n">
        <x:f>(('Assumptions'!$B$17*(1+G961)+'Assumptions'!$B$18)*(1-H961-'Assumptions'!$B$20)-SUM('Assumptions'!$B$21:$B$25)*(1+I961))-(('Assumptions'!$B$17*(1+G961)+'Assumptions'!$B$18)*(1-H961-'Assumptions'!$B$20)*'Assumptions'!$B$26)</x:f>
        <x:v>186849.84587774414</x:v>
      </x:c>
      <x:c r="M961" s="133" t="n">
        <x:f>'Assumptions'!$B$10*'Assumptions'!$B$33</x:f>
        <x:v>1950000</x:v>
      </x:c>
      <x:c r="N961" s="133" t="n">
        <x:f>-PMT(K961/12,'Assumptions'!$B$35*12,M961)*12</x:f>
        <x:v>168458.92578821487</x:v>
      </x:c>
      <x:c r="O961" s="133" t="n">
        <x:f>(L961*(1+'Assumptions'!$B$29)^('Assumptions'!$B$14/12)/J961)*(1-'Assumptions'!$B$42)-'Debt Schedule'!$F$9</x:f>
        <x:v>3215588.656820573</x:v>
      </x:c>
      <x:c r="P961" s="132" t="n">
        <x:f>((O961+(L961-N961-'Assumptions'!$B$27-'Assumptions'!$B$28)*('Assumptions'!$B$14/12))/ABS('Monthly Cash Flow'!$S$5))^(1/('Assumptions'!$B$14/12))-1</x:f>
        <x:v>0.19141489576546666</x:v>
      </x:c>
      <x:c r="Q961" s="133" t="n">
        <x:f>-ABS('Monthly Cash Flow'!$S$5)+((L961-N961-'Assumptions'!$B$27-'Assumptions'!$B$28)*(1-(1+'Assumptions'!$B$43)^-('Assumptions'!$B$14/12))/'Assumptions'!$B$43)+(O961/(1+'Assumptions'!$B$43)^('Assumptions'!$B$14/12))</x:f>
        <x:v>620212.1489833388</x:v>
      </x:c>
    </x:row>
    <x:row r="962">
      <x:c r="A962" s="131" t="n">
        <x:f>955</x:f>
        <x:v>955</x:v>
      </x:c>
      <x:c r="B962" s="131" t="n">
        <x:f>MOD(ABS(SIN((A962+1)*12.9898+78.233)*43758.5453),1)</x:f>
        <x:v>0.269315081917739</x:v>
      </x:c>
      <x:c r="C962" s="131" t="n">
        <x:f>MOD(ABS(SIN((A962+2)*12.9898+78.233)*43758.5453),1)</x:f>
        <x:v>0.9553107106476091</x:v>
      </x:c>
      <x:c r="D962" s="131" t="n">
        <x:f>MOD(ABS(SIN((A962+3)*12.9898+78.233)*43758.5453),1)</x:f>
        <x:v>0.15058418216949576</x:v>
      </x:c>
      <x:c r="E962" s="131" t="n">
        <x:f>MOD(ABS(SIN((A962+4)*12.9898+78.233)*43758.5453),1)</x:f>
        <x:v>0.8983474799169926</x:v>
      </x:c>
      <x:c r="F962" s="131" t="n">
        <x:f>MOD(ABS(SIN((A962+5)*12.9898+78.233)*43758.5453),1)</x:f>
        <x:v>0.8203011823497945</x:v>
      </x:c>
      <x:c r="G962" s="132" t="n">
        <x:f>IF(B962&lt;(('Assumptions'!$C$47-'Assumptions'!$B$47)/('Assumptions'!$D$47-'Assumptions'!$B$47)),'Assumptions'!$B$47+SQRT(B962*('Assumptions'!$D$47-'Assumptions'!$B$47)*('Assumptions'!$C$47-'Assumptions'!$B$47)),'Assumptions'!$D$47-SQRT((1-B962)*('Assumptions'!$D$47-'Assumptions'!$B$47)*('Assumptions'!$D$47-'Assumptions'!$C$47)))</x:f>
        <x:v>-0.01960371920277819</x:v>
      </x:c>
      <x:c r="H962" s="132" t="n">
        <x:f>IF(C962&lt;(('Assumptions'!$C$48-'Assumptions'!$B$48)/('Assumptions'!$D$48-'Assumptions'!$B$48)),'Assumptions'!$B$48+SQRT(C962*('Assumptions'!$D$48-'Assumptions'!$B$48)*('Assumptions'!$C$48-'Assumptions'!$B$48)),'Assumptions'!$D$48-SQRT((1-C962)*('Assumptions'!$D$48-'Assumptions'!$B$48)*('Assumptions'!$D$48-'Assumptions'!$C$48)))</x:f>
        <x:v>0.12016907096727338</x:v>
      </x:c>
      <x:c r="I962" s="132" t="n">
        <x:f>IF(D962&lt;(('Assumptions'!$C$49-'Assumptions'!$B$49)/('Assumptions'!$D$49-'Assumptions'!$B$49)),'Assumptions'!$B$49+SQRT(D962*('Assumptions'!$D$49-'Assumptions'!$B$49)*('Assumptions'!$C$49-'Assumptions'!$B$49)),'Assumptions'!$D$49-SQRT((1-D962)*('Assumptions'!$D$49-'Assumptions'!$B$49)*('Assumptions'!$D$49-'Assumptions'!$C$49)))</x:f>
        <x:v>0.010327523695741025</x:v>
      </x:c>
      <x:c r="J962" s="132" t="n">
        <x:f>IF(E962&lt;(('Assumptions'!$C$50-'Assumptions'!$B$50)/('Assumptions'!$D$50-'Assumptions'!$B$50)),'Assumptions'!$B$50+SQRT(E962*('Assumptions'!$D$50-'Assumptions'!$B$50)*('Assumptions'!$C$50-'Assumptions'!$B$50)),'Assumptions'!$D$50-SQRT((1-E962)*('Assumptions'!$D$50-'Assumptions'!$B$50)*('Assumptions'!$D$50-'Assumptions'!$C$50)))</x:f>
        <x:v>0.0746530596343941</x:v>
      </x:c>
      <x:c r="K962" s="132" t="n">
        <x:f>IF(F962&lt;(('Assumptions'!$C$51-'Assumptions'!$B$51)/('Assumptions'!$D$51-'Assumptions'!$B$51)),'Assumptions'!$B$51+SQRT(F962*('Assumptions'!$D$51-'Assumptions'!$B$51)*('Assumptions'!$C$51-'Assumptions'!$B$51)),'Assumptions'!$D$51-SQRT((1-F962)*('Assumptions'!$D$51-'Assumptions'!$B$51)*('Assumptions'!$D$51-'Assumptions'!$C$51)))</x:f>
        <x:v>0.07570053463933753</x:v>
      </x:c>
      <x:c r="L962" s="133" t="n">
        <x:f>(('Assumptions'!$B$17*(1+G962)+'Assumptions'!$B$18)*(1-H962-'Assumptions'!$B$20)-SUM('Assumptions'!$B$21:$B$25)*(1+I962))-(('Assumptions'!$B$17*(1+G962)+'Assumptions'!$B$18)*(1-H962-'Assumptions'!$B$20)*'Assumptions'!$B$26)</x:f>
        <x:v>182449.8355450665</x:v>
      </x:c>
      <x:c r="M962" s="133" t="n">
        <x:f>'Assumptions'!$B$10*'Assumptions'!$B$33</x:f>
        <x:v>1950000</x:v>
      </x:c>
      <x:c r="N962" s="133" t="n">
        <x:f>-PMT(K962/12,'Assumptions'!$B$35*12,M962)*12</x:f>
        <x:v>164740.13684382004</x:v>
      </x:c>
      <x:c r="O962" s="133" t="n">
        <x:f>(L962*(1+'Assumptions'!$B$29)^('Assumptions'!$B$14/12)/J962)*(1-'Assumptions'!$B$42)-'Debt Schedule'!$F$9</x:f>
        <x:v>2663237.1577123264</x:v>
      </x:c>
      <x:c r="P962" s="132" t="n">
        <x:f>((O962+(L962-N962-'Assumptions'!$B$27-'Assumptions'!$B$28)*('Assumptions'!$B$14/12))/ABS('Monthly Cash Flow'!$S$5))^(1/('Assumptions'!$B$14/12))-1</x:f>
        <x:v>0.1453769191370038</x:v>
      </x:c>
      <x:c r="Q962" s="133" t="n">
        <x:f>-ABS('Monthly Cash Flow'!$S$5)+((L962-N962-'Assumptions'!$B$27-'Assumptions'!$B$28)*(1-(1+'Assumptions'!$B$43)^-('Assumptions'!$B$14/12))/'Assumptions'!$B$43)+(O962/(1+'Assumptions'!$B$43)^('Assumptions'!$B$14/12))</x:f>
        <x:v>274662.9603375981</x:v>
      </x:c>
    </x:row>
    <x:row r="963">
      <x:c r="A963" s="131" t="n">
        <x:f>956</x:f>
        <x:v>956</x:v>
      </x:c>
      <x:c r="B963" s="131" t="n">
        <x:f>MOD(ABS(SIN((A963+1)*12.9898+78.233)*43758.5453),1)</x:f>
        <x:v>0.9553107106476091</x:v>
      </x:c>
      <x:c r="C963" s="131" t="n">
        <x:f>MOD(ABS(SIN((A963+2)*12.9898+78.233)*43758.5453),1)</x:f>
        <x:v>0.15058418216949576</x:v>
      </x:c>
      <x:c r="D963" s="131" t="n">
        <x:f>MOD(ABS(SIN((A963+3)*12.9898+78.233)*43758.5453),1)</x:f>
        <x:v>0.8983474799169926</x:v>
      </x:c>
      <x:c r="E963" s="131" t="n">
        <x:f>MOD(ABS(SIN((A963+4)*12.9898+78.233)*43758.5453),1)</x:f>
        <x:v>0.8203011823497945</x:v>
      </x:c>
      <x:c r="F963" s="131" t="n">
        <x:f>MOD(ABS(SIN((A963+5)*12.9898+78.233)*43758.5453),1)</x:f>
        <x:v>0.7681437959035975</x:v>
      </x:c>
      <x:c r="G963" s="132" t="n">
        <x:f>IF(B963&lt;(('Assumptions'!$C$47-'Assumptions'!$B$47)/('Assumptions'!$D$47-'Assumptions'!$B$47)),'Assumptions'!$B$47+SQRT(B963*('Assumptions'!$D$47-'Assumptions'!$B$47)*('Assumptions'!$C$47-'Assumptions'!$B$47)),'Assumptions'!$D$47-SQRT((1-B963)*('Assumptions'!$D$47-'Assumptions'!$B$47)*('Assumptions'!$D$47-'Assumptions'!$C$47)))</x:f>
        <x:v>0.07325998074723479</x:v>
      </x:c>
      <x:c r="H963" s="132" t="n">
        <x:f>IF(C963&lt;(('Assumptions'!$C$48-'Assumptions'!$B$48)/('Assumptions'!$D$48-'Assumptions'!$B$48)),'Assumptions'!$B$48+SQRT(C963*('Assumptions'!$D$48-'Assumptions'!$B$48)*('Assumptions'!$C$48-'Assumptions'!$B$48)),'Assumptions'!$D$48-SQRT((1-C963)*('Assumptions'!$D$48-'Assumptions'!$B$48)*('Assumptions'!$D$48-'Assumptions'!$C$48)))</x:f>
        <x:v>0.05229187747048992</x:v>
      </x:c>
      <x:c r="I963" s="132" t="n">
        <x:f>IF(D963&lt;(('Assumptions'!$C$49-'Assumptions'!$B$49)/('Assumptions'!$D$49-'Assumptions'!$B$49)),'Assumptions'!$B$49+SQRT(D963*('Assumptions'!$D$49-'Assumptions'!$B$49)*('Assumptions'!$C$49-'Assumptions'!$B$49)),'Assumptions'!$D$49-SQRT((1-D963)*('Assumptions'!$D$49-'Assumptions'!$B$49)*('Assumptions'!$D$49-'Assumptions'!$C$49)))</x:f>
        <x:v>0.10314176236996359</x:v>
      </x:c>
      <x:c r="J963" s="132" t="n">
        <x:f>IF(E963&lt;(('Assumptions'!$C$50-'Assumptions'!$B$50)/('Assumptions'!$D$50-'Assumptions'!$B$50)),'Assumptions'!$B$50+SQRT(E963*('Assumptions'!$D$50-'Assumptions'!$B$50)*('Assumptions'!$C$50-'Assumptions'!$B$50)),'Assumptions'!$D$50-SQRT((1-E963)*('Assumptions'!$D$50-'Assumptions'!$B$50)*('Assumptions'!$D$50-'Assumptions'!$C$50)))</x:f>
        <x:v>0.07289083039560032</x:v>
      </x:c>
      <x:c r="K963" s="132" t="n">
        <x:f>IF(F963&lt;(('Assumptions'!$C$51-'Assumptions'!$B$51)/('Assumptions'!$D$51-'Assumptions'!$B$51)),'Assumptions'!$B$51+SQRT(F963*('Assumptions'!$D$51-'Assumptions'!$B$51)*('Assumptions'!$C$51-'Assumptions'!$B$51)),'Assumptions'!$D$51-SQRT((1-F963)*('Assumptions'!$D$51-'Assumptions'!$B$51)*('Assumptions'!$D$51-'Assumptions'!$C$51)))</x:f>
        <x:v>0.07443681874521725</x:v>
      </x:c>
      <x:c r="L963" s="133" t="n">
        <x:f>(('Assumptions'!$B$17*(1+G963)+'Assumptions'!$B$18)*(1-H963-'Assumptions'!$B$20)-SUM('Assumptions'!$B$21:$B$25)*(1+I963))-(('Assumptions'!$B$17*(1+G963)+'Assumptions'!$B$18)*(1-H963-'Assumptions'!$B$20)*'Assumptions'!$B$26)</x:f>
        <x:v>225021.16458834297</x:v>
      </x:c>
      <x:c r="M963" s="133" t="n">
        <x:f>'Assumptions'!$B$10*'Assumptions'!$B$33</x:f>
        <x:v>1950000</x:v>
      </x:c>
      <x:c r="N963" s="133" t="n">
        <x:f>-PMT(K963/12,'Assumptions'!$B$35*12,M963)*12</x:f>
        <x:v>162714.74764428448</x:v>
      </x:c>
      <x:c r="O963" s="133" t="n">
        <x:f>(L963*(1+'Assumptions'!$B$29)^('Assumptions'!$B$14/12)/J963)*(1-'Assumptions'!$B$42)-'Debt Schedule'!$F$9</x:f>
        <x:v>3364065.5320932725</x:v>
      </x:c>
      <x:c r="P963" s="132" t="n">
        <x:f>((O963+(L963-N963-'Assumptions'!$B$27-'Assumptions'!$B$28)*('Assumptions'!$B$14/12))/ABS('Monthly Cash Flow'!$S$5))^(1/('Assumptions'!$B$14/12))-1</x:f>
        <x:v>0.21838764721394455</x:v>
      </x:c>
      <x:c r="Q963" s="133" t="n">
        <x:f>-ABS('Monthly Cash Flow'!$S$5)+((L963-N963-'Assumptions'!$B$27-'Assumptions'!$B$28)*(1-(1+'Assumptions'!$B$43)^-('Assumptions'!$B$14/12))/'Assumptions'!$B$43)+(O963/(1+'Assumptions'!$B$43)^('Assumptions'!$B$14/12))</x:f>
        <x:v>878878.8912695004</x:v>
      </x:c>
    </x:row>
    <x:row r="964">
      <x:c r="A964" s="131" t="n">
        <x:f>957</x:f>
        <x:v>957</x:v>
      </x:c>
      <x:c r="B964" s="131" t="n">
        <x:f>MOD(ABS(SIN((A964+1)*12.9898+78.233)*43758.5453),1)</x:f>
        <x:v>0.15058418216949576</x:v>
      </x:c>
      <x:c r="C964" s="131" t="n">
        <x:f>MOD(ABS(SIN((A964+2)*12.9898+78.233)*43758.5453),1)</x:f>
        <x:v>0.8983474799169926</x:v>
      </x:c>
      <x:c r="D964" s="131" t="n">
        <x:f>MOD(ABS(SIN((A964+3)*12.9898+78.233)*43758.5453),1)</x:f>
        <x:v>0.8203011823497945</x:v>
      </x:c>
      <x:c r="E964" s="131" t="n">
        <x:f>MOD(ABS(SIN((A964+4)*12.9898+78.233)*43758.5453),1)</x:f>
        <x:v>0.7681437959035975</x:v>
      </x:c>
      <x:c r="F964" s="131" t="n">
        <x:f>MOD(ABS(SIN((A964+5)*12.9898+78.233)*43758.5453),1)</x:f>
        <x:v>0.6843383335144608</x:v>
      </x:c>
      <x:c r="G964" s="132" t="n">
        <x:f>IF(B964&lt;(('Assumptions'!$C$47-'Assumptions'!$B$47)/('Assumptions'!$D$47-'Assumptions'!$B$47)),'Assumptions'!$B$47+SQRT(B964*('Assumptions'!$D$47-'Assumptions'!$B$47)*('Assumptions'!$C$47-'Assumptions'!$B$47)),'Assumptions'!$D$47-SQRT((1-B964)*('Assumptions'!$D$47-'Assumptions'!$B$47)*('Assumptions'!$D$47-'Assumptions'!$C$47)))</x:f>
        <x:v>-0.039883277101393014</x:v>
      </x:c>
      <x:c r="H964" s="132" t="n">
        <x:f>IF(C964&lt;(('Assumptions'!$C$48-'Assumptions'!$B$48)/('Assumptions'!$D$48-'Assumptions'!$B$48)),'Assumptions'!$B$48+SQRT(C964*('Assumptions'!$D$48-'Assumptions'!$B$48)*('Assumptions'!$C$48-'Assumptions'!$B$48)),'Assumptions'!$D$48-SQRT((1-C964)*('Assumptions'!$D$48-'Assumptions'!$B$48)*('Assumptions'!$D$48-'Assumptions'!$C$48)))</x:f>
        <x:v>0.11009110204754337</x:v>
      </x:c>
      <x:c r="I964" s="132" t="n">
        <x:f>IF(D964&lt;(('Assumptions'!$C$49-'Assumptions'!$B$49)/('Assumptions'!$D$49-'Assumptions'!$B$49)),'Assumptions'!$B$49+SQRT(D964*('Assumptions'!$D$49-'Assumptions'!$B$49)*('Assumptions'!$C$49-'Assumptions'!$B$49)),'Assumptions'!$D$49-SQRT((1-D964)*('Assumptions'!$D$49-'Assumptions'!$B$49)*('Assumptions'!$D$49-'Assumptions'!$C$49)))</x:f>
        <x:v>0.08769835908064348</x:v>
      </x:c>
      <x:c r="J964" s="132" t="n">
        <x:f>IF(E964&lt;(('Assumptions'!$C$50-'Assumptions'!$B$50)/('Assumptions'!$D$50-'Assumptions'!$B$50)),'Assumptions'!$B$50+SQRT(E964*('Assumptions'!$D$50-'Assumptions'!$B$50)*('Assumptions'!$C$50-'Assumptions'!$B$50)),'Assumptions'!$D$50-SQRT((1-E964)*('Assumptions'!$D$50-'Assumptions'!$B$50)*('Assumptions'!$D$50-'Assumptions'!$C$50)))</x:f>
        <x:v>0.0719247565112801</x:v>
      </x:c>
      <x:c r="K964" s="132" t="n">
        <x:f>IF(F964&lt;(('Assumptions'!$C$51-'Assumptions'!$B$51)/('Assumptions'!$D$51-'Assumptions'!$B$51)),'Assumptions'!$B$51+SQRT(F964*('Assumptions'!$D$51-'Assumptions'!$B$51)*('Assumptions'!$C$51-'Assumptions'!$B$51)),'Assumptions'!$D$51-SQRT((1-F964)*('Assumptions'!$D$51-'Assumptions'!$B$51)*('Assumptions'!$D$51-'Assumptions'!$C$51)))</x:f>
        <x:v>0.07267473420180459</x:v>
      </x:c>
      <x:c r="L964" s="133" t="n">
        <x:f>(('Assumptions'!$B$17*(1+G964)+'Assumptions'!$B$18)*(1-H964-'Assumptions'!$B$20)-SUM('Assumptions'!$B$21:$B$25)*(1+I964))-(('Assumptions'!$B$17*(1+G964)+'Assumptions'!$B$18)*(1-H964-'Assumptions'!$B$20)*'Assumptions'!$B$26)</x:f>
        <x:v>170122.98206623414</x:v>
      </x:c>
      <x:c r="M964" s="133" t="n">
        <x:f>'Assumptions'!$B$10*'Assumptions'!$B$33</x:f>
        <x:v>1950000</x:v>
      </x:c>
      <x:c r="N964" s="133" t="n">
        <x:f>-PMT(K964/12,'Assumptions'!$B$35*12,M964)*12</x:f>
        <x:v>159906.67447075396</x:v>
      </x:c>
      <x:c r="O964" s="133" t="n">
        <x:f>(L964*(1+'Assumptions'!$B$29)^('Assumptions'!$B$14/12)/J964)*(1-'Assumptions'!$B$42)-'Debt Schedule'!$F$9</x:f>
        <x:v>2577499.345024481</x:v>
      </x:c>
      <x:c r="P964" s="132" t="n">
        <x:f>((O964+(L964-N964-'Assumptions'!$B$27-'Assumptions'!$B$28)*('Assumptions'!$B$14/12))/ABS('Monthly Cash Flow'!$S$5))^(1/('Assumptions'!$B$14/12))-1</x:f>
        <x:v>0.13409674368351054</x:v>
      </x:c>
      <x:c r="Q964" s="133" t="n">
        <x:f>-ABS('Monthly Cash Flow'!$S$5)+((L964-N964-'Assumptions'!$B$27-'Assumptions'!$B$28)*(1-(1+'Assumptions'!$B$43)^-('Assumptions'!$B$14/12))/'Assumptions'!$B$43)+(O964/(1+'Assumptions'!$B$43)^('Assumptions'!$B$14/12))</x:f>
        <x:v>193020.67638552142</x:v>
      </x:c>
    </x:row>
    <x:row r="965">
      <x:c r="A965" s="131" t="n">
        <x:f>958</x:f>
        <x:v>958</x:v>
      </x:c>
      <x:c r="B965" s="131" t="n">
        <x:f>MOD(ABS(SIN((A965+1)*12.9898+78.233)*43758.5453),1)</x:f>
        <x:v>0.8983474799169926</x:v>
      </x:c>
      <x:c r="C965" s="131" t="n">
        <x:f>MOD(ABS(SIN((A965+2)*12.9898+78.233)*43758.5453),1)</x:f>
        <x:v>0.8203011823497945</x:v>
      </x:c>
      <x:c r="D965" s="131" t="n">
        <x:f>MOD(ABS(SIN((A965+3)*12.9898+78.233)*43758.5453),1)</x:f>
        <x:v>0.7681437959035975</x:v>
      </x:c>
      <x:c r="E965" s="131" t="n">
        <x:f>MOD(ABS(SIN((A965+4)*12.9898+78.233)*43758.5453),1)</x:f>
        <x:v>0.6843383335144608</x:v>
      </x:c>
      <x:c r="F965" s="131" t="n">
        <x:f>MOD(ABS(SIN((A965+5)*12.9898+78.233)*43758.5453),1)</x:f>
        <x:v>0.5377363503866945</x:v>
      </x:c>
      <x:c r="G965" s="132" t="n">
        <x:f>IF(B965&lt;(('Assumptions'!$C$47-'Assumptions'!$B$47)/('Assumptions'!$D$47-'Assumptions'!$B$47)),'Assumptions'!$B$47+SQRT(B965*('Assumptions'!$D$47-'Assumptions'!$B$47)*('Assumptions'!$C$47-'Assumptions'!$B$47)),'Assumptions'!$D$47-SQRT((1-B965)*('Assumptions'!$D$47-'Assumptions'!$B$47)*('Assumptions'!$D$47-'Assumptions'!$C$47)))</x:f>
        <x:v>0.05967085022805318</x:v>
      </x:c>
      <x:c r="H965" s="132" t="n">
        <x:f>IF(C965&lt;(('Assumptions'!$C$48-'Assumptions'!$B$48)/('Assumptions'!$D$48-'Assumptions'!$B$48)),'Assumptions'!$B$48+SQRT(C965*('Assumptions'!$D$48-'Assumptions'!$B$48)*('Assumptions'!$C$48-'Assumptions'!$B$48)),'Assumptions'!$D$48-SQRT((1-C965)*('Assumptions'!$D$48-'Assumptions'!$B$48)*('Assumptions'!$D$48-'Assumptions'!$C$48)))</x:f>
        <x:v>0.1002338134174044</x:v>
      </x:c>
      <x:c r="I965" s="132" t="n">
        <x:f>IF(D965&lt;(('Assumptions'!$C$49-'Assumptions'!$B$49)/('Assumptions'!$D$49-'Assumptions'!$B$49)),'Assumptions'!$B$49+SQRT(D965*('Assumptions'!$D$49-'Assumptions'!$B$49)*('Assumptions'!$C$49-'Assumptions'!$B$49)),'Assumptions'!$D$49-SQRT((1-D965)*('Assumptions'!$D$49-'Assumptions'!$B$49)*('Assumptions'!$D$49-'Assumptions'!$C$49)))</x:f>
        <x:v>0.0792321117421023</x:v>
      </x:c>
      <x:c r="J965" s="132" t="n">
        <x:f>IF(E965&lt;(('Assumptions'!$C$50-'Assumptions'!$B$50)/('Assumptions'!$D$50-'Assumptions'!$B$50)),'Assumptions'!$B$50+SQRT(E965*('Assumptions'!$D$50-'Assumptions'!$B$50)*('Assumptions'!$C$50-'Assumptions'!$B$50)),'Assumptions'!$D$50-SQRT((1-E965)*('Assumptions'!$D$50-'Assumptions'!$B$50)*('Assumptions'!$D$50-'Assumptions'!$C$50)))</x:f>
        <x:v>0.07057769435334123</x:v>
      </x:c>
      <x:c r="K965" s="132" t="n">
        <x:f>IF(F965&lt;(('Assumptions'!$C$51-'Assumptions'!$B$51)/('Assumptions'!$D$51-'Assumptions'!$B$51)),'Assumptions'!$B$51+SQRT(F965*('Assumptions'!$D$51-'Assumptions'!$B$51)*('Assumptions'!$C$51-'Assumptions'!$B$51)),'Assumptions'!$D$51-SQRT((1-F965)*('Assumptions'!$D$51-'Assumptions'!$B$51)*('Assumptions'!$D$51-'Assumptions'!$C$51)))</x:f>
        <x:v>0.07008476009658567</x:v>
      </x:c>
      <x:c r="L965" s="133" t="n">
        <x:f>(('Assumptions'!$B$17*(1+G965)+'Assumptions'!$B$18)*(1-H965-'Assumptions'!$B$20)-SUM('Assumptions'!$B$21:$B$25)*(1+I965))-(('Assumptions'!$B$17*(1+G965)+'Assumptions'!$B$18)*(1-H965-'Assumptions'!$B$20)*'Assumptions'!$B$26)</x:f>
        <x:v>205244.08474635883</x:v>
      </x:c>
      <x:c r="M965" s="133" t="n">
        <x:f>'Assumptions'!$B$10*'Assumptions'!$B$33</x:f>
        <x:v>1950000</x:v>
      </x:c>
      <x:c r="N965" s="133" t="n">
        <x:f>-PMT(K965/12,'Assumptions'!$B$35*12,M965)*12</x:f>
        <x:v>155814.01019685686</x:v>
      </x:c>
      <x:c r="O965" s="133" t="n">
        <x:f>(L965*(1+'Assumptions'!$B$29)^('Assumptions'!$B$14/12)/J965)*(1-'Assumptions'!$B$42)-'Debt Schedule'!$F$9</x:f>
        <x:v>3168962.9367767028</x:v>
      </x:c>
      <x:c r="P965" s="132" t="n">
        <x:f>((O965+(L965-N965-'Assumptions'!$B$27-'Assumptions'!$B$28)*('Assumptions'!$B$14/12))/ABS('Monthly Cash Flow'!$S$5))^(1/('Assumptions'!$B$14/12))-1</x:f>
        <x:v>0.19962596540324573</x:v>
      </x:c>
      <x:c r="Q965" s="133" t="n">
        <x:f>-ABS('Monthly Cash Flow'!$S$5)+((L965-N965-'Assumptions'!$B$27-'Assumptions'!$B$28)*(1-(1+'Assumptions'!$B$43)^-('Assumptions'!$B$14/12))/'Assumptions'!$B$43)+(O965/(1+'Assumptions'!$B$43)^('Assumptions'!$B$14/12))</x:f>
        <x:v>708924.0612656029</x:v>
      </x:c>
    </x:row>
    <x:row r="966">
      <x:c r="A966" s="131" t="n">
        <x:f>959</x:f>
        <x:v>959</x:v>
      </x:c>
      <x:c r="B966" s="131" t="n">
        <x:f>MOD(ABS(SIN((A966+1)*12.9898+78.233)*43758.5453),1)</x:f>
        <x:v>0.8203011823497945</x:v>
      </x:c>
      <x:c r="C966" s="131" t="n">
        <x:f>MOD(ABS(SIN((A966+2)*12.9898+78.233)*43758.5453),1)</x:f>
        <x:v>0.7681437959035975</x:v>
      </x:c>
      <x:c r="D966" s="131" t="n">
        <x:f>MOD(ABS(SIN((A966+3)*12.9898+78.233)*43758.5453),1)</x:f>
        <x:v>0.6843383335144608</x:v>
      </x:c>
      <x:c r="E966" s="131" t="n">
        <x:f>MOD(ABS(SIN((A966+4)*12.9898+78.233)*43758.5453),1)</x:f>
        <x:v>0.5377363503866945</x:v>
      </x:c>
      <x:c r="F966" s="131" t="n">
        <x:f>MOD(ABS(SIN((A966+5)*12.9898+78.233)*43758.5453),1)</x:f>
        <x:v>0.33718868244977784</x:v>
      </x:c>
      <x:c r="G966" s="132" t="n">
        <x:f>IF(B966&lt;(('Assumptions'!$C$47-'Assumptions'!$B$47)/('Assumptions'!$D$47-'Assumptions'!$B$47)),'Assumptions'!$B$47+SQRT(B966*('Assumptions'!$D$47-'Assumptions'!$B$47)*('Assumptions'!$C$47-'Assumptions'!$B$47)),'Assumptions'!$D$47-SQRT((1-B966)*('Assumptions'!$D$47-'Assumptions'!$B$47)*('Assumptions'!$D$47-'Assumptions'!$C$47)))</x:f>
        <x:v>0.04637928495065282</x:v>
      </x:c>
      <x:c r="H966" s="132" t="n">
        <x:f>IF(C966&lt;(('Assumptions'!$C$48-'Assumptions'!$B$48)/('Assumptions'!$D$48-'Assumptions'!$B$48)),'Assumptions'!$B$48+SQRT(C966*('Assumptions'!$D$48-'Assumptions'!$B$48)*('Assumptions'!$C$48-'Assumptions'!$B$48)),'Assumptions'!$D$48-SQRT((1-C966)*('Assumptions'!$D$48-'Assumptions'!$B$48)*('Assumptions'!$D$48-'Assumptions'!$C$48)))</x:f>
        <x:v>0.09482993694881153</x:v>
      </x:c>
      <x:c r="I966" s="132" t="n">
        <x:f>IF(D966&lt;(('Assumptions'!$C$49-'Assumptions'!$B$49)/('Assumptions'!$D$49-'Assumptions'!$B$49)),'Assumptions'!$B$49+SQRT(D966*('Assumptions'!$D$49-'Assumptions'!$B$49)*('Assumptions'!$C$49-'Assumptions'!$B$49)),'Assumptions'!$D$49-SQRT((1-D966)*('Assumptions'!$D$49-'Assumptions'!$B$49)*('Assumptions'!$D$49-'Assumptions'!$C$49)))</x:f>
        <x:v>0.06742705045786698</x:v>
      </x:c>
      <x:c r="J966" s="132" t="n">
        <x:f>IF(E966&lt;(('Assumptions'!$C$50-'Assumptions'!$B$50)/('Assumptions'!$D$50-'Assumptions'!$B$50)),'Assumptions'!$B$50+SQRT(E966*('Assumptions'!$D$50-'Assumptions'!$B$50)*('Assumptions'!$C$50-'Assumptions'!$B$50)),'Assumptions'!$D$50-SQRT((1-E966)*('Assumptions'!$D$50-'Assumptions'!$B$50)*('Assumptions'!$D$50-'Assumptions'!$C$50)))</x:f>
        <x:v>0.06859773481040973</x:v>
      </x:c>
      <x:c r="K966" s="132" t="n">
        <x:f>IF(F966&lt;(('Assumptions'!$C$51-'Assumptions'!$B$51)/('Assumptions'!$D$51-'Assumptions'!$B$51)),'Assumptions'!$B$51+SQRT(F966*('Assumptions'!$D$51-'Assumptions'!$B$51)*('Assumptions'!$C$51-'Assumptions'!$B$51)),'Assumptions'!$D$51-SQRT((1-F966)*('Assumptions'!$D$51-'Assumptions'!$B$51)*('Assumptions'!$D$51-'Assumptions'!$C$51)))</x:f>
        <x:v>0.06712948013517288</x:v>
      </x:c>
      <x:c r="L966" s="133" t="n">
        <x:f>(('Assumptions'!$B$17*(1+G966)+'Assumptions'!$B$18)*(1-H966-'Assumptions'!$B$20)-SUM('Assumptions'!$B$21:$B$25)*(1+I966))-(('Assumptions'!$B$17*(1+G966)+'Assumptions'!$B$18)*(1-H966-'Assumptions'!$B$20)*'Assumptions'!$B$26)</x:f>
        <x:v>204691.89939535718</x:v>
      </x:c>
      <x:c r="M966" s="133" t="n">
        <x:f>'Assumptions'!$B$10*'Assumptions'!$B$33</x:f>
        <x:v>1950000</x:v>
      </x:c>
      <x:c r="N966" s="133" t="n">
        <x:f>-PMT(K966/12,'Assumptions'!$B$35*12,M966)*12</x:f>
        <x:v>151196.07802297221</x:v>
      </x:c>
      <x:c r="O966" s="133" t="n">
        <x:f>(L966*(1+'Assumptions'!$B$29)^('Assumptions'!$B$14/12)/J966)*(1-'Assumptions'!$B$42)-'Debt Schedule'!$F$9</x:f>
        <x:v>3251657.974909061</x:v>
      </x:c>
      <x:c r="P966" s="132" t="n">
        <x:f>((O966+(L966-N966-'Assumptions'!$B$27-'Assumptions'!$B$28)*('Assumptions'!$B$14/12))/ABS('Monthly Cash Flow'!$S$5))^(1/('Assumptions'!$B$14/12))-1</x:f>
        <x:v>0.20721501076783033</x:v>
      </x:c>
      <x:c r="Q966" s="133" t="n">
        <x:f>-ABS('Monthly Cash Flow'!$S$5)+((L966-N966-'Assumptions'!$B$27-'Assumptions'!$B$28)*(1-(1+'Assumptions'!$B$43)^-('Assumptions'!$B$14/12))/'Assumptions'!$B$43)+(O966/(1+'Assumptions'!$B$43)^('Assumptions'!$B$14/12))</x:f>
        <x:v>775683.5530171234</x:v>
      </x:c>
    </x:row>
    <x:row r="967">
      <x:c r="A967" s="131" t="n">
        <x:f>960</x:f>
        <x:v>960</x:v>
      </x:c>
      <x:c r="B967" s="131" t="n">
        <x:f>MOD(ABS(SIN((A967+1)*12.9898+78.233)*43758.5453),1)</x:f>
        <x:v>0.7681437959035975</x:v>
      </x:c>
      <x:c r="C967" s="131" t="n">
        <x:f>MOD(ABS(SIN((A967+2)*12.9898+78.233)*43758.5453),1)</x:f>
        <x:v>0.6843383335144608</x:v>
      </x:c>
      <x:c r="D967" s="131" t="n">
        <x:f>MOD(ABS(SIN((A967+3)*12.9898+78.233)*43758.5453),1)</x:f>
        <x:v>0.5377363503866945</x:v>
      </x:c>
      <x:c r="E967" s="131" t="n">
        <x:f>MOD(ABS(SIN((A967+4)*12.9898+78.233)*43758.5453),1)</x:f>
        <x:v>0.33718868244977784</x:v>
      </x:c>
      <x:c r="F967" s="131" t="n">
        <x:f>MOD(ABS(SIN((A967+5)*12.9898+78.233)*43758.5453),1)</x:f>
        <x:v>0.6310725109733539</x:v>
      </x:c>
      <x:c r="G967" s="132" t="n">
        <x:f>IF(B967&lt;(('Assumptions'!$C$47-'Assumptions'!$B$47)/('Assumptions'!$D$47-'Assumptions'!$B$47)),'Assumptions'!$B$47+SQRT(B967*('Assumptions'!$D$47-'Assumptions'!$B$47)*('Assumptions'!$C$47-'Assumptions'!$B$47)),'Assumptions'!$D$47-SQRT((1-B967)*('Assumptions'!$D$47-'Assumptions'!$B$47)*('Assumptions'!$D$47-'Assumptions'!$C$47)))</x:f>
        <x:v>0.03909269940686552</x:v>
      </x:c>
      <x:c r="H967" s="132" t="n">
        <x:f>IF(C967&lt;(('Assumptions'!$C$48-'Assumptions'!$B$48)/('Assumptions'!$D$48-'Assumptions'!$B$48)),'Assumptions'!$B$48+SQRT(C967*('Assumptions'!$D$48-'Assumptions'!$B$48)*('Assumptions'!$C$48-'Assumptions'!$B$48)),'Assumptions'!$D$48-SQRT((1-C967)*('Assumptions'!$D$48-'Assumptions'!$B$48)*('Assumptions'!$D$48-'Assumptions'!$C$48)))</x:f>
        <x:v>0.08729494649397704</x:v>
      </x:c>
      <x:c r="I967" s="132" t="n">
        <x:f>IF(D967&lt;(('Assumptions'!$C$49-'Assumptions'!$B$49)/('Assumptions'!$D$49-'Assumptions'!$B$49)),'Assumptions'!$B$49+SQRT(D967*('Assumptions'!$D$49-'Assumptions'!$B$49)*('Assumptions'!$C$49-'Assumptions'!$B$49)),'Assumptions'!$D$49-SQRT((1-D967)*('Assumptions'!$D$49-'Assumptions'!$B$49)*('Assumptions'!$D$49-'Assumptions'!$C$49)))</x:f>
        <x:v>0.050075554384087784</x:v>
      </x:c>
      <x:c r="J967" s="132" t="n">
        <x:f>IF(E967&lt;(('Assumptions'!$C$50-'Assumptions'!$B$50)/('Assumptions'!$D$50-'Assumptions'!$B$50)),'Assumptions'!$B$50+SQRT(E967*('Assumptions'!$D$50-'Assumptions'!$B$50)*('Assumptions'!$C$50-'Assumptions'!$B$50)),'Assumptions'!$D$50-SQRT((1-E967)*('Assumptions'!$D$50-'Assumptions'!$B$50)*('Assumptions'!$D$50-'Assumptions'!$C$50)))</x:f>
        <x:v>0.06621019250942252</x:v>
      </x:c>
      <x:c r="K967" s="132" t="n">
        <x:f>IF(F967&lt;(('Assumptions'!$C$51-'Assumptions'!$B$51)/('Assumptions'!$D$51-'Assumptions'!$B$51)),'Assumptions'!$B$51+SQRT(F967*('Assumptions'!$D$51-'Assumptions'!$B$51)*('Assumptions'!$C$51-'Assumptions'!$B$51)),'Assumptions'!$D$51-SQRT((1-F967)*('Assumptions'!$D$51-'Assumptions'!$B$51)*('Assumptions'!$D$51-'Assumptions'!$C$51)))</x:f>
        <x:v>0.07167534788093613</x:v>
      </x:c>
      <x:c r="L967" s="133" t="n">
        <x:f>(('Assumptions'!$B$17*(1+G967)+'Assumptions'!$B$18)*(1-H967-'Assumptions'!$B$20)-SUM('Assumptions'!$B$21:$B$25)*(1+I967))-(('Assumptions'!$B$17*(1+G967)+'Assumptions'!$B$18)*(1-H967-'Assumptions'!$B$20)*'Assumptions'!$B$26)</x:f>
        <x:v>207460.02964212678</x:v>
      </x:c>
      <x:c r="M967" s="133" t="n">
        <x:f>'Assumptions'!$B$10*'Assumptions'!$B$33</x:f>
        <x:v>1950000</x:v>
      </x:c>
      <x:c r="N967" s="133" t="n">
        <x:f>-PMT(K967/12,'Assumptions'!$B$35*12,M967)*12</x:f>
        <x:v>158322.4956170925</x:v>
      </x:c>
      <x:c r="O967" s="133" t="n">
        <x:f>(L967*(1+'Assumptions'!$B$29)^('Assumptions'!$B$14/12)/J967)*(1-'Assumptions'!$B$42)-'Debt Schedule'!$F$9</x:f>
        <x:v>3414472.0506045427</x:v>
      </x:c>
      <x:c r="P967" s="132" t="n">
        <x:f>((O967+(L967-N967-'Assumptions'!$B$27-'Assumptions'!$B$28)*('Assumptions'!$B$14/12))/ABS('Monthly Cash Flow'!$S$5))^(1/('Assumptions'!$B$14/12))-1</x:f>
        <x:v>0.21730335310330817</x:v>
      </x:c>
      <x:c r="Q967" s="133" t="n">
        <x:f>-ABS('Monthly Cash Flow'!$S$5)+((L967-N967-'Assumptions'!$B$27-'Assumptions'!$B$28)*(1-(1+'Assumptions'!$B$43)^-('Assumptions'!$B$14/12))/'Assumptions'!$B$43)+(O967/(1+'Assumptions'!$B$43)^('Assumptions'!$B$14/12))</x:f>
        <x:v>860256.9462969983</x:v>
      </x:c>
    </x:row>
    <x:row r="968">
      <x:c r="A968" s="131" t="n">
        <x:f>961</x:f>
        <x:v>961</x:v>
      </x:c>
      <x:c r="B968" s="131" t="n">
        <x:f>MOD(ABS(SIN((A968+1)*12.9898+78.233)*43758.5453),1)</x:f>
        <x:v>0.6843383335144608</x:v>
      </x:c>
      <x:c r="C968" s="131" t="n">
        <x:f>MOD(ABS(SIN((A968+2)*12.9898+78.233)*43758.5453),1)</x:f>
        <x:v>0.5377363503866945</x:v>
      </x:c>
      <x:c r="D968" s="131" t="n">
        <x:f>MOD(ABS(SIN((A968+3)*12.9898+78.233)*43758.5453),1)</x:f>
        <x:v>0.33718868244977784</x:v>
      </x:c>
      <x:c r="E968" s="131" t="n">
        <x:f>MOD(ABS(SIN((A968+4)*12.9898+78.233)*43758.5453),1)</x:f>
        <x:v>0.6310725109733539</x:v>
      </x:c>
      <x:c r="F968" s="131" t="n">
        <x:f>MOD(ABS(SIN((A968+5)*12.9898+78.233)*43758.5453),1)</x:f>
        <x:v>0.3239498485199874</x:v>
      </x:c>
      <x:c r="G968" s="132" t="n">
        <x:f>IF(B968&lt;(('Assumptions'!$C$47-'Assumptions'!$B$47)/('Assumptions'!$D$47-'Assumptions'!$B$47)),'Assumptions'!$B$47+SQRT(B968*('Assumptions'!$D$47-'Assumptions'!$B$47)*('Assumptions'!$C$47-'Assumptions'!$B$47)),'Assumptions'!$D$47-SQRT((1-B968)*('Assumptions'!$D$47-'Assumptions'!$B$47)*('Assumptions'!$D$47-'Assumptions'!$C$47)))</x:f>
        <x:v>0.02893252035024299</x:v>
      </x:c>
      <x:c r="H968" s="132" t="n">
        <x:f>IF(C968&lt;(('Assumptions'!$C$48-'Assumptions'!$B$48)/('Assumptions'!$D$48-'Assumptions'!$B$48)),'Assumptions'!$B$48+SQRT(C968*('Assumptions'!$D$48-'Assumptions'!$B$48)*('Assumptions'!$C$48-'Assumptions'!$B$48)),'Assumptions'!$D$48-SQRT((1-C968)*('Assumptions'!$D$48-'Assumptions'!$B$48)*('Assumptions'!$D$48-'Assumptions'!$C$48)))</x:f>
        <x:v>0.07621975135986778</x:v>
      </x:c>
      <x:c r="I968" s="132" t="n">
        <x:f>IF(D968&lt;(('Assumptions'!$C$49-'Assumptions'!$B$49)/('Assumptions'!$D$49-'Assumptions'!$B$49)),'Assumptions'!$B$49+SQRT(D968*('Assumptions'!$D$49-'Assumptions'!$B$49)*('Assumptions'!$C$49-'Assumptions'!$B$49)),'Assumptions'!$D$49-SQRT((1-D968)*('Assumptions'!$D$49-'Assumptions'!$B$49)*('Assumptions'!$D$49-'Assumptions'!$C$49)))</x:f>
        <x:v>0.03034748452671461</x:v>
      </x:c>
      <x:c r="J968" s="132" t="n">
        <x:f>IF(E968&lt;(('Assumptions'!$C$50-'Assumptions'!$B$50)/('Assumptions'!$D$50-'Assumptions'!$B$50)),'Assumptions'!$B$50+SQRT(E968*('Assumptions'!$D$50-'Assumptions'!$B$50)*('Assumptions'!$C$50-'Assumptions'!$B$50)),'Assumptions'!$D$50-SQRT((1-E968)*('Assumptions'!$D$50-'Assumptions'!$B$50)*('Assumptions'!$D$50-'Assumptions'!$C$50)))</x:f>
        <x:v>0.06981369270595354</x:v>
      </x:c>
      <x:c r="K968" s="132" t="n">
        <x:f>IF(F968&lt;(('Assumptions'!$C$51-'Assumptions'!$B$51)/('Assumptions'!$D$51-'Assumptions'!$B$51)),'Assumptions'!$B$51+SQRT(F968*('Assumptions'!$D$51-'Assumptions'!$B$51)*('Assumptions'!$C$51-'Assumptions'!$B$51)),'Assumptions'!$D$51-SQRT((1-F968)*('Assumptions'!$D$51-'Assumptions'!$B$51)*('Assumptions'!$D$51-'Assumptions'!$C$51)))</x:f>
        <x:v>0.06693854905920378</x:v>
      </x:c>
      <x:c r="L968" s="133" t="n">
        <x:f>(('Assumptions'!$B$17*(1+G968)+'Assumptions'!$B$18)*(1-H968-'Assumptions'!$B$20)-SUM('Assumptions'!$B$21:$B$25)*(1+I968))-(('Assumptions'!$B$17*(1+G968)+'Assumptions'!$B$18)*(1-H968-'Assumptions'!$B$20)*'Assumptions'!$B$26)</x:f>
        <x:v>210905.75450115243</x:v>
      </x:c>
      <x:c r="M968" s="133" t="n">
        <x:f>'Assumptions'!$B$10*'Assumptions'!$B$33</x:f>
        <x:v>1950000</x:v>
      </x:c>
      <x:c r="N968" s="133" t="n">
        <x:f>-PMT(K968/12,'Assumptions'!$B$35*12,M968)*12</x:f>
        <x:v>150899.67648253136</x:v>
      </x:c>
      <x:c r="O968" s="133" t="n">
        <x:f>(L968*(1+'Assumptions'!$B$29)^('Assumptions'!$B$14/12)/J968)*(1-'Assumptions'!$B$42)-'Debt Schedule'!$F$9</x:f>
        <x:v>3292014.9329880015</x:v>
      </x:c>
      <x:c r="P968" s="132" t="n">
        <x:f>((O968+(L968-N968-'Assumptions'!$B$27-'Assumptions'!$B$28)*('Assumptions'!$B$14/12))/ABS('Monthly Cash Flow'!$S$5))^(1/('Assumptions'!$B$14/12))-1</x:f>
        <x:v>0.21247255906892337</x:v>
      </x:c>
      <x:c r="Q968" s="133" t="n">
        <x:f>-ABS('Monthly Cash Flow'!$S$5)+((L968-N968-'Assumptions'!$B$27-'Assumptions'!$B$28)*(1-(1+'Assumptions'!$B$43)^-('Assumptions'!$B$14/12))/'Assumptions'!$B$43)+(O968/(1+'Assumptions'!$B$43)^('Assumptions'!$B$14/12))</x:f>
        <x:v>825421.0435821472</x:v>
      </x:c>
    </x:row>
    <x:row r="969">
      <x:c r="A969" s="131" t="n">
        <x:f>962</x:f>
        <x:v>962</x:v>
      </x:c>
      <x:c r="B969" s="131" t="n">
        <x:f>MOD(ABS(SIN((A969+1)*12.9898+78.233)*43758.5453),1)</x:f>
        <x:v>0.5377363503866945</x:v>
      </x:c>
      <x:c r="C969" s="131" t="n">
        <x:f>MOD(ABS(SIN((A969+2)*12.9898+78.233)*43758.5453),1)</x:f>
        <x:v>0.33718868244977784</x:v>
      </x:c>
      <x:c r="D969" s="131" t="n">
        <x:f>MOD(ABS(SIN((A969+3)*12.9898+78.233)*43758.5453),1)</x:f>
        <x:v>0.6310725109733539</x:v>
      </x:c>
      <x:c r="E969" s="131" t="n">
        <x:f>MOD(ABS(SIN((A969+4)*12.9898+78.233)*43758.5453),1)</x:f>
        <x:v>0.3239498485199874</x:v>
      </x:c>
      <x:c r="F969" s="131" t="n">
        <x:f>MOD(ABS(SIN((A969+5)*12.9898+78.233)*43758.5453),1)</x:f>
        <x:v>0.8638040750847722</x:v>
      </x:c>
      <x:c r="G969" s="132" t="n">
        <x:f>IF(B969&lt;(('Assumptions'!$C$47-'Assumptions'!$B$47)/('Assumptions'!$D$47-'Assumptions'!$B$47)),'Assumptions'!$B$47+SQRT(B969*('Assumptions'!$D$47-'Assumptions'!$B$47)*('Assumptions'!$C$47-'Assumptions'!$B$47)),'Assumptions'!$D$47-SQRT((1-B969)*('Assumptions'!$D$47-'Assumptions'!$B$47)*('Assumptions'!$D$47-'Assumptions'!$C$47)))</x:f>
        <x:v>0.013603135560954785</x:v>
      </x:c>
      <x:c r="H969" s="132" t="n">
        <x:f>IF(C969&lt;(('Assumptions'!$C$48-'Assumptions'!$B$48)/('Assumptions'!$D$48-'Assumptions'!$B$48)),'Assumptions'!$B$48+SQRT(C969*('Assumptions'!$D$48-'Assumptions'!$B$48)*('Assumptions'!$C$48-'Assumptions'!$B$48)),'Assumptions'!$D$48-SQRT((1-C969)*('Assumptions'!$D$48-'Assumptions'!$B$48)*('Assumptions'!$D$48-'Assumptions'!$C$48)))</x:f>
        <x:v>0.06362762544976126</x:v>
      </x:c>
      <x:c r="I969" s="132" t="n">
        <x:f>IF(D969&lt;(('Assumptions'!$C$49-'Assumptions'!$B$49)/('Assumptions'!$D$49-'Assumptions'!$B$49)),'Assumptions'!$B$49+SQRT(D969*('Assumptions'!$D$49-'Assumptions'!$B$49)*('Assumptions'!$C$49-'Assumptions'!$B$49)),'Assumptions'!$D$49-SQRT((1-D969)*('Assumptions'!$D$49-'Assumptions'!$B$49)*('Assumptions'!$D$49-'Assumptions'!$C$49)))</x:f>
        <x:v>0.06073167547794146</x:v>
      </x:c>
      <x:c r="J969" s="132" t="n">
        <x:f>IF(E969&lt;(('Assumptions'!$C$50-'Assumptions'!$B$50)/('Assumptions'!$D$50-'Assumptions'!$B$50)),'Assumptions'!$B$50+SQRT(E969*('Assumptions'!$D$50-'Assumptions'!$B$50)*('Assumptions'!$C$50-'Assumptions'!$B$50)),'Assumptions'!$D$50-SQRT((1-E969)*('Assumptions'!$D$50-'Assumptions'!$B$50)*('Assumptions'!$D$50-'Assumptions'!$C$50)))</x:f>
        <x:v>0.06603748885311116</x:v>
      </x:c>
      <x:c r="K969" s="132" t="n">
        <x:f>IF(F969&lt;(('Assumptions'!$C$51-'Assumptions'!$B$51)/('Assumptions'!$D$51-'Assumptions'!$B$51)),'Assumptions'!$B$51+SQRT(F969*('Assumptions'!$D$51-'Assumptions'!$B$51)*('Assumptions'!$C$51-'Assumptions'!$B$51)),'Assumptions'!$D$51-SQRT((1-F969)*('Assumptions'!$D$51-'Assumptions'!$B$51)*('Assumptions'!$D$51-'Assumptions'!$C$51)))</x:f>
        <x:v>0.07690405725900601</x:v>
      </x:c>
      <x:c r="L969" s="133" t="n">
        <x:f>(('Assumptions'!$B$17*(1+G969)+'Assumptions'!$B$18)*(1-H969-'Assumptions'!$B$20)-SUM('Assumptions'!$B$21:$B$25)*(1+I969))-(('Assumptions'!$B$17*(1+G969)+'Assumptions'!$B$18)*(1-H969-'Assumptions'!$B$20)*'Assumptions'!$B$26)</x:f>
        <x:v>206864.91840983555</x:v>
      </x:c>
      <x:c r="M969" s="133" t="n">
        <x:f>'Assumptions'!$B$10*'Assumptions'!$B$33</x:f>
        <x:v>1950000</x:v>
      </x:c>
      <x:c r="N969" s="133" t="n">
        <x:f>-PMT(K969/12,'Assumptions'!$B$35*12,M969)*12</x:f>
        <x:v>166677.84473731526</x:v>
      </x:c>
      <x:c r="O969" s="133" t="n">
        <x:f>(L969*(1+'Assumptions'!$B$29)^('Assumptions'!$B$14/12)/J969)*(1-'Assumptions'!$B$42)-'Debt Schedule'!$F$9</x:f>
        <x:v>3413581.474735385</x:v>
      </x:c>
      <x:c r="P969" s="132" t="n">
        <x:f>((O969+(L969-N969-'Assumptions'!$B$27-'Assumptions'!$B$28)*('Assumptions'!$B$14/12))/ABS('Monthly Cash Flow'!$S$5))^(1/('Assumptions'!$B$14/12))-1</x:f>
        <x:v>0.2140747892746271</x:v>
      </x:c>
      <x:c r="Q969" s="133" t="n">
        <x:f>-ABS('Monthly Cash Flow'!$S$5)+((L969-N969-'Assumptions'!$B$27-'Assumptions'!$B$28)*(1-(1+'Assumptions'!$B$43)^-('Assumptions'!$B$14/12))/'Assumptions'!$B$43)+(O969/(1+'Assumptions'!$B$43)^('Assumptions'!$B$14/12))</x:f>
        <x:v>825774.6820656112</x:v>
      </x:c>
    </x:row>
    <x:row r="970">
      <x:c r="A970" s="131" t="n">
        <x:f>963</x:f>
        <x:v>963</x:v>
      </x:c>
      <x:c r="B970" s="131" t="n">
        <x:f>MOD(ABS(SIN((A970+1)*12.9898+78.233)*43758.5453),1)</x:f>
        <x:v>0.33718868244977784</x:v>
      </x:c>
      <x:c r="C970" s="131" t="n">
        <x:f>MOD(ABS(SIN((A970+2)*12.9898+78.233)*43758.5453),1)</x:f>
        <x:v>0.6310725109733539</x:v>
      </x:c>
      <x:c r="D970" s="131" t="n">
        <x:f>MOD(ABS(SIN((A970+3)*12.9898+78.233)*43758.5453),1)</x:f>
        <x:v>0.3239498485199874</x:v>
      </x:c>
      <x:c r="E970" s="131" t="n">
        <x:f>MOD(ABS(SIN((A970+4)*12.9898+78.233)*43758.5453),1)</x:f>
        <x:v>0.8638040750847722</x:v>
      </x:c>
      <x:c r="F970" s="131" t="n">
        <x:f>MOD(ABS(SIN((A970+5)*12.9898+78.233)*43758.5453),1)</x:f>
        <x:v>0.371238801148138</x:v>
      </x:c>
      <x:c r="G970" s="132" t="n">
        <x:f>IF(B970&lt;(('Assumptions'!$C$47-'Assumptions'!$B$47)/('Assumptions'!$D$47-'Assumptions'!$B$47)),'Assumptions'!$B$47+SQRT(B970*('Assumptions'!$D$47-'Assumptions'!$B$47)*('Assumptions'!$C$47-'Assumptions'!$B$47)),'Assumptions'!$D$47-SQRT((1-B970)*('Assumptions'!$D$47-'Assumptions'!$B$47)*('Assumptions'!$D$47-'Assumptions'!$C$47)))</x:f>
        <x:v>-0.010041518583322737</x:v>
      </x:c>
      <x:c r="H970" s="132" t="n">
        <x:f>IF(C970&lt;(('Assumptions'!$C$48-'Assumptions'!$B$48)/('Assumptions'!$D$48-'Assumptions'!$B$48)),'Assumptions'!$B$48+SQRT(C970*('Assumptions'!$D$48-'Assumptions'!$B$48)*('Assumptions'!$C$48-'Assumptions'!$B$48)),'Assumptions'!$D$48-SQRT((1-C970)*('Assumptions'!$D$48-'Assumptions'!$B$48)*('Assumptions'!$D$48-'Assumptions'!$C$48)))</x:f>
        <x:v>0.08302139082572754</x:v>
      </x:c>
      <x:c r="I970" s="132" t="n">
        <x:f>IF(D970&lt;(('Assumptions'!$C$49-'Assumptions'!$B$49)/('Assumptions'!$D$49-'Assumptions'!$B$49)),'Assumptions'!$B$49+SQRT(D970*('Assumptions'!$D$49-'Assumptions'!$B$49)*('Assumptions'!$C$49-'Assumptions'!$B$49)),'Assumptions'!$D$49-SQRT((1-D970)*('Assumptions'!$D$49-'Assumptions'!$B$49)*('Assumptions'!$D$49-'Assumptions'!$C$49)))</x:f>
        <x:v>0.02914945785056583</x:v>
      </x:c>
      <x:c r="J970" s="132" t="n">
        <x:f>IF(E970&lt;(('Assumptions'!$C$50-'Assumptions'!$B$50)/('Assumptions'!$D$50-'Assumptions'!$B$50)),'Assumptions'!$B$50+SQRT(E970*('Assumptions'!$D$50-'Assumptions'!$B$50)*('Assumptions'!$C$50-'Assumptions'!$B$50)),'Assumptions'!$D$50-SQRT((1-E970)*('Assumptions'!$D$50-'Assumptions'!$B$50)*('Assumptions'!$D$50-'Assumptions'!$C$50)))</x:f>
        <x:v>0.07381088828001887</x:v>
      </x:c>
      <x:c r="K970" s="132" t="n">
        <x:f>IF(F970&lt;(('Assumptions'!$C$51-'Assumptions'!$B$51)/('Assumptions'!$D$51-'Assumptions'!$B$51)),'Assumptions'!$B$51+SQRT(F970*('Assumptions'!$D$51-'Assumptions'!$B$51)*('Assumptions'!$C$51-'Assumptions'!$B$51)),'Assumptions'!$D$51-SQRT((1-F970)*('Assumptions'!$D$51-'Assumptions'!$B$51)*('Assumptions'!$D$51-'Assumptions'!$C$51)))</x:f>
        <x:v>0.06760484760206285</x:v>
      </x:c>
      <x:c r="L970" s="133" t="n">
        <x:f>(('Assumptions'!$B$17*(1+G970)+'Assumptions'!$B$18)*(1-H970-'Assumptions'!$B$20)-SUM('Assumptions'!$B$21:$B$25)*(1+I970))-(('Assumptions'!$B$17*(1+G970)+'Assumptions'!$B$18)*(1-H970-'Assumptions'!$B$20)*'Assumptions'!$B$26)</x:f>
        <x:v>196304.03385970212</x:v>
      </x:c>
      <x:c r="M970" s="133" t="n">
        <x:f>'Assumptions'!$B$10*'Assumptions'!$B$33</x:f>
        <x:v>1950000</x:v>
      </x:c>
      <x:c r="N970" s="133" t="n">
        <x:f>-PMT(K970/12,'Assumptions'!$B$35*12,M970)*12</x:f>
        <x:v>151935.0756860359</x:v>
      </x:c>
      <x:c r="O970" s="133" t="n">
        <x:f>(L970*(1+'Assumptions'!$B$29)^('Assumptions'!$B$14/12)/J970)*(1-'Assumptions'!$B$42)-'Debt Schedule'!$F$9</x:f>
        <x:v>2898162.743882421</x:v>
      </x:c>
      <x:c r="P970" s="132" t="n">
        <x:f>((O970+(L970-N970-'Assumptions'!$B$27-'Assumptions'!$B$28)*('Assumptions'!$B$14/12))/ABS('Monthly Cash Flow'!$S$5))^(1/('Assumptions'!$B$14/12))-1</x:f>
        <x:v>0.17667461274138674</x:v>
      </x:c>
      <x:c r="Q970" s="133" t="n">
        <x:f>-ABS('Monthly Cash Flow'!$S$5)+((L970-N970-'Assumptions'!$B$27-'Assumptions'!$B$28)*(1-(1+'Assumptions'!$B$43)^-('Assumptions'!$B$14/12))/'Assumptions'!$B$43)+(O970/(1+'Assumptions'!$B$43)^('Assumptions'!$B$14/12))</x:f>
        <x:v>521592.83421305637</x:v>
      </x:c>
    </x:row>
    <x:row r="971">
      <x:c r="A971" s="131" t="n">
        <x:f>964</x:f>
        <x:v>964</x:v>
      </x:c>
      <x:c r="B971" s="131" t="n">
        <x:f>MOD(ABS(SIN((A971+1)*12.9898+78.233)*43758.5453),1)</x:f>
        <x:v>0.6310725109733539</x:v>
      </x:c>
      <x:c r="C971" s="131" t="n">
        <x:f>MOD(ABS(SIN((A971+2)*12.9898+78.233)*43758.5453),1)</x:f>
        <x:v>0.3239498485199874</x:v>
      </x:c>
      <x:c r="D971" s="131" t="n">
        <x:f>MOD(ABS(SIN((A971+3)*12.9898+78.233)*43758.5453),1)</x:f>
        <x:v>0.8638040750847722</x:v>
      </x:c>
      <x:c r="E971" s="131" t="n">
        <x:f>MOD(ABS(SIN((A971+4)*12.9898+78.233)*43758.5453),1)</x:f>
        <x:v>0.371238801148138</x:v>
      </x:c>
      <x:c r="F971" s="131" t="n">
        <x:f>MOD(ABS(SIN((A971+5)*12.9898+78.233)*43758.5453),1)</x:f>
        <x:v>0.12432670711132232</x:v>
      </x:c>
      <x:c r="G971" s="132" t="n">
        <x:f>IF(B971&lt;(('Assumptions'!$C$47-'Assumptions'!$B$47)/('Assumptions'!$D$47-'Assumptions'!$B$47)),'Assumptions'!$B$47+SQRT(B971*('Assumptions'!$D$47-'Assumptions'!$B$47)*('Assumptions'!$C$47-'Assumptions'!$B$47)),'Assumptions'!$D$47-SQRT((1-B971)*('Assumptions'!$D$47-'Assumptions'!$B$47)*('Assumptions'!$D$47-'Assumptions'!$C$47)))</x:f>
        <x:v>0.02317005906271738</x:v>
      </x:c>
      <x:c r="H971" s="132" t="n">
        <x:f>IF(C971&lt;(('Assumptions'!$C$48-'Assumptions'!$B$48)/('Assumptions'!$D$48-'Assumptions'!$B$48)),'Assumptions'!$B$48+SQRT(C971*('Assumptions'!$D$48-'Assumptions'!$B$48)*('Assumptions'!$C$48-'Assumptions'!$B$48)),'Assumptions'!$D$48-SQRT((1-C971)*('Assumptions'!$D$48-'Assumptions'!$B$48)*('Assumptions'!$D$48-'Assumptions'!$C$48)))</x:f>
        <x:v>0.06286867476165012</x:v>
      </x:c>
      <x:c r="I971" s="132" t="n">
        <x:f>IF(D971&lt;(('Assumptions'!$C$49-'Assumptions'!$B$49)/('Assumptions'!$D$49-'Assumptions'!$B$49)),'Assumptions'!$B$49+SQRT(D971*('Assumptions'!$D$49-'Assumptions'!$B$49)*('Assumptions'!$C$49-'Assumptions'!$B$49)),'Assumptions'!$D$49-SQRT((1-D971)*('Assumptions'!$D$49-'Assumptions'!$B$49)*('Assumptions'!$D$49-'Assumptions'!$C$49)))</x:f>
        <x:v>0.09576134240074777</x:v>
      </x:c>
      <x:c r="J971" s="132" t="n">
        <x:f>IF(E971&lt;(('Assumptions'!$C$50-'Assumptions'!$B$50)/('Assumptions'!$D$50-'Assumptions'!$B$50)),'Assumptions'!$B$50+SQRT(E971*('Assumptions'!$D$50-'Assumptions'!$B$50)*('Assumptions'!$C$50-'Assumptions'!$B$50)),'Assumptions'!$D$50-SQRT((1-E971)*('Assumptions'!$D$50-'Assumptions'!$B$50)*('Assumptions'!$D$50-'Assumptions'!$C$50)))</x:f>
        <x:v>0.0666394053558386</x:v>
      </x:c>
      <x:c r="K971" s="132" t="n">
        <x:f>IF(F971&lt;(('Assumptions'!$C$51-'Assumptions'!$B$51)/('Assumptions'!$D$51-'Assumptions'!$B$51)),'Assumptions'!$B$51+SQRT(F971*('Assumptions'!$D$51-'Assumptions'!$B$51)*('Assumptions'!$C$51-'Assumptions'!$B$51)),'Assumptions'!$D$51-SQRT((1-F971)*('Assumptions'!$D$51-'Assumptions'!$B$51)*('Assumptions'!$D$51-'Assumptions'!$C$51)))</x:f>
        <x:v>0.06334720826169324</x:v>
      </x:c>
      <x:c r="L971" s="133" t="n">
        <x:f>(('Assumptions'!$B$17*(1+G971)+'Assumptions'!$B$18)*(1-H971-'Assumptions'!$B$20)-SUM('Assumptions'!$B$21:$B$25)*(1+I971))-(('Assumptions'!$B$17*(1+G971)+'Assumptions'!$B$18)*(1-H971-'Assumptions'!$B$20)*'Assumptions'!$B$26)</x:f>
        <x:v>205795.5573823474</x:v>
      </x:c>
      <x:c r="M971" s="133" t="n">
        <x:f>'Assumptions'!$B$10*'Assumptions'!$B$33</x:f>
        <x:v>1950000</x:v>
      </x:c>
      <x:c r="N971" s="133" t="n">
        <x:f>-PMT(K971/12,'Assumptions'!$B$35*12,M971)*12</x:f>
        <x:v>145369.6539020221</x:v>
      </x:c>
      <x:c r="O971" s="133" t="n">
        <x:f>(L971*(1+'Assumptions'!$B$29)^('Assumptions'!$B$14/12)/J971)*(1-'Assumptions'!$B$42)-'Debt Schedule'!$F$9</x:f>
        <x:v>3365261.8270708583</x:v>
      </x:c>
      <x:c r="P971" s="132" t="n">
        <x:f>((O971+(L971-N971-'Assumptions'!$B$27-'Assumptions'!$B$28)*('Assumptions'!$B$14/12))/ABS('Monthly Cash Flow'!$S$5))^(1/('Assumptions'!$B$14/12))-1</x:f>
        <x:v>0.2178117533213637</x:v>
      </x:c>
      <x:c r="Q971" s="133" t="n">
        <x:f>-ABS('Monthly Cash Flow'!$S$5)+((L971-N971-'Assumptions'!$B$27-'Assumptions'!$B$28)*(1-(1+'Assumptions'!$B$43)^-('Assumptions'!$B$14/12))/'Assumptions'!$B$43)+(O971/(1+'Assumptions'!$B$43)^('Assumptions'!$B$14/12))</x:f>
        <x:v>872493.0707717375</x:v>
      </x:c>
    </x:row>
    <x:row r="972">
      <x:c r="A972" s="131" t="n">
        <x:f>965</x:f>
        <x:v>965</x:v>
      </x:c>
      <x:c r="B972" s="131" t="n">
        <x:f>MOD(ABS(SIN((A972+1)*12.9898+78.233)*43758.5453),1)</x:f>
        <x:v>0.3239498485199874</x:v>
      </x:c>
      <x:c r="C972" s="131" t="n">
        <x:f>MOD(ABS(SIN((A972+2)*12.9898+78.233)*43758.5453),1)</x:f>
        <x:v>0.8638040750847722</x:v>
      </x:c>
      <x:c r="D972" s="131" t="n">
        <x:f>MOD(ABS(SIN((A972+3)*12.9898+78.233)*43758.5453),1)</x:f>
        <x:v>0.371238801148138</x:v>
      </x:c>
      <x:c r="E972" s="131" t="n">
        <x:f>MOD(ABS(SIN((A972+4)*12.9898+78.233)*43758.5453),1)</x:f>
        <x:v>0.12432670711132232</x:v>
      </x:c>
      <x:c r="F972" s="131" t="n">
        <x:f>MOD(ABS(SIN((A972+5)*12.9898+78.233)*43758.5453),1)</x:f>
        <x:v>0.1343450055719586</x:v>
      </x:c>
      <x:c r="G972" s="132" t="n">
        <x:f>IF(B972&lt;(('Assumptions'!$C$47-'Assumptions'!$B$47)/('Assumptions'!$D$47-'Assumptions'!$B$47)),'Assumptions'!$B$47+SQRT(B972*('Assumptions'!$D$47-'Assumptions'!$B$47)*('Assumptions'!$C$47-'Assumptions'!$B$47)),'Assumptions'!$D$47-SQRT((1-B972)*('Assumptions'!$D$47-'Assumptions'!$B$47)*('Assumptions'!$D$47-'Assumptions'!$C$47)))</x:f>
        <x:v>-0.011825194275917467</x:v>
      </x:c>
      <x:c r="H972" s="132" t="n">
        <x:f>IF(C972&lt;(('Assumptions'!$C$48-'Assumptions'!$B$48)/('Assumptions'!$D$48-'Assumptions'!$B$48)),'Assumptions'!$B$48+SQRT(C972*('Assumptions'!$D$48-'Assumptions'!$B$48)*('Assumptions'!$C$48-'Assumptions'!$B$48)),'Assumptions'!$D$48-SQRT((1-C972)*('Assumptions'!$D$48-'Assumptions'!$B$48)*('Assumptions'!$D$48-'Assumptions'!$C$48)))</x:f>
        <x:v>0.10538029261744108</x:v>
      </x:c>
      <x:c r="I972" s="132" t="n">
        <x:f>IF(D972&lt;(('Assumptions'!$C$49-'Assumptions'!$B$49)/('Assumptions'!$D$49-'Assumptions'!$B$49)),'Assumptions'!$B$49+SQRT(D972*('Assumptions'!$D$49-'Assumptions'!$B$49)*('Assumptions'!$C$49-'Assumptions'!$B$49)),'Assumptions'!$D$49-SQRT((1-D972)*('Assumptions'!$D$49-'Assumptions'!$B$49)*('Assumptions'!$D$49-'Assumptions'!$C$49)))</x:f>
        <x:v>0.03346141456495956</x:v>
      </x:c>
      <x:c r="J972" s="132" t="n">
        <x:f>IF(E972&lt;(('Assumptions'!$C$50-'Assumptions'!$B$50)/('Assumptions'!$D$50-'Assumptions'!$B$50)),'Assumptions'!$B$50+SQRT(E972*('Assumptions'!$D$50-'Assumptions'!$B$50)*('Assumptions'!$C$50-'Assumptions'!$B$50)),'Assumptions'!$D$50-SQRT((1-E972)*('Assumptions'!$D$50-'Assumptions'!$B$50)*('Assumptions'!$D$50-'Assumptions'!$C$50)))</x:f>
        <x:v>0.06278899887502801</x:v>
      </x:c>
      <x:c r="K972" s="132" t="n">
        <x:f>IF(F972&lt;(('Assumptions'!$C$51-'Assumptions'!$B$51)/('Assumptions'!$D$51-'Assumptions'!$B$51)),'Assumptions'!$B$51+SQRT(F972*('Assumptions'!$D$51-'Assumptions'!$B$51)*('Assumptions'!$C$51-'Assumptions'!$B$51)),'Assumptions'!$D$51-SQRT((1-F972)*('Assumptions'!$D$51-'Assumptions'!$B$51)*('Assumptions'!$D$51-'Assumptions'!$C$51)))</x:f>
        <x:v>0.06357822972026302</x:v>
      </x:c>
      <x:c r="L972" s="133" t="n">
        <x:f>(('Assumptions'!$B$17*(1+G972)+'Assumptions'!$B$18)*(1-H972-'Assumptions'!$B$20)-SUM('Assumptions'!$B$21:$B$25)*(1+I972))-(('Assumptions'!$B$17*(1+G972)+'Assumptions'!$B$18)*(1-H972-'Assumptions'!$B$20)*'Assumptions'!$B$26)</x:f>
        <x:v>187179.40873432212</x:v>
      </x:c>
      <x:c r="M972" s="133" t="n">
        <x:f>'Assumptions'!$B$10*'Assumptions'!$B$33</x:f>
        <x:v>1950000</x:v>
      </x:c>
      <x:c r="N972" s="133" t="n">
        <x:f>-PMT(K972/12,'Assumptions'!$B$35*12,M972)*12</x:f>
        <x:v>145722.76986997566</x:v>
      </x:c>
      <x:c r="O972" s="133" t="n">
        <x:f>(L972*(1+'Assumptions'!$B$29)^('Assumptions'!$B$14/12)/J972)*(1-'Assumptions'!$B$42)-'Debt Schedule'!$F$9</x:f>
        <x:v>3248542.0264013</x:v>
      </x:c>
      <x:c r="P972" s="132" t="n">
        <x:f>((O972+(L972-N972-'Assumptions'!$B$27-'Assumptions'!$B$28)*('Assumptions'!$B$14/12))/ABS('Monthly Cash Flow'!$S$5))^(1/('Assumptions'!$B$14/12))-1</x:f>
        <x:v>0.20257398785915526</x:v>
      </x:c>
      <x:c r="Q972" s="133" t="n">
        <x:f>-ABS('Monthly Cash Flow'!$S$5)+((L972-N972-'Assumptions'!$B$27-'Assumptions'!$B$28)*(1-(1+'Assumptions'!$B$43)^-('Assumptions'!$B$14/12))/'Assumptions'!$B$43)+(O972/(1+'Assumptions'!$B$43)^('Assumptions'!$B$14/12))</x:f>
        <x:v>728110.8203811343</x:v>
      </x:c>
    </x:row>
    <x:row r="973">
      <x:c r="A973" s="131" t="n">
        <x:f>966</x:f>
        <x:v>966</x:v>
      </x:c>
      <x:c r="B973" s="131" t="n">
        <x:f>MOD(ABS(SIN((A973+1)*12.9898+78.233)*43758.5453),1)</x:f>
        <x:v>0.8638040750847722</x:v>
      </x:c>
      <x:c r="C973" s="131" t="n">
        <x:f>MOD(ABS(SIN((A973+2)*12.9898+78.233)*43758.5453),1)</x:f>
        <x:v>0.371238801148138</x:v>
      </x:c>
      <x:c r="D973" s="131" t="n">
        <x:f>MOD(ABS(SIN((A973+3)*12.9898+78.233)*43758.5453),1)</x:f>
        <x:v>0.12432670711132232</x:v>
      </x:c>
      <x:c r="E973" s="131" t="n">
        <x:f>MOD(ABS(SIN((A973+4)*12.9898+78.233)*43758.5453),1)</x:f>
        <x:v>0.1343450055719586</x:v>
      </x:c>
      <x:c r="F973" s="131" t="n">
        <x:f>MOD(ABS(SIN((A973+5)*12.9898+78.233)*43758.5453),1)</x:f>
        <x:v>0.36064627088126144</x:v>
      </x:c>
      <x:c r="G973" s="132" t="n">
        <x:f>IF(B973&lt;(('Assumptions'!$C$47-'Assumptions'!$B$47)/('Assumptions'!$D$47-'Assumptions'!$B$47)),'Assumptions'!$B$47+SQRT(B973*('Assumptions'!$D$47-'Assumptions'!$B$47)*('Assumptions'!$C$47-'Assumptions'!$B$47)),'Assumptions'!$D$47-SQRT((1-B973)*('Assumptions'!$D$47-'Assumptions'!$B$47)*('Assumptions'!$D$47-'Assumptions'!$C$47)))</x:f>
        <x:v>0.053318796088322185</x:v>
      </x:c>
      <x:c r="H973" s="132" t="n">
        <x:f>IF(C973&lt;(('Assumptions'!$C$48-'Assumptions'!$B$48)/('Assumptions'!$D$48-'Assumptions'!$B$48)),'Assumptions'!$B$48+SQRT(C973*('Assumptions'!$D$48-'Assumptions'!$B$48)*('Assumptions'!$C$48-'Assumptions'!$B$48)),'Assumptions'!$D$48-SQRT((1-C973)*('Assumptions'!$D$48-'Assumptions'!$B$48)*('Assumptions'!$D$48-'Assumptions'!$C$48)))</x:f>
        <x:v>0.06561519946994289</x:v>
      </x:c>
      <x:c r="I973" s="132" t="n">
        <x:f>IF(D973&lt;(('Assumptions'!$C$49-'Assumptions'!$B$49)/('Assumptions'!$D$49-'Assumptions'!$B$49)),'Assumptions'!$B$49+SQRT(D973*('Assumptions'!$D$49-'Assumptions'!$B$49)*('Assumptions'!$C$49-'Assumptions'!$B$49)),'Assumptions'!$D$49-SQRT((1-D973)*('Assumptions'!$D$49-'Assumptions'!$B$49)*('Assumptions'!$D$49-'Assumptions'!$C$49)))</x:f>
        <x:v>0.00664325909089257</x:v>
      </x:c>
      <x:c r="J973" s="132" t="n">
        <x:f>IF(E973&lt;(('Assumptions'!$C$50-'Assumptions'!$B$50)/('Assumptions'!$D$50-'Assumptions'!$B$50)),'Assumptions'!$B$50+SQRT(E973*('Assumptions'!$D$50-'Assumptions'!$B$50)*('Assumptions'!$C$50-'Assumptions'!$B$50)),'Assumptions'!$D$50-SQRT((1-E973)*('Assumptions'!$D$50-'Assumptions'!$B$50)*('Assumptions'!$D$50-'Assumptions'!$C$50)))</x:f>
        <x:v>0.06299796564682708</x:v>
      </x:c>
      <x:c r="K973" s="132" t="n">
        <x:f>IF(F973&lt;(('Assumptions'!$C$51-'Assumptions'!$B$51)/('Assumptions'!$D$51-'Assumptions'!$B$51)),'Assumptions'!$B$51+SQRT(F973*('Assumptions'!$D$51-'Assumptions'!$B$51)*('Assumptions'!$C$51-'Assumptions'!$B$51)),'Assumptions'!$D$51-SQRT((1-F973)*('Assumptions'!$D$51-'Assumptions'!$B$51)*('Assumptions'!$D$51-'Assumptions'!$C$51)))</x:f>
        <x:v>0.0674588013582131</x:v>
      </x:c>
      <x:c r="L973" s="133" t="n">
        <x:f>(('Assumptions'!$B$17*(1+G973)+'Assumptions'!$B$18)*(1-H973-'Assumptions'!$B$20)-SUM('Assumptions'!$B$21:$B$25)*(1+I973))-(('Assumptions'!$B$17*(1+G973)+'Assumptions'!$B$18)*(1-H973-'Assumptions'!$B$20)*'Assumptions'!$B$26)</x:f>
        <x:v>225637.32223858582</x:v>
      </x:c>
      <x:c r="M973" s="133" t="n">
        <x:f>'Assumptions'!$B$10*'Assumptions'!$B$33</x:f>
        <x:v>1950000</x:v>
      </x:c>
      <x:c r="N973" s="133" t="n">
        <x:f>-PMT(K973/12,'Assumptions'!$B$35*12,M973)*12</x:f>
        <x:v>151707.8776992738</x:v>
      </x:c>
      <x:c r="O973" s="133" t="n">
        <x:f>(L973*(1+'Assumptions'!$B$29)^('Assumptions'!$B$14/12)/J973)*(1-'Assumptions'!$B$42)-'Debt Schedule'!$F$9</x:f>
        <x:v>3902998.540812583</x:v>
      </x:c>
      <x:c r="P973" s="132" t="n">
        <x:f>((O973+(L973-N973-'Assumptions'!$B$27-'Assumptions'!$B$28)*('Assumptions'!$B$14/12))/ABS('Monthly Cash Flow'!$S$5))^(1/('Assumptions'!$B$14/12))-1</x:f>
        <x:v>0.2576358721241576</x:v>
      </x:c>
      <x:c r="Q973" s="133" t="n">
        <x:f>-ABS('Monthly Cash Flow'!$S$5)+((L973-N973-'Assumptions'!$B$27-'Assumptions'!$B$28)*(1-(1+'Assumptions'!$B$43)^-('Assumptions'!$B$14/12))/'Assumptions'!$B$43)+(O973/(1+'Assumptions'!$B$43)^('Assumptions'!$B$14/12))</x:f>
        <x:v>1257574.3073123023</x:v>
      </x:c>
    </x:row>
    <x:row r="974">
      <x:c r="A974" s="131" t="n">
        <x:f>967</x:f>
        <x:v>967</x:v>
      </x:c>
      <x:c r="B974" s="131" t="n">
        <x:f>MOD(ABS(SIN((A974+1)*12.9898+78.233)*43758.5453),1)</x:f>
        <x:v>0.371238801148138</x:v>
      </x:c>
      <x:c r="C974" s="131" t="n">
        <x:f>MOD(ABS(SIN((A974+2)*12.9898+78.233)*43758.5453),1)</x:f>
        <x:v>0.12432670711132232</x:v>
      </x:c>
      <x:c r="D974" s="131" t="n">
        <x:f>MOD(ABS(SIN((A974+3)*12.9898+78.233)*43758.5453),1)</x:f>
        <x:v>0.1343450055719586</x:v>
      </x:c>
      <x:c r="E974" s="131" t="n">
        <x:f>MOD(ABS(SIN((A974+4)*12.9898+78.233)*43758.5453),1)</x:f>
        <x:v>0.36064627088126144</x:v>
      </x:c>
      <x:c r="F974" s="131" t="n">
        <x:f>MOD(ABS(SIN((A974+5)*12.9898+78.233)*43758.5453),1)</x:f>
        <x:v>0.835313454763309</x:v>
      </x:c>
      <x:c r="G974" s="132" t="n">
        <x:f>IF(B974&lt;(('Assumptions'!$C$47-'Assumptions'!$B$47)/('Assumptions'!$D$47-'Assumptions'!$B$47)),'Assumptions'!$B$47+SQRT(B974*('Assumptions'!$D$47-'Assumptions'!$B$47)*('Assumptions'!$C$47-'Assumptions'!$B$47)),'Assumptions'!$D$47-SQRT((1-B974)*('Assumptions'!$D$47-'Assumptions'!$B$47)*('Assumptions'!$D$47-'Assumptions'!$C$47)))</x:f>
        <x:v>-0.005608627366928742</x:v>
      </x:c>
      <x:c r="H974" s="132" t="n">
        <x:f>IF(C974&lt;(('Assumptions'!$C$48-'Assumptions'!$B$48)/('Assumptions'!$D$48-'Assumptions'!$B$48)),'Assumptions'!$B$48+SQRT(C974*('Assumptions'!$D$48-'Assumptions'!$B$48)*('Assumptions'!$C$48-'Assumptions'!$B$48)),'Assumptions'!$D$48-SQRT((1-C974)*('Assumptions'!$D$48-'Assumptions'!$B$48)*('Assumptions'!$D$48-'Assumptions'!$C$48)))</x:f>
        <x:v>0.050255323583378364</x:v>
      </x:c>
      <x:c r="I974" s="132" t="n">
        <x:f>IF(D974&lt;(('Assumptions'!$C$49-'Assumptions'!$B$49)/('Assumptions'!$D$49-'Assumptions'!$B$49)),'Assumptions'!$B$49+SQRT(D974*('Assumptions'!$D$49-'Assumptions'!$B$49)*('Assumptions'!$C$49-'Assumptions'!$B$49)),'Assumptions'!$D$49-SQRT((1-D974)*('Assumptions'!$D$49-'Assumptions'!$B$49)*('Assumptions'!$D$49-'Assumptions'!$C$49)))</x:f>
        <x:v>0.00809102335429114</x:v>
      </x:c>
      <x:c r="J974" s="132" t="n">
        <x:f>IF(E974&lt;(('Assumptions'!$C$50-'Assumptions'!$B$50)/('Assumptions'!$D$50-'Assumptions'!$B$50)),'Assumptions'!$B$50+SQRT(E974*('Assumptions'!$D$50-'Assumptions'!$B$50)*('Assumptions'!$C$50-'Assumptions'!$B$50)),'Assumptions'!$D$50-SQRT((1-E974)*('Assumptions'!$D$50-'Assumptions'!$B$50)*('Assumptions'!$D$50-'Assumptions'!$C$50)))</x:f>
        <x:v>0.06650807476369307</x:v>
      </x:c>
      <x:c r="K974" s="132" t="n">
        <x:f>IF(F974&lt;(('Assumptions'!$C$51-'Assumptions'!$B$51)/('Assumptions'!$D$51-'Assumptions'!$B$51)),'Assumptions'!$B$51+SQRT(F974*('Assumptions'!$D$51-'Assumptions'!$B$51)*('Assumptions'!$C$51-'Assumptions'!$B$51)),'Assumptions'!$D$51-SQRT((1-F974)*('Assumptions'!$D$51-'Assumptions'!$B$51)*('Assumptions'!$D$51-'Assumptions'!$C$51)))</x:f>
        <x:v>0.07609744980945586</x:v>
      </x:c>
      <x:c r="L974" s="133" t="n">
        <x:f>(('Assumptions'!$B$17*(1+G974)+'Assumptions'!$B$18)*(1-H974-'Assumptions'!$B$20)-SUM('Assumptions'!$B$21:$B$25)*(1+I974))-(('Assumptions'!$B$17*(1+G974)+'Assumptions'!$B$18)*(1-H974-'Assumptions'!$B$20)*'Assumptions'!$B$26)</x:f>
        <x:v>212173.53301882077</x:v>
      </x:c>
      <x:c r="M974" s="133" t="n">
        <x:f>'Assumptions'!$B$10*'Assumptions'!$B$33</x:f>
        <x:v>1950000</x:v>
      </x:c>
      <x:c r="N974" s="133" t="n">
        <x:f>-PMT(K974/12,'Assumptions'!$B$35*12,M974)*12</x:f>
        <x:v>165378.24088999955</x:v>
      </x:c>
      <x:c r="O974" s="133" t="n">
        <x:f>(L974*(1+'Assumptions'!$B$29)^('Assumptions'!$B$14/12)/J974)*(1-'Assumptions'!$B$42)-'Debt Schedule'!$F$9</x:f>
        <x:v>3476408.54645052</x:v>
      </x:c>
      <x:c r="P974" s="132" t="n">
        <x:f>((O974+(L974-N974-'Assumptions'!$B$27-'Assumptions'!$B$28)*('Assumptions'!$B$14/12))/ABS('Monthly Cash Flow'!$S$5))^(1/('Assumptions'!$B$14/12))-1</x:f>
        <x:v>0.22081691848702056</x:v>
      </x:c>
      <x:c r="Q974" s="133" t="n">
        <x:f>-ABS('Monthly Cash Flow'!$S$5)+((L974-N974-'Assumptions'!$B$27-'Assumptions'!$B$28)*(1-(1+'Assumptions'!$B$43)^-('Assumptions'!$B$14/12))/'Assumptions'!$B$43)+(O974/(1+'Assumptions'!$B$43)^('Assumptions'!$B$14/12))</x:f>
        <x:v>889835.6976524112</x:v>
      </x:c>
    </x:row>
    <x:row r="975">
      <x:c r="A975" s="131" t="n">
        <x:f>968</x:f>
        <x:v>968</x:v>
      </x:c>
      <x:c r="B975" s="131" t="n">
        <x:f>MOD(ABS(SIN((A975+1)*12.9898+78.233)*43758.5453),1)</x:f>
        <x:v>0.12432670711132232</x:v>
      </x:c>
      <x:c r="C975" s="131" t="n">
        <x:f>MOD(ABS(SIN((A975+2)*12.9898+78.233)*43758.5453),1)</x:f>
        <x:v>0.1343450055719586</x:v>
      </x:c>
      <x:c r="D975" s="131" t="n">
        <x:f>MOD(ABS(SIN((A975+3)*12.9898+78.233)*43758.5453),1)</x:f>
        <x:v>0.36064627088126144</x:v>
      </x:c>
      <x:c r="E975" s="131" t="n">
        <x:f>MOD(ABS(SIN((A975+4)*12.9898+78.233)*43758.5453),1)</x:f>
        <x:v>0.835313454763309</x:v>
      </x:c>
      <x:c r="F975" s="131" t="n">
        <x:f>MOD(ABS(SIN((A975+5)*12.9898+78.233)*43758.5453),1)</x:f>
        <x:v>0.1859438116362071</x:v>
      </x:c>
      <x:c r="G975" s="132" t="n">
        <x:f>IF(B975&lt;(('Assumptions'!$C$47-'Assumptions'!$B$47)/('Assumptions'!$D$47-'Assumptions'!$B$47)),'Assumptions'!$B$47+SQRT(B975*('Assumptions'!$D$47-'Assumptions'!$B$47)*('Assumptions'!$C$47-'Assumptions'!$B$47)),'Assumptions'!$D$47-SQRT((1-B975)*('Assumptions'!$D$47-'Assumptions'!$B$47)*('Assumptions'!$D$47-'Assumptions'!$C$47)))</x:f>
        <x:v>-0.045375454503751377</x:v>
      </x:c>
      <x:c r="H975" s="132" t="n">
        <x:f>IF(C975&lt;(('Assumptions'!$C$48-'Assumptions'!$B$48)/('Assumptions'!$D$48-'Assumptions'!$B$48)),'Assumptions'!$B$48+SQRT(C975*('Assumptions'!$D$48-'Assumptions'!$B$48)*('Assumptions'!$C$48-'Assumptions'!$B$48)),'Assumptions'!$D$48-SQRT((1-C975)*('Assumptions'!$D$48-'Assumptions'!$B$48)*('Assumptions'!$D$48-'Assumptions'!$C$48)))</x:f>
        <x:v>0.051055605391141415</x:v>
      </x:c>
      <x:c r="I975" s="132" t="n">
        <x:f>IF(D975&lt;(('Assumptions'!$C$49-'Assumptions'!$B$49)/('Assumptions'!$D$49-'Assumptions'!$B$49)),'Assumptions'!$B$49+SQRT(D975*('Assumptions'!$D$49-'Assumptions'!$B$49)*('Assumptions'!$C$49-'Assumptions'!$B$49)),'Assumptions'!$D$49-SQRT((1-D975)*('Assumptions'!$D$49-'Assumptions'!$B$49)*('Assumptions'!$D$49-'Assumptions'!$C$49)))</x:f>
        <x:v>0.03248387111138849</x:v>
      </x:c>
      <x:c r="J975" s="132" t="n">
        <x:f>IF(E975&lt;(('Assumptions'!$C$50-'Assumptions'!$B$50)/('Assumptions'!$D$50-'Assumptions'!$B$50)),'Assumptions'!$B$50+SQRT(E975*('Assumptions'!$D$50-'Assumptions'!$B$50)*('Assumptions'!$C$50-'Assumptions'!$B$50)),'Assumptions'!$D$50-SQRT((1-E975)*('Assumptions'!$D$50-'Assumptions'!$B$50)*('Assumptions'!$D$50-'Assumptions'!$C$50)))</x:f>
        <x:v>0.07319426044813503</x:v>
      </x:c>
      <x:c r="K975" s="132" t="n">
        <x:f>IF(F975&lt;(('Assumptions'!$C$51-'Assumptions'!$B$51)/('Assumptions'!$D$51-'Assumptions'!$B$51)),'Assumptions'!$B$51+SQRT(F975*('Assumptions'!$D$51-'Assumptions'!$B$51)*('Assumptions'!$C$51-'Assumptions'!$B$51)),'Assumptions'!$D$51-SQRT((1-F975)*('Assumptions'!$D$51-'Assumptions'!$B$51)*('Assumptions'!$D$51-'Assumptions'!$C$51)))</x:f>
        <x:v>0.06465084248183087</x:v>
      </x:c>
      <x:c r="L975" s="133" t="n">
        <x:f>(('Assumptions'!$B$17*(1+G975)+'Assumptions'!$B$18)*(1-H975-'Assumptions'!$B$20)-SUM('Assumptions'!$B$21:$B$25)*(1+I975))-(('Assumptions'!$B$17*(1+G975)+'Assumptions'!$B$18)*(1-H975-'Assumptions'!$B$20)*'Assumptions'!$B$26)</x:f>
        <x:v>195906.8762510335</x:v>
      </x:c>
      <x:c r="M975" s="133" t="n">
        <x:f>'Assumptions'!$B$10*'Assumptions'!$B$33</x:f>
        <x:v>1950000</x:v>
      </x:c>
      <x:c r="N975" s="133" t="n">
        <x:f>-PMT(K975/12,'Assumptions'!$B$35*12,M975)*12</x:f>
        <x:v>147367.00769470097</x:v>
      </x:c>
      <x:c r="O975" s="133" t="n">
        <x:f>(L975*(1+'Assumptions'!$B$29)^('Assumptions'!$B$14/12)/J975)*(1-'Assumptions'!$B$42)-'Debt Schedule'!$F$9</x:f>
        <x:v>2916665.5356713254</x:v>
      </x:c>
      <x:c r="P975" s="132" t="n">
        <x:f>((O975+(L975-N975-'Assumptions'!$B$27-'Assumptions'!$B$28)*('Assumptions'!$B$14/12))/ABS('Monthly Cash Flow'!$S$5))^(1/('Assumptions'!$B$14/12))-1</x:f>
        <x:v>0.17982961195451352</x:v>
      </x:c>
      <x:c r="Q975" s="133" t="n">
        <x:f>-ABS('Monthly Cash Flow'!$S$5)+((L975-N975-'Assumptions'!$B$27-'Assumptions'!$B$28)*(1-(1+'Assumptions'!$B$43)^-('Assumptions'!$B$14/12))/'Assumptions'!$B$43)+(O975/(1+'Assumptions'!$B$43)^('Assumptions'!$B$14/12))</x:f>
        <x:v>548892.644065911</x:v>
      </x:c>
    </x:row>
    <x:row r="976">
      <x:c r="A976" s="131" t="n">
        <x:f>969</x:f>
        <x:v>969</x:v>
      </x:c>
      <x:c r="B976" s="131" t="n">
        <x:f>MOD(ABS(SIN((A976+1)*12.9898+78.233)*43758.5453),1)</x:f>
        <x:v>0.1343450055719586</x:v>
      </x:c>
      <x:c r="C976" s="131" t="n">
        <x:f>MOD(ABS(SIN((A976+2)*12.9898+78.233)*43758.5453),1)</x:f>
        <x:v>0.36064627088126144</x:v>
      </x:c>
      <x:c r="D976" s="131" t="n">
        <x:f>MOD(ABS(SIN((A976+3)*12.9898+78.233)*43758.5453),1)</x:f>
        <x:v>0.835313454763309</x:v>
      </x:c>
      <x:c r="E976" s="131" t="n">
        <x:f>MOD(ABS(SIN((A976+4)*12.9898+78.233)*43758.5453),1)</x:f>
        <x:v>0.1859438116362071</x:v>
      </x:c>
      <x:c r="F976" s="131" t="n">
        <x:f>MOD(ABS(SIN((A976+5)*12.9898+78.233)*43758.5453),1)</x:f>
        <x:v>0.4295766518480377</x:v>
      </x:c>
      <x:c r="G976" s="132" t="n">
        <x:f>IF(B976&lt;(('Assumptions'!$C$47-'Assumptions'!$B$47)/('Assumptions'!$D$47-'Assumptions'!$B$47)),'Assumptions'!$B$47+SQRT(B976*('Assumptions'!$D$47-'Assumptions'!$B$47)*('Assumptions'!$C$47-'Assumptions'!$B$47)),'Assumptions'!$D$47-SQRT((1-B976)*('Assumptions'!$D$47-'Assumptions'!$B$47)*('Assumptions'!$D$47-'Assumptions'!$C$47)))</x:f>
        <x:v>-0.04321725496484864</x:v>
      </x:c>
      <x:c r="H976" s="132" t="n">
        <x:f>IF(C976&lt;(('Assumptions'!$C$48-'Assumptions'!$B$48)/('Assumptions'!$D$48-'Assumptions'!$B$48)),'Assumptions'!$B$48+SQRT(C976*('Assumptions'!$D$48-'Assumptions'!$B$48)*('Assumptions'!$C$48-'Assumptions'!$B$48)),'Assumptions'!$D$48-SQRT((1-C976)*('Assumptions'!$D$48-'Assumptions'!$B$48)*('Assumptions'!$D$48-'Assumptions'!$C$48)))</x:f>
        <x:v>0.06499124840230375</x:v>
      </x:c>
      <x:c r="I976" s="132" t="n">
        <x:f>IF(D976&lt;(('Assumptions'!$C$49-'Assumptions'!$B$49)/('Assumptions'!$D$49-'Assumptions'!$B$49)),'Assumptions'!$B$49+SQRT(D976*('Assumptions'!$D$49-'Assumptions'!$B$49)*('Assumptions'!$C$49-'Assumptions'!$B$49)),'Assumptions'!$D$49-SQRT((1-D976)*('Assumptions'!$D$49-'Assumptions'!$B$49)*('Assumptions'!$D$49-'Assumptions'!$C$49)))</x:f>
        <x:v>0.09035748683101519</x:v>
      </x:c>
      <x:c r="J976" s="132" t="n">
        <x:f>IF(E976&lt;(('Assumptions'!$C$50-'Assumptions'!$B$50)/('Assumptions'!$D$50-'Assumptions'!$B$50)),'Assumptions'!$B$50+SQRT(E976*('Assumptions'!$D$50-'Assumptions'!$B$50)*('Assumptions'!$C$50-'Assumptions'!$B$50)),'Assumptions'!$D$50-SQRT((1-E976)*('Assumptions'!$D$50-'Assumptions'!$B$50)*('Assumptions'!$D$50-'Assumptions'!$C$50)))</x:f>
        <x:v>0.06396818039468186</x:v>
      </x:c>
      <x:c r="K976" s="132" t="n">
        <x:f>IF(F976&lt;(('Assumptions'!$C$51-'Assumptions'!$B$51)/('Assumptions'!$D$51-'Assumptions'!$B$51)),'Assumptions'!$B$51+SQRT(F976*('Assumptions'!$D$51-'Assumptions'!$B$51)*('Assumptions'!$C$51-'Assumptions'!$B$51)),'Assumptions'!$D$51-SQRT((1-F976)*('Assumptions'!$D$51-'Assumptions'!$B$51)*('Assumptions'!$D$51-'Assumptions'!$C$51)))</x:f>
        <x:v>0.06843146849300966</x:v>
      </x:c>
      <x:c r="L976" s="133" t="n">
        <x:f>(('Assumptions'!$B$17*(1+G976)+'Assumptions'!$B$18)*(1-H976-'Assumptions'!$B$20)-SUM('Assumptions'!$B$21:$B$25)*(1+I976))-(('Assumptions'!$B$17*(1+G976)+'Assumptions'!$B$18)*(1-H976-'Assumptions'!$B$20)*'Assumptions'!$B$26)</x:f>
        <x:v>184466.30965905928</x:v>
      </x:c>
      <x:c r="M976" s="133" t="n">
        <x:f>'Assumptions'!$B$10*'Assumptions'!$B$33</x:f>
        <x:v>1950000</x:v>
      </x:c>
      <x:c r="N976" s="133" t="n">
        <x:f>-PMT(K976/12,'Assumptions'!$B$35*12,M976)*12</x:f>
        <x:v>153223.62897157148</x:v>
      </x:c>
      <x:c r="O976" s="133" t="n">
        <x:f>(L976*(1+'Assumptions'!$B$29)^('Assumptions'!$B$14/12)/J976)*(1-'Assumptions'!$B$42)-'Debt Schedule'!$F$9</x:f>
        <x:v>3142440.327473852</x:v>
      </x:c>
      <x:c r="P976" s="132" t="n">
        <x:f>((O976+(L976-N976-'Assumptions'!$B$27-'Assumptions'!$B$28)*('Assumptions'!$B$14/12))/ABS('Monthly Cash Flow'!$S$5))^(1/('Assumptions'!$B$14/12))-1</x:f>
        <x:v>0.1907324754109292</x:v>
      </x:c>
      <x:c r="Q976" s="133" t="n">
        <x:f>-ABS('Monthly Cash Flow'!$S$5)+((L976-N976-'Assumptions'!$B$27-'Assumptions'!$B$28)*(1-(1+'Assumptions'!$B$43)^-('Assumptions'!$B$14/12))/'Assumptions'!$B$43)+(O976/(1+'Assumptions'!$B$43)^('Assumptions'!$B$14/12))</x:f>
        <x:v>623511.075584152</x:v>
      </x:c>
    </x:row>
    <x:row r="977">
      <x:c r="A977" s="131" t="n">
        <x:f>970</x:f>
        <x:v>970</x:v>
      </x:c>
      <x:c r="B977" s="131" t="n">
        <x:f>MOD(ABS(SIN((A977+1)*12.9898+78.233)*43758.5453),1)</x:f>
        <x:v>0.36064627088126144</x:v>
      </x:c>
      <x:c r="C977" s="131" t="n">
        <x:f>MOD(ABS(SIN((A977+2)*12.9898+78.233)*43758.5453),1)</x:f>
        <x:v>0.835313454763309</x:v>
      </x:c>
      <x:c r="D977" s="131" t="n">
        <x:f>MOD(ABS(SIN((A977+3)*12.9898+78.233)*43758.5453),1)</x:f>
        <x:v>0.1859438116362071</x:v>
      </x:c>
      <x:c r="E977" s="131" t="n">
        <x:f>MOD(ABS(SIN((A977+4)*12.9898+78.233)*43758.5453),1)</x:f>
        <x:v>0.4295766518480377</x:v>
      </x:c>
      <x:c r="F977" s="131" t="n">
        <x:f>MOD(ABS(SIN((A977+5)*12.9898+78.233)*43758.5453),1)</x:f>
        <x:v>0.9323797776305582</x:v>
      </x:c>
      <x:c r="G977" s="132" t="n">
        <x:f>IF(B977&lt;(('Assumptions'!$C$47-'Assumptions'!$B$47)/('Assumptions'!$D$47-'Assumptions'!$B$47)),'Assumptions'!$B$47+SQRT(B977*('Assumptions'!$D$47-'Assumptions'!$B$47)*('Assumptions'!$C$47-'Assumptions'!$B$47)),'Assumptions'!$D$47-SQRT((1-B977)*('Assumptions'!$D$47-'Assumptions'!$B$47)*('Assumptions'!$D$47-'Assumptions'!$C$47)))</x:f>
        <x:v>-0.006965003890201216</x:v>
      </x:c>
      <x:c r="H977" s="132" t="n">
        <x:f>IF(C977&lt;(('Assumptions'!$C$48-'Assumptions'!$B$48)/('Assumptions'!$D$48-'Assumptions'!$B$48)),'Assumptions'!$B$48+SQRT(C977*('Assumptions'!$D$48-'Assumptions'!$B$48)*('Assumptions'!$C$48-'Assumptions'!$B$48)),'Assumptions'!$D$48-SQRT((1-C977)*('Assumptions'!$D$48-'Assumptions'!$B$48)*('Assumptions'!$D$48-'Assumptions'!$C$48)))</x:f>
        <x:v>0.10193109407819972</x:v>
      </x:c>
      <x:c r="I977" s="132" t="n">
        <x:f>IF(D977&lt;(('Assumptions'!$C$49-'Assumptions'!$B$49)/('Assumptions'!$D$49-'Assumptions'!$B$49)),'Assumptions'!$B$49+SQRT(D977*('Assumptions'!$D$49-'Assumptions'!$B$49)*('Assumptions'!$C$49-'Assumptions'!$B$49)),'Assumptions'!$D$49-SQRT((1-D977)*('Assumptions'!$D$49-'Assumptions'!$B$49)*('Assumptions'!$D$49-'Assumptions'!$C$49)))</x:f>
        <x:v>0.014812868304439487</x:v>
      </x:c>
      <x:c r="J977" s="132" t="n">
        <x:f>IF(E977&lt;(('Assumptions'!$C$50-'Assumptions'!$B$50)/('Assumptions'!$D$50-'Assumptions'!$B$50)),'Assumptions'!$B$50+SQRT(E977*('Assumptions'!$D$50-'Assumptions'!$B$50)*('Assumptions'!$C$50-'Assumptions'!$B$50)),'Assumptions'!$D$50-SQRT((1-E977)*('Assumptions'!$D$50-'Assumptions'!$B$50)*('Assumptions'!$D$50-'Assumptions'!$C$50)))</x:f>
        <x:v>0.06733131459499739</x:v>
      </x:c>
      <x:c r="K977" s="132" t="n">
        <x:f>IF(F977&lt;(('Assumptions'!$C$51-'Assumptions'!$B$51)/('Assumptions'!$D$51-'Assumptions'!$B$51)),'Assumptions'!$B$51+SQRT(F977*('Assumptions'!$D$51-'Assumptions'!$B$51)*('Assumptions'!$C$51-'Assumptions'!$B$51)),'Assumptions'!$D$51-SQRT((1-F977)*('Assumptions'!$D$51-'Assumptions'!$B$51)*('Assumptions'!$D$51-'Assumptions'!$C$51)))</x:f>
        <x:v>0.07929542008423987</x:v>
      </x:c>
      <x:c r="L977" s="133" t="n">
        <x:f>(('Assumptions'!$B$17*(1+G977)+'Assumptions'!$B$18)*(1-H977-'Assumptions'!$B$20)-SUM('Assumptions'!$B$21:$B$25)*(1+I977))-(('Assumptions'!$B$17*(1+G977)+'Assumptions'!$B$18)*(1-H977-'Assumptions'!$B$20)*'Assumptions'!$B$26)</x:f>
        <x:v>192258.34776485612</x:v>
      </x:c>
      <x:c r="M977" s="133" t="n">
        <x:f>'Assumptions'!$B$10*'Assumptions'!$B$33</x:f>
        <x:v>1950000</x:v>
      </x:c>
      <x:c r="N977" s="133" t="n">
        <x:f>-PMT(K977/12,'Assumptions'!$B$35*12,M977)*12</x:f>
        <x:v>170552.95270040838</x:v>
      </x:c>
      <x:c r="O977" s="133" t="n">
        <x:f>(L977*(1+'Assumptions'!$B$29)^('Assumptions'!$B$14/12)/J977)*(1-'Assumptions'!$B$42)-'Debt Schedule'!$F$9</x:f>
        <x:v>3111588.007806758</x:v>
      </x:c>
      <x:c r="P977" s="132" t="n">
        <x:f>((O977+(L977-N977-'Assumptions'!$B$27-'Assumptions'!$B$28)*('Assumptions'!$B$14/12))/ABS('Monthly Cash Flow'!$S$5))^(1/('Assumptions'!$B$14/12))-1</x:f>
        <x:v>0.18463424965804998</x:v>
      </x:c>
      <x:c r="Q977" s="133" t="n">
        <x:f>-ABS('Monthly Cash Flow'!$S$5)+((L977-N977-'Assumptions'!$B$27-'Assumptions'!$B$28)*(1-(1+'Assumptions'!$B$43)^-('Assumptions'!$B$14/12))/'Assumptions'!$B$43)+(O977/(1+'Assumptions'!$B$43)^('Assumptions'!$B$14/12))</x:f>
        <x:v>568200.3962811262</x:v>
      </x:c>
    </x:row>
    <x:row r="978">
      <x:c r="A978" s="131" t="n">
        <x:f>971</x:f>
        <x:v>971</x:v>
      </x:c>
      <x:c r="B978" s="131" t="n">
        <x:f>MOD(ABS(SIN((A978+1)*12.9898+78.233)*43758.5453),1)</x:f>
        <x:v>0.835313454763309</x:v>
      </x:c>
      <x:c r="C978" s="131" t="n">
        <x:f>MOD(ABS(SIN((A978+2)*12.9898+78.233)*43758.5453),1)</x:f>
        <x:v>0.1859438116362071</x:v>
      </x:c>
      <x:c r="D978" s="131" t="n">
        <x:f>MOD(ABS(SIN((A978+3)*12.9898+78.233)*43758.5453),1)</x:f>
        <x:v>0.4295766518480377</x:v>
      </x:c>
      <x:c r="E978" s="131" t="n">
        <x:f>MOD(ABS(SIN((A978+4)*12.9898+78.233)*43758.5453),1)</x:f>
        <x:v>0.9323797776305582</x:v>
      </x:c>
      <x:c r="F978" s="131" t="n">
        <x:f>MOD(ABS(SIN((A978+5)*12.9898+78.233)*43758.5453),1)</x:f>
        <x:v>0.40197674801311223</x:v>
      </x:c>
      <x:c r="G978" s="132" t="n">
        <x:f>IF(B978&lt;(('Assumptions'!$C$47-'Assumptions'!$B$47)/('Assumptions'!$D$47-'Assumptions'!$B$47)),'Assumptions'!$B$47+SQRT(B978*('Assumptions'!$D$47-'Assumptions'!$B$47)*('Assumptions'!$C$47-'Assumptions'!$B$47)),'Assumptions'!$D$47-SQRT((1-B978)*('Assumptions'!$D$47-'Assumptions'!$B$47)*('Assumptions'!$D$47-'Assumptions'!$C$47)))</x:f>
        <x:v>0.04866789772679229</x:v>
      </x:c>
      <x:c r="H978" s="132" t="n">
        <x:f>IF(C978&lt;(('Assumptions'!$C$48-'Assumptions'!$B$48)/('Assumptions'!$D$48-'Assumptions'!$B$48)),'Assumptions'!$B$48+SQRT(C978*('Assumptions'!$D$48-'Assumptions'!$B$48)*('Assumptions'!$C$48-'Assumptions'!$B$48)),'Assumptions'!$D$48-SQRT((1-C978)*('Assumptions'!$D$48-'Assumptions'!$B$48)*('Assumptions'!$D$48-'Assumptions'!$C$48)))</x:f>
        <x:v>0.05477124499090596</x:v>
      </x:c>
      <x:c r="I978" s="132" t="n">
        <x:f>IF(D978&lt;(('Assumptions'!$C$49-'Assumptions'!$B$49)/('Assumptions'!$D$49-'Assumptions'!$B$49)),'Assumptions'!$B$49+SQRT(D978*('Assumptions'!$D$49-'Assumptions'!$B$49)*('Assumptions'!$C$49-'Assumptions'!$B$49)),'Assumptions'!$D$49-SQRT((1-D978)*('Assumptions'!$D$49-'Assumptions'!$B$49)*('Assumptions'!$D$49-'Assumptions'!$C$49)))</x:f>
        <x:v>0.038999349911442466</x:v>
      </x:c>
      <x:c r="J978" s="132" t="n">
        <x:f>IF(E978&lt;(('Assumptions'!$C$50-'Assumptions'!$B$50)/('Assumptions'!$D$50-'Assumptions'!$B$50)),'Assumptions'!$B$50+SQRT(E978*('Assumptions'!$D$50-'Assumptions'!$B$50)*('Assumptions'!$C$50-'Assumptions'!$B$50)),'Assumptions'!$D$50-SQRT((1-E978)*('Assumptions'!$D$50-'Assumptions'!$B$50)*('Assumptions'!$D$50-'Assumptions'!$C$50)))</x:f>
        <x:v>0.07563901530140205</x:v>
      </x:c>
      <x:c r="K978" s="132" t="n">
        <x:f>IF(F978&lt;(('Assumptions'!$C$51-'Assumptions'!$B$51)/('Assumptions'!$D$51-'Assumptions'!$B$51)),'Assumptions'!$B$51+SQRT(F978*('Assumptions'!$D$51-'Assumptions'!$B$51)*('Assumptions'!$C$51-'Assumptions'!$B$51)),'Assumptions'!$D$51-SQRT((1-F978)*('Assumptions'!$D$51-'Assumptions'!$B$51)*('Assumptions'!$D$51-'Assumptions'!$C$51)))</x:f>
        <x:v>0.0680353694405481</x:v>
      </x:c>
      <x:c r="L978" s="133" t="n">
        <x:f>(('Assumptions'!$B$17*(1+G978)+'Assumptions'!$B$18)*(1-H978-'Assumptions'!$B$20)-SUM('Assumptions'!$B$21:$B$25)*(1+I978))-(('Assumptions'!$B$17*(1+G978)+'Assumptions'!$B$18)*(1-H978-'Assumptions'!$B$20)*'Assumptions'!$B$26)</x:f>
        <x:v>224192.08990227676</x:v>
      </x:c>
      <x:c r="M978" s="133" t="n">
        <x:f>'Assumptions'!$B$10*'Assumptions'!$B$33</x:f>
        <x:v>1950000</x:v>
      </x:c>
      <x:c r="N978" s="133" t="n">
        <x:f>-PMT(K978/12,'Assumptions'!$B$35*12,M978)*12</x:f>
        <x:v>152605.628592239</x:v>
      </x:c>
      <x:c r="O978" s="133" t="n">
        <x:f>(L978*(1+'Assumptions'!$B$29)^('Assumptions'!$B$14/12)/J978)*(1-'Assumptions'!$B$42)-'Debt Schedule'!$F$9</x:f>
        <x:v>3229894.9406485087</x:v>
      </x:c>
      <x:c r="P978" s="132" t="n">
        <x:f>((O978+(L978-N978-'Assumptions'!$B$27-'Assumptions'!$B$28)*('Assumptions'!$B$14/12))/ABS('Monthly Cash Flow'!$S$5))^(1/('Assumptions'!$B$14/12))-1</x:f>
        <x:v>0.21217086221254422</x:v>
      </x:c>
      <x:c r="Q978" s="133" t="n">
        <x:f>-ABS('Monthly Cash Flow'!$S$5)+((L978-N978-'Assumptions'!$B$27-'Assumptions'!$B$28)*(1-(1+'Assumptions'!$B$43)^-('Assumptions'!$B$14/12))/'Assumptions'!$B$43)+(O978/(1+'Assumptions'!$B$43)^('Assumptions'!$B$14/12))</x:f>
        <x:v>830748.1795160659</x:v>
      </x:c>
    </x:row>
    <x:row r="979">
      <x:c r="A979" s="131" t="n">
        <x:f>972</x:f>
        <x:v>972</x:v>
      </x:c>
      <x:c r="B979" s="131" t="n">
        <x:f>MOD(ABS(SIN((A979+1)*12.9898+78.233)*43758.5453),1)</x:f>
        <x:v>0.1859438116362071</x:v>
      </x:c>
      <x:c r="C979" s="131" t="n">
        <x:f>MOD(ABS(SIN((A979+2)*12.9898+78.233)*43758.5453),1)</x:f>
        <x:v>0.4295766518480377</x:v>
      </x:c>
      <x:c r="D979" s="131" t="n">
        <x:f>MOD(ABS(SIN((A979+3)*12.9898+78.233)*43758.5453),1)</x:f>
        <x:v>0.9323797776305582</x:v>
      </x:c>
      <x:c r="E979" s="131" t="n">
        <x:f>MOD(ABS(SIN((A979+4)*12.9898+78.233)*43758.5453),1)</x:f>
        <x:v>0.40197674801311223</x:v>
      </x:c>
      <x:c r="F979" s="131" t="n">
        <x:f>MOD(ABS(SIN((A979+5)*12.9898+78.233)*43758.5453),1)</x:f>
        <x:v>0.5192179682053393</x:v>
      </x:c>
      <x:c r="G979" s="132" t="n">
        <x:f>IF(B979&lt;(('Assumptions'!$C$47-'Assumptions'!$B$47)/('Assumptions'!$D$47-'Assumptions'!$B$47)),'Assumptions'!$B$47+SQRT(B979*('Assumptions'!$D$47-'Assumptions'!$B$47)*('Assumptions'!$C$47-'Assumptions'!$B$47)),'Assumptions'!$D$47-SQRT((1-B979)*('Assumptions'!$D$47-'Assumptions'!$B$47)*('Assumptions'!$D$47-'Assumptions'!$C$47)))</x:f>
        <x:v>-0.033196920136351726</x:v>
      </x:c>
      <x:c r="H979" s="132" t="n">
        <x:f>IF(C979&lt;(('Assumptions'!$C$48-'Assumptions'!$B$48)/('Assumptions'!$D$48-'Assumptions'!$B$48)),'Assumptions'!$B$48+SQRT(C979*('Assumptions'!$D$48-'Assumptions'!$B$48)*('Assumptions'!$C$48-'Assumptions'!$B$48)),'Assumptions'!$D$48-SQRT((1-C979)*('Assumptions'!$D$48-'Assumptions'!$B$48)*('Assumptions'!$D$48-'Assumptions'!$C$48)))</x:f>
        <x:v>0.06914997908442604</x:v>
      </x:c>
      <x:c r="I979" s="132" t="n">
        <x:f>IF(D979&lt;(('Assumptions'!$C$49-'Assumptions'!$B$49)/('Assumptions'!$D$49-'Assumptions'!$B$49)),'Assumptions'!$B$49+SQRT(D979*('Assumptions'!$D$49-'Assumptions'!$B$49)*('Assumptions'!$C$49-'Assumptions'!$B$49)),'Assumptions'!$D$49-SQRT((1-D979)*('Assumptions'!$D$49-'Assumptions'!$B$49)*('Assumptions'!$D$49-'Assumptions'!$C$49)))</x:f>
        <x:v>0.11178224492228851</x:v>
      </x:c>
      <x:c r="J979" s="132" t="n">
        <x:f>IF(E979&lt;(('Assumptions'!$C$50-'Assumptions'!$B$50)/('Assumptions'!$D$50-'Assumptions'!$B$50)),'Assumptions'!$B$50+SQRT(E979*('Assumptions'!$D$50-'Assumptions'!$B$50)*('Assumptions'!$C$50-'Assumptions'!$B$50)),'Assumptions'!$D$50-SQRT((1-E979)*('Assumptions'!$D$50-'Assumptions'!$B$50)*('Assumptions'!$D$50-'Assumptions'!$C$50)))</x:f>
        <x:v>0.0670102454386283</x:v>
      </x:c>
      <x:c r="K979" s="132" t="n">
        <x:f>IF(F979&lt;(('Assumptions'!$C$51-'Assumptions'!$B$51)/('Assumptions'!$D$51-'Assumptions'!$B$51)),'Assumptions'!$B$51+SQRT(F979*('Assumptions'!$D$51-'Assumptions'!$B$51)*('Assumptions'!$C$51-'Assumptions'!$B$51)),'Assumptions'!$D$51-SQRT((1-F979)*('Assumptions'!$D$51-'Assumptions'!$B$51)*('Assumptions'!$D$51-'Assumptions'!$C$51)))</x:f>
        <x:v>0.06978893978707663</x:v>
      </x:c>
      <x:c r="L979" s="133" t="n">
        <x:f>(('Assumptions'!$B$17*(1+G979)+'Assumptions'!$B$18)*(1-H979-'Assumptions'!$B$20)-SUM('Assumptions'!$B$21:$B$25)*(1+I979))-(('Assumptions'!$B$17*(1+G979)+'Assumptions'!$B$18)*(1-H979-'Assumptions'!$B$20)*'Assumptions'!$B$26)</x:f>
        <x:v>183508.7134112212</x:v>
      </x:c>
      <x:c r="M979" s="133" t="n">
        <x:f>'Assumptions'!$B$10*'Assumptions'!$B$33</x:f>
        <x:v>1950000</x:v>
      </x:c>
      <x:c r="N979" s="133" t="n">
        <x:f>-PMT(K979/12,'Assumptions'!$B$35*12,M979)*12</x:f>
        <x:v>155349.23649677864</x:v>
      </x:c>
      <x:c r="O979" s="133" t="n">
        <x:f>(L979*(1+'Assumptions'!$B$29)^('Assumptions'!$B$14/12)/J979)*(1-'Assumptions'!$B$42)-'Debt Schedule'!$F$9</x:f>
        <x:v>2984210.5326561877</x:v>
      </x:c>
      <x:c r="P979" s="132" t="n">
        <x:f>((O979+(L979-N979-'Assumptions'!$B$27-'Assumptions'!$B$28)*('Assumptions'!$B$14/12))/ABS('Monthly Cash Flow'!$S$5))^(1/('Assumptions'!$B$14/12))-1</x:f>
        <x:v>0.17707733751985688</x:v>
      </x:c>
      <x:c r="Q979" s="133" t="n">
        <x:f>-ABS('Monthly Cash Flow'!$S$5)+((L979-N979-'Assumptions'!$B$27-'Assumptions'!$B$28)*(1-(1+'Assumptions'!$B$43)^-('Assumptions'!$B$14/12))/'Assumptions'!$B$43)+(O979/(1+'Assumptions'!$B$43)^('Assumptions'!$B$14/12))</x:f>
        <x:v>513575.0539683392</x:v>
      </x:c>
    </x:row>
    <x:row r="980">
      <x:c r="A980" s="131" t="n">
        <x:f>973</x:f>
        <x:v>973</x:v>
      </x:c>
      <x:c r="B980" s="131" t="n">
        <x:f>MOD(ABS(SIN((A980+1)*12.9898+78.233)*43758.5453),1)</x:f>
        <x:v>0.4295766518480377</x:v>
      </x:c>
      <x:c r="C980" s="131" t="n">
        <x:f>MOD(ABS(SIN((A980+2)*12.9898+78.233)*43758.5453),1)</x:f>
        <x:v>0.9323797776305582</x:v>
      </x:c>
      <x:c r="D980" s="131" t="n">
        <x:f>MOD(ABS(SIN((A980+3)*12.9898+78.233)*43758.5453),1)</x:f>
        <x:v>0.40197674801311223</x:v>
      </x:c>
      <x:c r="E980" s="131" t="n">
        <x:f>MOD(ABS(SIN((A980+4)*12.9898+78.233)*43758.5453),1)</x:f>
        <x:v>0.5192179682053393</x:v>
      </x:c>
      <x:c r="F980" s="131" t="n">
        <x:f>MOD(ABS(SIN((A980+5)*12.9898+78.233)*43758.5453),1)</x:f>
        <x:v>0.8875773373511038</x:v>
      </x:c>
      <x:c r="G980" s="132" t="n">
        <x:f>IF(B980&lt;(('Assumptions'!$C$47-'Assumptions'!$B$47)/('Assumptions'!$D$47-'Assumptions'!$B$47)),'Assumptions'!$B$47+SQRT(B980*('Assumptions'!$D$47-'Assumptions'!$B$47)*('Assumptions'!$C$47-'Assumptions'!$B$47)),'Assumptions'!$D$47-SQRT((1-B980)*('Assumptions'!$D$47-'Assumptions'!$B$47)*('Assumptions'!$D$47-'Assumptions'!$C$47)))</x:f>
        <x:v>0.0015373805273353747</x:v>
      </x:c>
      <x:c r="H980" s="132" t="n">
        <x:f>IF(C980&lt;(('Assumptions'!$C$48-'Assumptions'!$B$48)/('Assumptions'!$D$48-'Assumptions'!$B$48)),'Assumptions'!$B$48+SQRT(C980*('Assumptions'!$D$48-'Assumptions'!$B$48)*('Assumptions'!$C$48-'Assumptions'!$B$48)),'Assumptions'!$D$48-SQRT((1-C980)*('Assumptions'!$D$48-'Assumptions'!$B$48)*('Assumptions'!$D$48-'Assumptions'!$C$48)))</x:f>
        <x:v>0.1156061901940044</x:v>
      </x:c>
      <x:c r="I980" s="132" t="n">
        <x:f>IF(D980&lt;(('Assumptions'!$C$49-'Assumptions'!$B$49)/('Assumptions'!$D$49-'Assumptions'!$B$49)),'Assumptions'!$B$49+SQRT(D980*('Assumptions'!$D$49-'Assumptions'!$B$49)*('Assumptions'!$C$49-'Assumptions'!$B$49)),'Assumptions'!$D$49-SQRT((1-D980)*('Assumptions'!$D$49-'Assumptions'!$B$49)*('Assumptions'!$D$49-'Assumptions'!$C$49)))</x:f>
        <x:v>0.03634568973014364</x:v>
      </x:c>
      <x:c r="J980" s="132" t="n">
        <x:f>IF(E980&lt;(('Assumptions'!$C$50-'Assumptions'!$B$50)/('Assumptions'!$D$50-'Assumptions'!$B$50)),'Assumptions'!$B$50+SQRT(E980*('Assumptions'!$D$50-'Assumptions'!$B$50)*('Assumptions'!$C$50-'Assumptions'!$B$50)),'Assumptions'!$D$50-SQRT((1-E980)*('Assumptions'!$D$50-'Assumptions'!$B$50)*('Assumptions'!$D$50-'Assumptions'!$C$50)))</x:f>
        <x:v>0.06837158882554249</x:v>
      </x:c>
      <x:c r="K980" s="132" t="n">
        <x:f>IF(F980&lt;(('Assumptions'!$C$51-'Assumptions'!$B$51)/('Assumptions'!$D$51-'Assumptions'!$B$51)),'Assumptions'!$B$51+SQRT(F980*('Assumptions'!$D$51-'Assumptions'!$B$51)*('Assumptions'!$C$51-'Assumptions'!$B$51)),'Assumptions'!$D$51-SQRT((1-F980)*('Assumptions'!$D$51-'Assumptions'!$B$51)*('Assumptions'!$D$51-'Assumptions'!$C$51)))</x:f>
        <x:v>0.07764449822243369</x:v>
      </x:c>
      <x:c r="L980" s="133" t="n">
        <x:f>(('Assumptions'!$B$17*(1+G980)+'Assumptions'!$B$18)*(1-H980-'Assumptions'!$B$20)-SUM('Assumptions'!$B$21:$B$25)*(1+I980))-(('Assumptions'!$B$17*(1+G980)+'Assumptions'!$B$18)*(1-H980-'Assumptions'!$B$20)*'Assumptions'!$B$26)</x:f>
        <x:v>187185.05058767577</x:v>
      </x:c>
      <x:c r="M980" s="133" t="n">
        <x:f>'Assumptions'!$B$10*'Assumptions'!$B$33</x:f>
        <x:v>1950000</x:v>
      </x:c>
      <x:c r="N980" s="133" t="n">
        <x:f>-PMT(K980/12,'Assumptions'!$B$35*12,M980)*12</x:f>
        <x:v>167874.18230267116</x:v>
      </x:c>
      <x:c r="O980" s="133" t="n">
        <x:f>(L980*(1+'Assumptions'!$B$29)^('Assumptions'!$B$14/12)/J980)*(1-'Assumptions'!$B$42)-'Debt Schedule'!$F$9</x:f>
        <x:v>2983386.1282459153</x:v>
      </x:c>
      <x:c r="P980" s="132" t="n">
        <x:f>((O980+(L980-N980-'Assumptions'!$B$27-'Assumptions'!$B$28)*('Assumptions'!$B$14/12))/ABS('Monthly Cash Flow'!$S$5))^(1/('Assumptions'!$B$14/12))-1</x:f>
        <x:v>0.17342757896102423</x:v>
      </x:c>
      <x:c r="Q980" s="133" t="n">
        <x:f>-ABS('Monthly Cash Flow'!$S$5)+((L980-N980-'Assumptions'!$B$27-'Assumptions'!$B$28)*(1-(1+'Assumptions'!$B$43)^-('Assumptions'!$B$14/12))/'Assumptions'!$B$43)+(O980/(1+'Assumptions'!$B$43)^('Assumptions'!$B$14/12))</x:f>
        <x:v>479519.97517103003</x:v>
      </x:c>
    </x:row>
    <x:row r="981">
      <x:c r="A981" s="131" t="n">
        <x:f>974</x:f>
        <x:v>974</x:v>
      </x:c>
      <x:c r="B981" s="131" t="n">
        <x:f>MOD(ABS(SIN((A981+1)*12.9898+78.233)*43758.5453),1)</x:f>
        <x:v>0.9323797776305582</x:v>
      </x:c>
      <x:c r="C981" s="131" t="n">
        <x:f>MOD(ABS(SIN((A981+2)*12.9898+78.233)*43758.5453),1)</x:f>
        <x:v>0.40197674801311223</x:v>
      </x:c>
      <x:c r="D981" s="131" t="n">
        <x:f>MOD(ABS(SIN((A981+3)*12.9898+78.233)*43758.5453),1)</x:f>
        <x:v>0.5192179682053393</x:v>
      </x:c>
      <x:c r="E981" s="131" t="n">
        <x:f>MOD(ABS(SIN((A981+4)*12.9898+78.233)*43758.5453),1)</x:f>
        <x:v>0.8875773373511038</x:v>
      </x:c>
      <x:c r="F981" s="131" t="n">
        <x:f>MOD(ABS(SIN((A981+5)*12.9898+78.233)*43758.5453),1)</x:f>
        <x:v>0.8995307066106761</x:v>
      </x:c>
      <x:c r="G981" s="132" t="n">
        <x:f>IF(B981&lt;(('Assumptions'!$C$47-'Assumptions'!$B$47)/('Assumptions'!$D$47-'Assumptions'!$B$47)),'Assumptions'!$B$47+SQRT(B981*('Assumptions'!$D$47-'Assumptions'!$B$47)*('Assumptions'!$C$47-'Assumptions'!$B$47)),'Assumptions'!$D$47-SQRT((1-B981)*('Assumptions'!$D$47-'Assumptions'!$B$47)*('Assumptions'!$D$47-'Assumptions'!$C$47)))</x:f>
        <x:v>0.06710739356768655</x:v>
      </x:c>
      <x:c r="H981" s="132" t="n">
        <x:f>IF(C981&lt;(('Assumptions'!$C$48-'Assumptions'!$B$48)/('Assumptions'!$D$48-'Assumptions'!$B$48)),'Assumptions'!$B$48+SQRT(C981*('Assumptions'!$D$48-'Assumptions'!$B$48)*('Assumptions'!$C$48-'Assumptions'!$B$48)),'Assumptions'!$D$48-SQRT((1-C981)*('Assumptions'!$D$48-'Assumptions'!$B$48)*('Assumptions'!$D$48-'Assumptions'!$C$48)))</x:f>
        <x:v>0.06745618828952664</x:v>
      </x:c>
      <x:c r="I981" s="132" t="n">
        <x:f>IF(D981&lt;(('Assumptions'!$C$49-'Assumptions'!$B$49)/('Assumptions'!$D$49-'Assumptions'!$B$49)),'Assumptions'!$B$49+SQRT(D981*('Assumptions'!$D$49-'Assumptions'!$B$49)*('Assumptions'!$C$49-'Assumptions'!$B$49)),'Assumptions'!$D$49-SQRT((1-D981)*('Assumptions'!$D$49-'Assumptions'!$B$49)*('Assumptions'!$D$49-'Assumptions'!$C$49)))</x:f>
        <x:v>0.04809371026887167</x:v>
      </x:c>
      <x:c r="J981" s="132" t="n">
        <x:f>IF(E981&lt;(('Assumptions'!$C$50-'Assumptions'!$B$50)/('Assumptions'!$D$50-'Assumptions'!$B$50)),'Assumptions'!$B$50+SQRT(E981*('Assumptions'!$D$50-'Assumptions'!$B$50)*('Assumptions'!$C$50-'Assumptions'!$B$50)),'Assumptions'!$D$50-SQRT((1-E981)*('Assumptions'!$D$50-'Assumptions'!$B$50)*('Assumptions'!$D$50-'Assumptions'!$C$50)))</x:f>
        <x:v>0.0743769337661733</x:v>
      </x:c>
      <x:c r="K981" s="132" t="n">
        <x:f>IF(F981&lt;(('Assumptions'!$C$51-'Assumptions'!$B$51)/('Assumptions'!$D$51-'Assumptions'!$B$51)),'Assumptions'!$B$51+SQRT(F981*('Assumptions'!$D$51-'Assumptions'!$B$51)*('Assumptions'!$C$51-'Assumptions'!$B$51)),'Assumptions'!$D$51-SQRT((1-F981)*('Assumptions'!$D$51-'Assumptions'!$B$51)*('Assumptions'!$D$51-'Assumptions'!$C$51)))</x:f>
        <x:v>0.07804652263657873</x:v>
      </x:c>
      <x:c r="L981" s="133" t="n">
        <x:f>(('Assumptions'!$B$17*(1+G981)+'Assumptions'!$B$18)*(1-H981-'Assumptions'!$B$20)-SUM('Assumptions'!$B$21:$B$25)*(1+I981))-(('Assumptions'!$B$17*(1+G981)+'Assumptions'!$B$18)*(1-H981-'Assumptions'!$B$20)*'Assumptions'!$B$26)</x:f>
        <x:v>224108.81778229374</x:v>
      </x:c>
      <x:c r="M981" s="133" t="n">
        <x:f>'Assumptions'!$B$10*'Assumptions'!$B$33</x:f>
        <x:v>1950000</x:v>
      </x:c>
      <x:c r="N981" s="133" t="n">
        <x:f>-PMT(K981/12,'Assumptions'!$B$35*12,M981)*12</x:f>
        <x:v>168525.06563841534</x:v>
      </x:c>
      <x:c r="O981" s="133" t="n">
        <x:f>(L981*(1+'Assumptions'!$B$29)^('Assumptions'!$B$14/12)/J981)*(1-'Assumptions'!$B$42)-'Debt Schedule'!$F$9</x:f>
        <x:v>3283482.0874463525</x:v>
      </x:c>
      <x:c r="P981" s="132" t="n">
        <x:f>((O981+(L981-N981-'Assumptions'!$B$27-'Assumptions'!$B$28)*('Assumptions'!$B$14/12))/ABS('Monthly Cash Flow'!$S$5))^(1/('Assumptions'!$B$14/12))-1</x:f>
        <x:v>0.21027385106447172</x:v>
      </x:c>
      <x:c r="Q981" s="133" t="n">
        <x:f>-ABS('Monthly Cash Flow'!$S$5)+((L981-N981-'Assumptions'!$B$27-'Assumptions'!$B$28)*(1-(1+'Assumptions'!$B$43)^-('Assumptions'!$B$14/12))/'Assumptions'!$B$43)+(O981/(1+'Assumptions'!$B$43)^('Assumptions'!$B$14/12))</x:f>
        <x:v>803358.7234229799</x:v>
      </x:c>
    </x:row>
    <x:row r="982">
      <x:c r="A982" s="131" t="n">
        <x:f>975</x:f>
        <x:v>975</x:v>
      </x:c>
      <x:c r="B982" s="131" t="n">
        <x:f>MOD(ABS(SIN((A982+1)*12.9898+78.233)*43758.5453),1)</x:f>
        <x:v>0.40197674801311223</x:v>
      </x:c>
      <x:c r="C982" s="131" t="n">
        <x:f>MOD(ABS(SIN((A982+2)*12.9898+78.233)*43758.5453),1)</x:f>
        <x:v>0.5192179682053393</x:v>
      </x:c>
      <x:c r="D982" s="131" t="n">
        <x:f>MOD(ABS(SIN((A982+3)*12.9898+78.233)*43758.5453),1)</x:f>
        <x:v>0.8875773373511038</x:v>
      </x:c>
      <x:c r="E982" s="131" t="n">
        <x:f>MOD(ABS(SIN((A982+4)*12.9898+78.233)*43758.5453),1)</x:f>
        <x:v>0.8995307066106761</x:v>
      </x:c>
      <x:c r="F982" s="131" t="n">
        <x:f>MOD(ABS(SIN((A982+5)*12.9898+78.233)*43758.5453),1)</x:f>
        <x:v>0.8424062171534388</x:v>
      </x:c>
      <x:c r="G982" s="132" t="n">
        <x:f>IF(B982&lt;(('Assumptions'!$C$47-'Assumptions'!$B$47)/('Assumptions'!$D$47-'Assumptions'!$B$47)),'Assumptions'!$B$47+SQRT(B982*('Assumptions'!$D$47-'Assumptions'!$B$47)*('Assumptions'!$C$47-'Assumptions'!$B$47)),'Assumptions'!$D$47-SQRT((1-B982)*('Assumptions'!$D$47-'Assumptions'!$B$47)*('Assumptions'!$D$47-'Assumptions'!$C$47)))</x:f>
        <x:v>-0.0017786074609268537</x:v>
      </x:c>
      <x:c r="H982" s="132" t="n">
        <x:f>IF(C982&lt;(('Assumptions'!$C$48-'Assumptions'!$B$48)/('Assumptions'!$D$48-'Assumptions'!$B$48)),'Assumptions'!$B$48+SQRT(C982*('Assumptions'!$D$48-'Assumptions'!$B$48)*('Assumptions'!$C$48-'Assumptions'!$B$48)),'Assumptions'!$D$48-SQRT((1-C982)*('Assumptions'!$D$48-'Assumptions'!$B$48)*('Assumptions'!$D$48-'Assumptions'!$C$48)))</x:f>
        <x:v>0.07495477050703092</x:v>
      </x:c>
      <x:c r="I982" s="132" t="n">
        <x:f>IF(D982&lt;(('Assumptions'!$C$49-'Assumptions'!$B$49)/('Assumptions'!$D$49-'Assumptions'!$B$49)),'Assumptions'!$B$49+SQRT(D982*('Assumptions'!$D$49-'Assumptions'!$B$49)*('Assumptions'!$C$49-'Assumptions'!$B$49)),'Assumptions'!$D$49-SQRT((1-D982)*('Assumptions'!$D$49-'Assumptions'!$B$49)*('Assumptions'!$D$49-'Assumptions'!$C$49)))</x:f>
        <x:v>0.10072191650219989</x:v>
      </x:c>
      <x:c r="J982" s="132" t="n">
        <x:f>IF(E982&lt;(('Assumptions'!$C$50-'Assumptions'!$B$50)/('Assumptions'!$D$50-'Assumptions'!$B$50)),'Assumptions'!$B$50+SQRT(E982*('Assumptions'!$D$50-'Assumptions'!$B$50)*('Assumptions'!$C$50-'Assumptions'!$B$50)),'Assumptions'!$D$50-SQRT((1-E982)*('Assumptions'!$D$50-'Assumptions'!$B$50)*('Assumptions'!$D$50-'Assumptions'!$C$50)))</x:f>
        <x:v>0.07468426968651086</x:v>
      </x:c>
      <x:c r="K982" s="132" t="n">
        <x:f>IF(F982&lt;(('Assumptions'!$C$51-'Assumptions'!$B$51)/('Assumptions'!$D$51-'Assumptions'!$B$51)),'Assumptions'!$B$51+SQRT(F982*('Assumptions'!$D$51-'Assumptions'!$B$51)*('Assumptions'!$C$51-'Assumptions'!$B$51)),'Assumptions'!$D$51-SQRT((1-F982)*('Assumptions'!$D$51-'Assumptions'!$B$51)*('Assumptions'!$D$51-'Assumptions'!$C$51)))</x:f>
        <x:v>0.07629126829010634</x:v>
      </x:c>
      <x:c r="L982" s="133" t="n">
        <x:f>(('Assumptions'!$B$17*(1+G982)+'Assumptions'!$B$18)*(1-H982-'Assumptions'!$B$20)-SUM('Assumptions'!$B$21:$B$25)*(1+I982))-(('Assumptions'!$B$17*(1+G982)+'Assumptions'!$B$18)*(1-H982-'Assumptions'!$B$20)*'Assumptions'!$B$26)</x:f>
        <x:v>192798.18523143782</x:v>
      </x:c>
      <x:c r="M982" s="133" t="n">
        <x:f>'Assumptions'!$B$10*'Assumptions'!$B$33</x:f>
        <x:v>1950000</x:v>
      </x:c>
      <x:c r="N982" s="133" t="n">
        <x:f>-PMT(K982/12,'Assumptions'!$B$35*12,M982)*12</x:f>
        <x:v>165690.1723488541</x:v>
      </x:c>
      <x:c r="O982" s="133" t="n">
        <x:f>(L982*(1+'Assumptions'!$B$29)^('Assumptions'!$B$14/12)/J982)*(1-'Assumptions'!$B$42)-'Debt Schedule'!$F$9</x:f>
        <x:v>2813116.9030657047</x:v>
      </x:c>
      <x:c r="P982" s="132" t="n">
        <x:f>((O982+(L982-N982-'Assumptions'!$B$27-'Assumptions'!$B$28)*('Assumptions'!$B$14/12))/ABS('Monthly Cash Flow'!$S$5))^(1/('Assumptions'!$B$14/12))-1</x:f>
        <x:v>0.16252873835861648</x:v>
      </x:c>
      <x:c r="Q982" s="133" t="n">
        <x:f>-ABS('Monthly Cash Flow'!$S$5)+((L982-N982-'Assumptions'!$B$27-'Assumptions'!$B$28)*(1-(1+'Assumptions'!$B$43)^-('Assumptions'!$B$14/12))/'Assumptions'!$B$43)+(O982/(1+'Assumptions'!$B$43)^('Assumptions'!$B$14/12))</x:f>
        <x:v>403353.4951755442</x:v>
      </x:c>
    </x:row>
    <x:row r="983">
      <x:c r="A983" s="131" t="n">
        <x:f>976</x:f>
        <x:v>976</x:v>
      </x:c>
      <x:c r="B983" s="131" t="n">
        <x:f>MOD(ABS(SIN((A983+1)*12.9898+78.233)*43758.5453),1)</x:f>
        <x:v>0.5192179682053393</x:v>
      </x:c>
      <x:c r="C983" s="131" t="n">
        <x:f>MOD(ABS(SIN((A983+2)*12.9898+78.233)*43758.5453),1)</x:f>
        <x:v>0.8875773373511038</x:v>
      </x:c>
      <x:c r="D983" s="131" t="n">
        <x:f>MOD(ABS(SIN((A983+3)*12.9898+78.233)*43758.5453),1)</x:f>
        <x:v>0.8995307066106761</x:v>
      </x:c>
      <x:c r="E983" s="131" t="n">
        <x:f>MOD(ABS(SIN((A983+4)*12.9898+78.233)*43758.5453),1)</x:f>
        <x:v>0.8424062171534388</x:v>
      </x:c>
      <x:c r="F983" s="131" t="n">
        <x:f>MOD(ABS(SIN((A983+5)*12.9898+78.233)*43758.5453),1)</x:f>
        <x:v>0.32140930546302116</x:v>
      </x:c>
      <x:c r="G983" s="132" t="n">
        <x:f>IF(B983&lt;(('Assumptions'!$C$47-'Assumptions'!$B$47)/('Assumptions'!$D$47-'Assumptions'!$B$47)),'Assumptions'!$B$47+SQRT(B983*('Assumptions'!$D$47-'Assumptions'!$B$47)*('Assumptions'!$C$47-'Assumptions'!$B$47)),'Assumptions'!$D$47-SQRT((1-B983)*('Assumptions'!$D$47-'Assumptions'!$B$47)*('Assumptions'!$D$47-'Assumptions'!$C$47)))</x:f>
        <x:v>0.01162988505292005</x:v>
      </x:c>
      <x:c r="H983" s="132" t="n">
        <x:f>IF(C983&lt;(('Assumptions'!$C$48-'Assumptions'!$B$48)/('Assumptions'!$D$48-'Assumptions'!$B$48)),'Assumptions'!$B$48+SQRT(C983*('Assumptions'!$D$48-'Assumptions'!$B$48)*('Assumptions'!$C$48-'Assumptions'!$B$48)),'Assumptions'!$D$48-SQRT((1-C983)*('Assumptions'!$D$48-'Assumptions'!$B$48)*('Assumptions'!$D$48-'Assumptions'!$C$48)))</x:f>
        <x:v>0.10854655136061729</x:v>
      </x:c>
      <x:c r="I983" s="132" t="n">
        <x:f>IF(D983&lt;(('Assumptions'!$C$49-'Assumptions'!$B$49)/('Assumptions'!$D$49-'Assumptions'!$B$49)),'Assumptions'!$B$49+SQRT(D983*('Assumptions'!$D$49-'Assumptions'!$B$49)*('Assumptions'!$C$49-'Assumptions'!$B$49)),'Assumptions'!$D$49-SQRT((1-D983)*('Assumptions'!$D$49-'Assumptions'!$B$49)*('Assumptions'!$D$49-'Assumptions'!$C$49)))</x:f>
        <x:v>0.10341527356300784</x:v>
      </x:c>
      <x:c r="J983" s="132" t="n">
        <x:f>IF(E983&lt;(('Assumptions'!$C$50-'Assumptions'!$B$50)/('Assumptions'!$D$50-'Assumptions'!$B$50)),'Assumptions'!$B$50+SQRT(E983*('Assumptions'!$D$50-'Assumptions'!$B$50)*('Assumptions'!$C$50-'Assumptions'!$B$50)),'Assumptions'!$D$50-SQRT((1-E983)*('Assumptions'!$D$50-'Assumptions'!$B$50)*('Assumptions'!$D$50-'Assumptions'!$C$50)))</x:f>
        <x:v>0.07334242901460335</x:v>
      </x:c>
      <x:c r="K983" s="132" t="n">
        <x:f>IF(F983&lt;(('Assumptions'!$C$51-'Assumptions'!$B$51)/('Assumptions'!$D$51-'Assumptions'!$B$51)),'Assumptions'!$B$51+SQRT(F983*('Assumptions'!$D$51-'Assumptions'!$B$51)*('Assumptions'!$C$51-'Assumptions'!$B$51)),'Assumptions'!$D$51-SQRT((1-F983)*('Assumptions'!$D$51-'Assumptions'!$B$51)*('Assumptions'!$D$51-'Assumptions'!$C$51)))</x:f>
        <x:v>0.06690146579009523</x:v>
      </x:c>
      <x:c r="L983" s="133" t="n">
        <x:f>(('Assumptions'!$B$17*(1+G983)+'Assumptions'!$B$18)*(1-H983-'Assumptions'!$B$20)-SUM('Assumptions'!$B$21:$B$25)*(1+I983))-(('Assumptions'!$B$17*(1+G983)+'Assumptions'!$B$18)*(1-H983-'Assumptions'!$B$20)*'Assumptions'!$B$26)</x:f>
        <x:v>184374.31848376823</x:v>
      </x:c>
      <x:c r="M983" s="133" t="n">
        <x:f>'Assumptions'!$B$10*'Assumptions'!$B$33</x:f>
        <x:v>1950000</x:v>
      </x:c>
      <x:c r="N983" s="133" t="n">
        <x:f>-PMT(K983/12,'Assumptions'!$B$35*12,M983)*12</x:f>
        <x:v>150842.13614180192</x:v>
      </x:c>
      <x:c r="O983" s="133" t="n">
        <x:f>(L983*(1+'Assumptions'!$B$29)^('Assumptions'!$B$14/12)/J983)*(1-'Assumptions'!$B$42)-'Debt Schedule'!$F$9</x:f>
        <x:v>2739423.1148502217</x:v>
      </x:c>
      <x:c r="P983" s="132" t="n">
        <x:f>((O983+(L983-N983-'Assumptions'!$B$27-'Assumptions'!$B$28)*('Assumptions'!$B$14/12))/ABS('Monthly Cash Flow'!$S$5))^(1/('Assumptions'!$B$14/12))-1</x:f>
        <x:v>0.15899066049708077</x:v>
      </x:c>
      <x:c r="Q983" s="133" t="n">
        <x:f>-ABS('Monthly Cash Flow'!$S$5)+((L983-N983-'Assumptions'!$B$27-'Assumptions'!$B$28)*(1-(1+'Assumptions'!$B$43)^-('Assumptions'!$B$14/12))/'Assumptions'!$B$43)+(O983/(1+'Assumptions'!$B$43)^('Assumptions'!$B$14/12))</x:f>
        <x:v>381948.10728661064</x:v>
      </x:c>
    </x:row>
    <x:row r="984">
      <x:c r="A984" s="131" t="n">
        <x:f>977</x:f>
        <x:v>977</x:v>
      </x:c>
      <x:c r="B984" s="131" t="n">
        <x:f>MOD(ABS(SIN((A984+1)*12.9898+78.233)*43758.5453),1)</x:f>
        <x:v>0.8875773373511038</x:v>
      </x:c>
      <x:c r="C984" s="131" t="n">
        <x:f>MOD(ABS(SIN((A984+2)*12.9898+78.233)*43758.5453),1)</x:f>
        <x:v>0.8995307066106761</x:v>
      </x:c>
      <x:c r="D984" s="131" t="n">
        <x:f>MOD(ABS(SIN((A984+3)*12.9898+78.233)*43758.5453),1)</x:f>
        <x:v>0.8424062171534388</x:v>
      </x:c>
      <x:c r="E984" s="131" t="n">
        <x:f>MOD(ABS(SIN((A984+4)*12.9898+78.233)*43758.5453),1)</x:f>
        <x:v>0.32140930546302116</x:v>
      </x:c>
      <x:c r="F984" s="131" t="n">
        <x:f>MOD(ABS(SIN((A984+5)*12.9898+78.233)*43758.5453),1)</x:f>
        <x:v>0.15439957319540554</x:v>
      </x:c>
      <x:c r="G984" s="132" t="n">
        <x:f>IF(B984&lt;(('Assumptions'!$C$47-'Assumptions'!$B$47)/('Assumptions'!$D$47-'Assumptions'!$B$47)),'Assumptions'!$B$47+SQRT(B984*('Assumptions'!$D$47-'Assumptions'!$B$47)*('Assumptions'!$C$47-'Assumptions'!$B$47)),'Assumptions'!$D$47-SQRT((1-B984)*('Assumptions'!$D$47-'Assumptions'!$B$47)*('Assumptions'!$D$47-'Assumptions'!$C$47)))</x:f>
        <x:v>0.057588178506667045</x:v>
      </x:c>
      <x:c r="H984" s="132" t="n">
        <x:f>IF(C984&lt;(('Assumptions'!$C$48-'Assumptions'!$B$48)/('Assumptions'!$D$48-'Assumptions'!$B$48)),'Assumptions'!$B$48+SQRT(C984*('Assumptions'!$D$48-'Assumptions'!$B$48)*('Assumptions'!$C$48-'Assumptions'!$B$48)),'Assumptions'!$D$48-SQRT((1-C984)*('Assumptions'!$D$48-'Assumptions'!$B$48)*('Assumptions'!$D$48-'Assumptions'!$C$48)))</x:f>
        <x:v>0.1102656800678736</x:v>
      </x:c>
      <x:c r="I984" s="132" t="n">
        <x:f>IF(D984&lt;(('Assumptions'!$C$49-'Assumptions'!$B$49)/('Assumptions'!$D$49-'Assumptions'!$B$49)),'Assumptions'!$B$49+SQRT(D984*('Assumptions'!$D$49-'Assumptions'!$B$49)*('Assumptions'!$C$49-'Assumptions'!$B$49)),'Assumptions'!$D$49-SQRT((1-D984)*('Assumptions'!$D$49-'Assumptions'!$B$49)*('Assumptions'!$D$49-'Assumptions'!$C$49)))</x:f>
        <x:v>0.09165597108970171</x:v>
      </x:c>
      <x:c r="J984" s="132" t="n">
        <x:f>IF(E984&lt;(('Assumptions'!$C$50-'Assumptions'!$B$50)/('Assumptions'!$D$50-'Assumptions'!$B$50)),'Assumptions'!$B$50+SQRT(E984*('Assumptions'!$D$50-'Assumptions'!$B$50)*('Assumptions'!$C$50-'Assumptions'!$B$50)),'Assumptions'!$D$50-SQRT((1-E984)*('Assumptions'!$D$50-'Assumptions'!$B$50)*('Assumptions'!$D$50-'Assumptions'!$C$50)))</x:f>
        <x:v>0.06600394577412037</x:v>
      </x:c>
      <x:c r="K984" s="132" t="n">
        <x:f>IF(F984&lt;(('Assumptions'!$C$51-'Assumptions'!$B$51)/('Assumptions'!$D$51-'Assumptions'!$B$51)),'Assumptions'!$B$51+SQRT(F984*('Assumptions'!$D$51-'Assumptions'!$B$51)*('Assumptions'!$C$51-'Assumptions'!$B$51)),'Assumptions'!$D$51-SQRT((1-F984)*('Assumptions'!$D$51-'Assumptions'!$B$51)*('Assumptions'!$D$51-'Assumptions'!$C$51)))</x:f>
        <x:v>0.06401612481684756</x:v>
      </x:c>
      <x:c r="L984" s="133" t="n">
        <x:f>(('Assumptions'!$B$17*(1+G984)+'Assumptions'!$B$18)*(1-H984-'Assumptions'!$B$20)-SUM('Assumptions'!$B$21:$B$25)*(1+I984))-(('Assumptions'!$B$17*(1+G984)+'Assumptions'!$B$18)*(1-H984-'Assumptions'!$B$20)*'Assumptions'!$B$26)</x:f>
        <x:v>199198.22752176932</x:v>
      </x:c>
      <x:c r="M984" s="133" t="n">
        <x:f>'Assumptions'!$B$10*'Assumptions'!$B$33</x:f>
        <x:v>1950000</x:v>
      </x:c>
      <x:c r="N984" s="133" t="n">
        <x:f>-PMT(K984/12,'Assumptions'!$B$35*12,M984)*12</x:f>
        <x:v>146393.08936165547</x:v>
      </x:c>
      <x:c r="O984" s="133" t="n">
        <x:f>(L984*(1+'Assumptions'!$B$29)^('Assumptions'!$B$14/12)/J984)*(1-'Assumptions'!$B$42)-'Debt Schedule'!$F$9</x:f>
        <x:v>3288740.056641603</x:v>
      </x:c>
      <x:c r="P984" s="132" t="n">
        <x:f>((O984+(L984-N984-'Assumptions'!$B$27-'Assumptions'!$B$28)*('Assumptions'!$B$14/12))/ABS('Monthly Cash Flow'!$S$5))^(1/('Assumptions'!$B$14/12))-1</x:f>
        <x:v>0.20965139676515232</x:v>
      </x:c>
      <x:c r="Q984" s="133" t="n">
        <x:f>-ABS('Monthly Cash Flow'!$S$5)+((L984-N984-'Assumptions'!$B$27-'Assumptions'!$B$28)*(1-(1+'Assumptions'!$B$43)^-('Assumptions'!$B$14/12))/'Assumptions'!$B$43)+(O984/(1+'Assumptions'!$B$43)^('Assumptions'!$B$14/12))</x:f>
        <x:v>796090.3754853511</x:v>
      </x:c>
    </x:row>
    <x:row r="985">
      <x:c r="A985" s="131" t="n">
        <x:f>978</x:f>
        <x:v>978</x:v>
      </x:c>
      <x:c r="B985" s="131" t="n">
        <x:f>MOD(ABS(SIN((A985+1)*12.9898+78.233)*43758.5453),1)</x:f>
        <x:v>0.8995307066106761</x:v>
      </x:c>
      <x:c r="C985" s="131" t="n">
        <x:f>MOD(ABS(SIN((A985+2)*12.9898+78.233)*43758.5453),1)</x:f>
        <x:v>0.8424062171534388</x:v>
      </x:c>
      <x:c r="D985" s="131" t="n">
        <x:f>MOD(ABS(SIN((A985+3)*12.9898+78.233)*43758.5453),1)</x:f>
        <x:v>0.32140930546302116</x:v>
      </x:c>
      <x:c r="E985" s="131" t="n">
        <x:f>MOD(ABS(SIN((A985+4)*12.9898+78.233)*43758.5453),1)</x:f>
        <x:v>0.15439957319540554</x:v>
      </x:c>
      <x:c r="F985" s="131" t="n">
        <x:f>MOD(ABS(SIN((A985+5)*12.9898+78.233)*43758.5453),1)</x:f>
        <x:v>0.6826197768968996</x:v>
      </x:c>
      <x:c r="G985" s="132" t="n">
        <x:f>IF(B985&lt;(('Assumptions'!$C$47-'Assumptions'!$B$47)/('Assumptions'!$D$47-'Assumptions'!$B$47)),'Assumptions'!$B$47+SQRT(B985*('Assumptions'!$D$47-'Assumptions'!$B$47)*('Assumptions'!$C$47-'Assumptions'!$B$47)),'Assumptions'!$D$47-SQRT((1-B985)*('Assumptions'!$D$47-'Assumptions'!$B$47)*('Assumptions'!$D$47-'Assumptions'!$C$47)))</x:f>
        <x:v>0.05990625118264468</x:v>
      </x:c>
      <x:c r="H985" s="132" t="n">
        <x:f>IF(C985&lt;(('Assumptions'!$C$48-'Assumptions'!$B$48)/('Assumptions'!$D$48-'Assumptions'!$B$48)),'Assumptions'!$B$48+SQRT(C985*('Assumptions'!$D$48-'Assumptions'!$B$48)*('Assumptions'!$C$48-'Assumptions'!$B$48)),'Assumptions'!$D$48-SQRT((1-C985)*('Assumptions'!$D$48-'Assumptions'!$B$48)*('Assumptions'!$D$48-'Assumptions'!$C$48)))</x:f>
        <x:v>0.1027598967637073</x:v>
      </x:c>
      <x:c r="I985" s="132" t="n">
        <x:f>IF(D985&lt;(('Assumptions'!$C$49-'Assumptions'!$B$49)/('Assumptions'!$D$49-'Assumptions'!$B$49)),'Assumptions'!$B$49+SQRT(D985*('Assumptions'!$D$49-'Assumptions'!$B$49)*('Assumptions'!$C$49-'Assumptions'!$B$49)),'Assumptions'!$D$49-SQRT((1-D985)*('Assumptions'!$D$49-'Assumptions'!$B$49)*('Assumptions'!$D$49-'Assumptions'!$C$49)))</x:f>
        <x:v>0.028917064582348537</x:v>
      </x:c>
      <x:c r="J985" s="132" t="n">
        <x:f>IF(E985&lt;(('Assumptions'!$C$50-'Assumptions'!$B$50)/('Assumptions'!$D$50-'Assumptions'!$B$50)),'Assumptions'!$B$50+SQRT(E985*('Assumptions'!$D$50-'Assumptions'!$B$50)*('Assumptions'!$C$50-'Assumptions'!$B$50)),'Assumptions'!$D$50-SQRT((1-E985)*('Assumptions'!$D$50-'Assumptions'!$B$50)*('Assumptions'!$D$50-'Assumptions'!$C$50)))</x:f>
        <x:v>0.06339405666489271</x:v>
      </x:c>
      <x:c r="K985" s="132" t="n">
        <x:f>IF(F985&lt;(('Assumptions'!$C$51-'Assumptions'!$B$51)/('Assumptions'!$D$51-'Assumptions'!$B$51)),'Assumptions'!$B$51+SQRT(F985*('Assumptions'!$D$51-'Assumptions'!$B$51)*('Assumptions'!$C$51-'Assumptions'!$B$51)),'Assumptions'!$D$51-SQRT((1-F985)*('Assumptions'!$D$51-'Assumptions'!$B$51)*('Assumptions'!$D$51-'Assumptions'!$C$51)))</x:f>
        <x:v>0.07264122852511759</x:v>
      </x:c>
      <x:c r="L985" s="133" t="n">
        <x:f>(('Assumptions'!$B$17*(1+G985)+'Assumptions'!$B$18)*(1-H985-'Assumptions'!$B$20)-SUM('Assumptions'!$B$21:$B$25)*(1+I985))-(('Assumptions'!$B$17*(1+G985)+'Assumptions'!$B$18)*(1-H985-'Assumptions'!$B$20)*'Assumptions'!$B$26)</x:f>
        <x:v>210687.2030890074</x:v>
      </x:c>
      <x:c r="M985" s="133" t="n">
        <x:f>'Assumptions'!$B$10*'Assumptions'!$B$33</x:f>
        <x:v>1950000</x:v>
      </x:c>
      <x:c r="N985" s="133" t="n">
        <x:f>-PMT(K985/12,'Assumptions'!$B$35*12,M985)*12</x:f>
        <x:v>159853.463065936</x:v>
      </x:c>
      <x:c r="O985" s="133" t="n">
        <x:f>(L985*(1+'Assumptions'!$B$29)^('Assumptions'!$B$14/12)/J985)*(1-'Assumptions'!$B$42)-'Debt Schedule'!$F$9</x:f>
        <x:v>3621625.932566936</x:v>
      </x:c>
      <x:c r="P985" s="132" t="n">
        <x:f>((O985+(L985-N985-'Assumptions'!$B$27-'Assumptions'!$B$28)*('Assumptions'!$B$14/12))/ABS('Monthly Cash Flow'!$S$5))^(1/('Assumptions'!$B$14/12))-1</x:f>
        <x:v>0.23211100576257615</x:v>
      </x:c>
      <x:c r="Q985" s="133" t="n">
        <x:f>-ABS('Monthly Cash Flow'!$S$5)+((L985-N985-'Assumptions'!$B$27-'Assumptions'!$B$28)*(1-(1+'Assumptions'!$B$43)^-('Assumptions'!$B$14/12))/'Assumptions'!$B$43)+(O985/(1+'Assumptions'!$B$43)^('Assumptions'!$B$14/12))</x:f>
        <x:v>995313.164017478</x:v>
      </x:c>
    </x:row>
    <x:row r="986">
      <x:c r="A986" s="131" t="n">
        <x:f>979</x:f>
        <x:v>979</x:v>
      </x:c>
      <x:c r="B986" s="131" t="n">
        <x:f>MOD(ABS(SIN((A986+1)*12.9898+78.233)*43758.5453),1)</x:f>
        <x:v>0.8424062171534388</x:v>
      </x:c>
      <x:c r="C986" s="131" t="n">
        <x:f>MOD(ABS(SIN((A986+2)*12.9898+78.233)*43758.5453),1)</x:f>
        <x:v>0.32140930546302116</x:v>
      </x:c>
      <x:c r="D986" s="131" t="n">
        <x:f>MOD(ABS(SIN((A986+3)*12.9898+78.233)*43758.5453),1)</x:f>
        <x:v>0.15439957319540554</x:v>
      </x:c>
      <x:c r="E986" s="131" t="n">
        <x:f>MOD(ABS(SIN((A986+4)*12.9898+78.233)*43758.5453),1)</x:f>
        <x:v>0.6826197768968996</x:v>
      </x:c>
      <x:c r="F986" s="131" t="n">
        <x:f>MOD(ABS(SIN((A986+5)*12.9898+78.233)*43758.5453),1)</x:f>
        <x:v>0.28827977994660614</x:v>
      </x:c>
      <x:c r="G986" s="132" t="n">
        <x:f>IF(B986&lt;(('Assumptions'!$C$47-'Assumptions'!$B$47)/('Assumptions'!$D$47-'Assumptions'!$B$47)),'Assumptions'!$B$47+SQRT(B986*('Assumptions'!$D$47-'Assumptions'!$B$47)*('Assumptions'!$C$47-'Assumptions'!$B$47)),'Assumptions'!$D$47-SQRT((1-B986)*('Assumptions'!$D$47-'Assumptions'!$B$47)*('Assumptions'!$D$47-'Assumptions'!$C$47)))</x:f>
        <x:v>0.04978545503994904</x:v>
      </x:c>
      <x:c r="H986" s="132" t="n">
        <x:f>IF(C986&lt;(('Assumptions'!$C$48-'Assumptions'!$B$48)/('Assumptions'!$D$48-'Assumptions'!$B$48)),'Assumptions'!$B$48+SQRT(C986*('Assumptions'!$D$48-'Assumptions'!$B$48)*('Assumptions'!$C$48-'Assumptions'!$B$48)),'Assumptions'!$D$48-SQRT((1-C986)*('Assumptions'!$D$48-'Assumptions'!$B$48)*('Assumptions'!$D$48-'Assumptions'!$C$48)))</x:f>
        <x:v>0.06272388394901428</x:v>
      </x:c>
      <x:c r="I986" s="132" t="n">
        <x:f>IF(D986&lt;(('Assumptions'!$C$49-'Assumptions'!$B$49)/('Assumptions'!$D$49-'Assumptions'!$B$49)),'Assumptions'!$B$49+SQRT(D986*('Assumptions'!$D$49-'Assumptions'!$B$49)*('Assumptions'!$C$49-'Assumptions'!$B$49)),'Assumptions'!$D$49-SQRT((1-D986)*('Assumptions'!$D$49-'Assumptions'!$B$49)*('Assumptions'!$D$49-'Assumptions'!$C$49)))</x:f>
        <x:v>0.010835222425136612</x:v>
      </x:c>
      <x:c r="J986" s="132" t="n">
        <x:f>IF(E986&lt;(('Assumptions'!$C$50-'Assumptions'!$B$50)/('Assumptions'!$D$50-'Assumptions'!$B$50)),'Assumptions'!$B$50+SQRT(E986*('Assumptions'!$D$50-'Assumptions'!$B$50)*('Assumptions'!$C$50-'Assumptions'!$B$50)),'Assumptions'!$D$50-SQRT((1-E986)*('Assumptions'!$D$50-'Assumptions'!$B$50)*('Assumptions'!$D$50-'Assumptions'!$C$50)))</x:f>
        <x:v>0.0705520802423101</x:v>
      </x:c>
      <x:c r="K986" s="132" t="n">
        <x:f>IF(F986&lt;(('Assumptions'!$C$51-'Assumptions'!$B$51)/('Assumptions'!$D$51-'Assumptions'!$B$51)),'Assumptions'!$B$51+SQRT(F986*('Assumptions'!$D$51-'Assumptions'!$B$51)*('Assumptions'!$C$51-'Assumptions'!$B$51)),'Assumptions'!$D$51-SQRT((1-F986)*('Assumptions'!$D$51-'Assumptions'!$B$51)*('Assumptions'!$D$51-'Assumptions'!$C$51)))</x:f>
        <x:v>0.06640375985105824</x:v>
      </x:c>
      <x:c r="L986" s="133" t="n">
        <x:f>(('Assumptions'!$B$17*(1+G986)+'Assumptions'!$B$18)*(1-H986-'Assumptions'!$B$20)-SUM('Assumptions'!$B$21:$B$25)*(1+I986))-(('Assumptions'!$B$17*(1+G986)+'Assumptions'!$B$18)*(1-H986-'Assumptions'!$B$20)*'Assumptions'!$B$26)</x:f>
        <x:v>225079.29575296553</x:v>
      </x:c>
      <x:c r="M986" s="133" t="n">
        <x:f>'Assumptions'!$B$10*'Assumptions'!$B$33</x:f>
        <x:v>1950000</x:v>
      </x:c>
      <x:c r="N986" s="133" t="n">
        <x:f>-PMT(K986/12,'Assumptions'!$B$35*12,M986)*12</x:f>
        <x:v>150070.74556866667</x:v>
      </x:c>
      <x:c r="O986" s="133" t="n">
        <x:f>(L986*(1+'Assumptions'!$B$29)^('Assumptions'!$B$14/12)/J986)*(1-'Assumptions'!$B$42)-'Debt Schedule'!$F$9</x:f>
        <x:v>3476479.727487013</x:v>
      </x:c>
      <x:c r="P986" s="132" t="n">
        <x:f>((O986+(L986-N986-'Assumptions'!$B$27-'Assumptions'!$B$28)*('Assumptions'!$B$14/12))/ABS('Monthly Cash Flow'!$S$5))^(1/('Assumptions'!$B$14/12))-1</x:f>
        <x:v>0.23047950583460186</x:v>
      </x:c>
      <x:c r="Q986" s="133" t="n">
        <x:f>-ABS('Monthly Cash Flow'!$S$5)+((L986-N986-'Assumptions'!$B$27-'Assumptions'!$B$28)*(1-(1+'Assumptions'!$B$43)^-('Assumptions'!$B$14/12))/'Assumptions'!$B$43)+(O986/(1+'Assumptions'!$B$43)^('Assumptions'!$B$14/12))</x:f>
        <x:v>996830.3408343787</x:v>
      </x:c>
    </x:row>
    <x:row r="987">
      <x:c r="A987" s="131" t="n">
        <x:f>980</x:f>
        <x:v>980</x:v>
      </x:c>
      <x:c r="B987" s="131" t="n">
        <x:f>MOD(ABS(SIN((A987+1)*12.9898+78.233)*43758.5453),1)</x:f>
        <x:v>0.32140930546302116</x:v>
      </x:c>
      <x:c r="C987" s="131" t="n">
        <x:f>MOD(ABS(SIN((A987+2)*12.9898+78.233)*43758.5453),1)</x:f>
        <x:v>0.15439957319540554</x:v>
      </x:c>
      <x:c r="D987" s="131" t="n">
        <x:f>MOD(ABS(SIN((A987+3)*12.9898+78.233)*43758.5453),1)</x:f>
        <x:v>0.6826197768968996</x:v>
      </x:c>
      <x:c r="E987" s="131" t="n">
        <x:f>MOD(ABS(SIN((A987+4)*12.9898+78.233)*43758.5453),1)</x:f>
        <x:v>0.28827977994660614</x:v>
      </x:c>
      <x:c r="F987" s="131" t="n">
        <x:f>MOD(ABS(SIN((A987+5)*12.9898+78.233)*43758.5453),1)</x:f>
        <x:v>0.852756507738377</x:v>
      </x:c>
      <x:c r="G987" s="132" t="n">
        <x:f>IF(B987&lt;(('Assumptions'!$C$47-'Assumptions'!$B$47)/('Assumptions'!$D$47-'Assumptions'!$B$47)),'Assumptions'!$B$47+SQRT(B987*('Assumptions'!$D$47-'Assumptions'!$B$47)*('Assumptions'!$C$47-'Assumptions'!$B$47)),'Assumptions'!$D$47-SQRT((1-B987)*('Assumptions'!$D$47-'Assumptions'!$B$47)*('Assumptions'!$D$47-'Assumptions'!$C$47)))</x:f>
        <x:v>-0.012171625706082267</x:v>
      </x:c>
      <x:c r="H987" s="132" t="n">
        <x:f>IF(C987&lt;(('Assumptions'!$C$48-'Assumptions'!$B$48)/('Assumptions'!$D$48-'Assumptions'!$B$48)),'Assumptions'!$B$48+SQRT(C987*('Assumptions'!$D$48-'Assumptions'!$B$48)*('Assumptions'!$C$48-'Assumptions'!$B$48)),'Assumptions'!$D$48-SQRT((1-C987)*('Assumptions'!$D$48-'Assumptions'!$B$48)*('Assumptions'!$D$48-'Assumptions'!$C$48)))</x:f>
        <x:v>0.052572518502480806</x:v>
      </x:c>
      <x:c r="I987" s="132" t="n">
        <x:f>IF(D987&lt;(('Assumptions'!$C$49-'Assumptions'!$B$49)/('Assumptions'!$D$49-'Assumptions'!$B$49)),'Assumptions'!$B$49+SQRT(D987*('Assumptions'!$D$49-'Assumptions'!$B$49)*('Assumptions'!$C$49-'Assumptions'!$B$49)),'Assumptions'!$D$49-SQRT((1-D987)*('Assumptions'!$D$49-'Assumptions'!$B$49)*('Assumptions'!$D$49-'Assumptions'!$C$49)))</x:f>
        <x:v>0.06720257963543205</x:v>
      </x:c>
      <x:c r="J987" s="132" t="n">
        <x:f>IF(E987&lt;(('Assumptions'!$C$50-'Assumptions'!$B$50)/('Assumptions'!$D$50-'Assumptions'!$B$50)),'Assumptions'!$B$50+SQRT(E987*('Assumptions'!$D$50-'Assumptions'!$B$50)*('Assumptions'!$C$50-'Assumptions'!$B$50)),'Assumptions'!$D$50-SQRT((1-E987)*('Assumptions'!$D$50-'Assumptions'!$B$50)*('Assumptions'!$D$50-'Assumptions'!$C$50)))</x:f>
        <x:v>0.06555375381347024</x:v>
      </x:c>
      <x:c r="K987" s="132" t="n">
        <x:f>IF(F987&lt;(('Assumptions'!$C$51-'Assumptions'!$B$51)/('Assumptions'!$D$51-'Assumptions'!$B$51)),'Assumptions'!$B$51+SQRT(F987*('Assumptions'!$D$51-'Assumptions'!$B$51)*('Assumptions'!$C$51-'Assumptions'!$B$51)),'Assumptions'!$D$51-SQRT((1-F987)*('Assumptions'!$D$51-'Assumptions'!$B$51)*('Assumptions'!$D$51-'Assumptions'!$C$51)))</x:f>
        <x:v>0.07658210651938943</x:v>
      </x:c>
      <x:c r="L987" s="133" t="n">
        <x:f>(('Assumptions'!$B$17*(1+G987)+'Assumptions'!$B$18)*(1-H987-'Assumptions'!$B$20)-SUM('Assumptions'!$B$21:$B$25)*(1+I987))-(('Assumptions'!$B$17*(1+G987)+'Assumptions'!$B$18)*(1-H987-'Assumptions'!$B$20)*'Assumptions'!$B$26)</x:f>
        <x:v>201762.85777306935</x:v>
      </x:c>
      <x:c r="M987" s="133" t="n">
        <x:f>'Assumptions'!$B$10*'Assumptions'!$B$33</x:f>
        <x:v>1950000</x:v>
      </x:c>
      <x:c r="N987" s="133" t="n">
        <x:f>-PMT(K987/12,'Assumptions'!$B$35*12,M987)*12</x:f>
        <x:v>166158.6614036215</x:v>
      </x:c>
      <x:c r="O987" s="133" t="n">
        <x:f>(L987*(1+'Assumptions'!$B$29)^('Assumptions'!$B$14/12)/J987)*(1-'Assumptions'!$B$42)-'Debt Schedule'!$F$9</x:f>
        <x:v>3353958.0935094985</x:v>
      </x:c>
      <x:c r="P987" s="132" t="n">
        <x:f>((O987+(L987-N987-'Assumptions'!$B$27-'Assumptions'!$B$28)*('Assumptions'!$B$14/12))/ABS('Monthly Cash Flow'!$S$5))^(1/('Assumptions'!$B$14/12))-1</x:f>
        <x:v>0.20814772970074236</x:v>
      </x:c>
      <x:c r="Q987" s="133" t="n">
        <x:f>-ABS('Monthly Cash Flow'!$S$5)+((L987-N987-'Assumptions'!$B$27-'Assumptions'!$B$28)*(1-(1+'Assumptions'!$B$43)^-('Assumptions'!$B$14/12))/'Assumptions'!$B$43)+(O987/(1+'Assumptions'!$B$43)^('Assumptions'!$B$14/12))</x:f>
        <x:v>771380.5426632641</x:v>
      </x:c>
    </x:row>
    <x:row r="988">
      <x:c r="A988" s="131" t="n">
        <x:f>981</x:f>
        <x:v>981</x:v>
      </x:c>
      <x:c r="B988" s="131" t="n">
        <x:f>MOD(ABS(SIN((A988+1)*12.9898+78.233)*43758.5453),1)</x:f>
        <x:v>0.15439957319540554</x:v>
      </x:c>
      <x:c r="C988" s="131" t="n">
        <x:f>MOD(ABS(SIN((A988+2)*12.9898+78.233)*43758.5453),1)</x:f>
        <x:v>0.6826197768968996</x:v>
      </x:c>
      <x:c r="D988" s="131" t="n">
        <x:f>MOD(ABS(SIN((A988+3)*12.9898+78.233)*43758.5453),1)</x:f>
        <x:v>0.28827977994660614</x:v>
      </x:c>
      <x:c r="E988" s="131" t="n">
        <x:f>MOD(ABS(SIN((A988+4)*12.9898+78.233)*43758.5453),1)</x:f>
        <x:v>0.852756507738377</x:v>
      </x:c>
      <x:c r="F988" s="131" t="n">
        <x:f>MOD(ABS(SIN((A988+5)*12.9898+78.233)*43758.5453),1)</x:f>
        <x:v>0.31252967823456856</x:v>
      </x:c>
      <x:c r="G988" s="132" t="n">
        <x:f>IF(B988&lt;(('Assumptions'!$C$47-'Assumptions'!$B$47)/('Assumptions'!$D$47-'Assumptions'!$B$47)),'Assumptions'!$B$47+SQRT(B988*('Assumptions'!$D$47-'Assumptions'!$B$47)*('Assumptions'!$C$47-'Assumptions'!$B$47)),'Assumptions'!$D$47-SQRT((1-B988)*('Assumptions'!$D$47-'Assumptions'!$B$47)*('Assumptions'!$D$47-'Assumptions'!$C$47)))</x:f>
        <x:v>-0.039126444520713816</x:v>
      </x:c>
      <x:c r="H988" s="132" t="n">
        <x:f>IF(C988&lt;(('Assumptions'!$C$48-'Assumptions'!$B$48)/('Assumptions'!$D$48-'Assumptions'!$B$48)),'Assumptions'!$B$48+SQRT(C988*('Assumptions'!$D$48-'Assumptions'!$B$48)*('Assumptions'!$C$48-'Assumptions'!$B$48)),'Assumptions'!$D$48-SQRT((1-C988)*('Assumptions'!$D$48-'Assumptions'!$B$48)*('Assumptions'!$D$48-'Assumptions'!$C$48)))</x:f>
        <x:v>0.08715167019377734</x:v>
      </x:c>
      <x:c r="I988" s="132" t="n">
        <x:f>IF(D988&lt;(('Assumptions'!$C$49-'Assumptions'!$B$49)/('Assumptions'!$D$49-'Assumptions'!$B$49)),'Assumptions'!$B$49+SQRT(D988*('Assumptions'!$D$49-'Assumptions'!$B$49)*('Assumptions'!$C$49-'Assumptions'!$B$49)),'Assumptions'!$D$49-SQRT((1-D988)*('Assumptions'!$D$49-'Assumptions'!$B$49)*('Assumptions'!$D$49-'Assumptions'!$C$49)))</x:f>
        <x:v>0.025798043186328196</x:v>
      </x:c>
      <x:c r="J988" s="132" t="n">
        <x:f>IF(E988&lt;(('Assumptions'!$C$50-'Assumptions'!$B$50)/('Assumptions'!$D$50-'Assumptions'!$B$50)),'Assumptions'!$B$50+SQRT(E988*('Assumptions'!$D$50-'Assumptions'!$B$50)*('Assumptions'!$C$50-'Assumptions'!$B$50)),'Assumptions'!$D$50-SQRT((1-E988)*('Assumptions'!$D$50-'Assumptions'!$B$50)*('Assumptions'!$D$50-'Assumptions'!$C$50)))</x:f>
        <x:v>0.07356476634467858</x:v>
      </x:c>
      <x:c r="K988" s="132" t="n">
        <x:f>IF(F988&lt;(('Assumptions'!$C$51-'Assumptions'!$B$51)/('Assumptions'!$D$51-'Assumptions'!$B$51)),'Assumptions'!$B$51+SQRT(F988*('Assumptions'!$D$51-'Assumptions'!$B$51)*('Assumptions'!$C$51-'Assumptions'!$B$51)),'Assumptions'!$D$51-SQRT((1-F988)*('Assumptions'!$D$51-'Assumptions'!$B$51)*('Assumptions'!$D$51-'Assumptions'!$C$51)))</x:f>
        <x:v>0.06677068829777522</x:v>
      </x:c>
      <x:c r="L988" s="133" t="n">
        <x:f>(('Assumptions'!$B$17*(1+G988)+'Assumptions'!$B$18)*(1-H988-'Assumptions'!$B$20)-SUM('Assumptions'!$B$21:$B$25)*(1+I988))-(('Assumptions'!$B$17*(1+G988)+'Assumptions'!$B$18)*(1-H988-'Assumptions'!$B$20)*'Assumptions'!$B$26)</x:f>
        <x:v>186166.64377661276</x:v>
      </x:c>
      <x:c r="M988" s="133" t="n">
        <x:f>'Assumptions'!$B$10*'Assumptions'!$B$33</x:f>
        <x:v>1950000</x:v>
      </x:c>
      <x:c r="N988" s="133" t="n">
        <x:f>-PMT(K988/12,'Assumptions'!$B$35*12,M988)*12</x:f>
        <x:v>150639.28709186532</x:v>
      </x:c>
      <x:c r="O988" s="133" t="n">
        <x:f>(L988*(1+'Assumptions'!$B$29)^('Assumptions'!$B$14/12)/J988)*(1-'Assumptions'!$B$42)-'Debt Schedule'!$F$9</x:f>
        <x:v>2757693.4433716885</x:v>
      </x:c>
      <x:c r="P988" s="132" t="n">
        <x:f>((O988+(L988-N988-'Assumptions'!$B$27-'Assumptions'!$B$28)*('Assumptions'!$B$14/12))/ABS('Monthly Cash Flow'!$S$5))^(1/('Assumptions'!$B$14/12))-1</x:f>
        <x:v>0.16139925197861316</x:v>
      </x:c>
      <x:c r="Q988" s="133" t="n">
        <x:f>-ABS('Monthly Cash Flow'!$S$5)+((L988-N988-'Assumptions'!$B$27-'Assumptions'!$B$28)*(1-(1+'Assumptions'!$B$43)^-('Assumptions'!$B$14/12))/'Assumptions'!$B$43)+(O988/(1+'Assumptions'!$B$43)^('Assumptions'!$B$14/12))</x:f>
        <x:v>400855.8243461631</x:v>
      </x:c>
    </x:row>
    <x:row r="989">
      <x:c r="A989" s="131" t="n">
        <x:f>982</x:f>
        <x:v>982</x:v>
      </x:c>
      <x:c r="B989" s="131" t="n">
        <x:f>MOD(ABS(SIN((A989+1)*12.9898+78.233)*43758.5453),1)</x:f>
        <x:v>0.6826197768968996</x:v>
      </x:c>
      <x:c r="C989" s="131" t="n">
        <x:f>MOD(ABS(SIN((A989+2)*12.9898+78.233)*43758.5453),1)</x:f>
        <x:v>0.28827977994660614</x:v>
      </x:c>
      <x:c r="D989" s="131" t="n">
        <x:f>MOD(ABS(SIN((A989+3)*12.9898+78.233)*43758.5453),1)</x:f>
        <x:v>0.852756507738377</x:v>
      </x:c>
      <x:c r="E989" s="131" t="n">
        <x:f>MOD(ABS(SIN((A989+4)*12.9898+78.233)*43758.5453),1)</x:f>
        <x:v>0.31252967823456856</x:v>
      </x:c>
      <x:c r="F989" s="131" t="n">
        <x:f>MOD(ABS(SIN((A989+5)*12.9898+78.233)*43758.5453),1)</x:f>
        <x:v>0.9891445714583824</x:v>
      </x:c>
      <x:c r="G989" s="132" t="n">
        <x:f>IF(B989&lt;(('Assumptions'!$C$47-'Assumptions'!$B$47)/('Assumptions'!$D$47-'Assumptions'!$B$47)),'Assumptions'!$B$47+SQRT(B989*('Assumptions'!$D$47-'Assumptions'!$B$47)*('Assumptions'!$C$47-'Assumptions'!$B$47)),'Assumptions'!$D$47-SQRT((1-B989)*('Assumptions'!$D$47-'Assumptions'!$B$47)*('Assumptions'!$D$47-'Assumptions'!$C$47)))</x:f>
        <x:v>0.028739326626465236</x:v>
      </x:c>
      <x:c r="H989" s="132" t="n">
        <x:f>IF(C989&lt;(('Assumptions'!$C$48-'Assumptions'!$B$48)/('Assumptions'!$D$48-'Assumptions'!$B$48)),'Assumptions'!$B$48+SQRT(C989*('Assumptions'!$D$48-'Assumptions'!$B$48)*('Assumptions'!$C$48-'Assumptions'!$B$48)),'Assumptions'!$D$48-SQRT((1-C989)*('Assumptions'!$D$48-'Assumptions'!$B$48)*('Assumptions'!$D$48-'Assumptions'!$C$48)))</x:f>
        <x:v>0.06086001051004704</x:v>
      </x:c>
      <x:c r="I989" s="132" t="n">
        <x:f>IF(D989&lt;(('Assumptions'!$C$49-'Assumptions'!$B$49)/('Assumptions'!$D$49-'Assumptions'!$B$49)),'Assumptions'!$B$49+SQRT(D989*('Assumptions'!$D$49-'Assumptions'!$B$49)*('Assumptions'!$C$49-'Assumptions'!$B$49)),'Assumptions'!$D$49-SQRT((1-D989)*('Assumptions'!$D$49-'Assumptions'!$B$49)*('Assumptions'!$D$49-'Assumptions'!$C$49)))</x:f>
        <x:v>0.09360443782662453</x:v>
      </x:c>
      <x:c r="J989" s="132" t="n">
        <x:f>IF(E989&lt;(('Assumptions'!$C$50-'Assumptions'!$B$50)/('Assumptions'!$D$50-'Assumptions'!$B$50)),'Assumptions'!$B$50+SQRT(E989*('Assumptions'!$D$50-'Assumptions'!$B$50)*('Assumptions'!$C$50-'Assumptions'!$B$50)),'Assumptions'!$D$50-SQRT((1-E989)*('Assumptions'!$D$50-'Assumptions'!$B$50)*('Assumptions'!$D$50-'Assumptions'!$C$50)))</x:f>
        <x:v>0.06588565308147064</x:v>
      </x:c>
      <x:c r="K989" s="132" t="n">
        <x:f>IF(F989&lt;(('Assumptions'!$C$51-'Assumptions'!$B$51)/('Assumptions'!$D$51-'Assumptions'!$B$51)),'Assumptions'!$B$51+SQRT(F989*('Assumptions'!$D$51-'Assumptions'!$B$51)*('Assumptions'!$C$51-'Assumptions'!$B$51)),'Assumptions'!$D$51-SQRT((1-F989)*('Assumptions'!$D$51-'Assumptions'!$B$51)*('Assumptions'!$D$51-'Assumptions'!$C$51)))</x:f>
        <x:v>0.0827143545800686</x:v>
      </x:c>
      <x:c r="L989" s="133" t="n">
        <x:f>(('Assumptions'!$B$17*(1+G989)+'Assumptions'!$B$18)*(1-H989-'Assumptions'!$B$20)-SUM('Assumptions'!$B$21:$B$25)*(1+I989))-(('Assumptions'!$B$17*(1+G989)+'Assumptions'!$B$18)*(1-H989-'Assumptions'!$B$20)*'Assumptions'!$B$26)</x:f>
        <x:v>208600.66782022672</x:v>
      </x:c>
      <x:c r="M989" s="133" t="n">
        <x:f>'Assumptions'!$B$10*'Assumptions'!$B$33</x:f>
        <x:v>1950000</x:v>
      </x:c>
      <x:c r="N989" s="133" t="n">
        <x:f>-PMT(K989/12,'Assumptions'!$B$35*12,M989)*12</x:f>
        <x:v>176149.13260663947</x:v>
      </x:c>
      <x:c r="O989" s="133" t="n">
        <x:f>(L989*(1+'Assumptions'!$B$29)^('Assumptions'!$B$14/12)/J989)*(1-'Assumptions'!$B$42)-'Debt Schedule'!$F$9</x:f>
        <x:v>3450156.6682420126</x:v>
      </x:c>
      <x:c r="P989" s="132" t="n">
        <x:f>((O989+(L989-N989-'Assumptions'!$B$27-'Assumptions'!$B$28)*('Assumptions'!$B$14/12))/ABS('Monthly Cash Flow'!$S$5))^(1/('Assumptions'!$B$14/12))-1</x:f>
        <x:v>0.21392523841113165</x:v>
      </x:c>
      <x:c r="Q989" s="133" t="n">
        <x:f>-ABS('Monthly Cash Flow'!$S$5)+((L989-N989-'Assumptions'!$B$27-'Assumptions'!$B$28)*(1-(1+'Assumptions'!$B$43)^-('Assumptions'!$B$14/12))/'Assumptions'!$B$43)+(O989/(1+'Assumptions'!$B$43)^('Assumptions'!$B$14/12))</x:f>
        <x:v>819161.2227645176</x:v>
      </x:c>
    </x:row>
    <x:row r="990">
      <x:c r="A990" s="131" t="n">
        <x:f>983</x:f>
        <x:v>983</x:v>
      </x:c>
      <x:c r="B990" s="131" t="n">
        <x:f>MOD(ABS(SIN((A990+1)*12.9898+78.233)*43758.5453),1)</x:f>
        <x:v>0.28827977994660614</x:v>
      </x:c>
      <x:c r="C990" s="131" t="n">
        <x:f>MOD(ABS(SIN((A990+2)*12.9898+78.233)*43758.5453),1)</x:f>
        <x:v>0.852756507738377</x:v>
      </x:c>
      <x:c r="D990" s="131" t="n">
        <x:f>MOD(ABS(SIN((A990+3)*12.9898+78.233)*43758.5453),1)</x:f>
        <x:v>0.31252967823456856</x:v>
      </x:c>
      <x:c r="E990" s="131" t="n">
        <x:f>MOD(ABS(SIN((A990+4)*12.9898+78.233)*43758.5453),1)</x:f>
        <x:v>0.9891445714583824</x:v>
      </x:c>
      <x:c r="F990" s="131" t="n">
        <x:f>MOD(ABS(SIN((A990+5)*12.9898+78.233)*43758.5453),1)</x:f>
        <x:v>0.5146785044107673</x:v>
      </x:c>
      <x:c r="G990" s="132" t="n">
        <x:f>IF(B990&lt;(('Assumptions'!$C$47-'Assumptions'!$B$47)/('Assumptions'!$D$47-'Assumptions'!$B$47)),'Assumptions'!$B$47+SQRT(B990*('Assumptions'!$D$47-'Assumptions'!$B$47)*('Assumptions'!$C$47-'Assumptions'!$B$47)),'Assumptions'!$D$47-SQRT((1-B990)*('Assumptions'!$D$47-'Assumptions'!$B$47)*('Assumptions'!$D$47-'Assumptions'!$C$47)))</x:f>
        <x:v>-0.01682118828260079</x:v>
      </x:c>
      <x:c r="H990" s="132" t="n">
        <x:f>IF(C990&lt;(('Assumptions'!$C$48-'Assumptions'!$B$48)/('Assumptions'!$D$48-'Assumptions'!$B$48)),'Assumptions'!$B$48+SQRT(C990*('Assumptions'!$D$48-'Assumptions'!$B$48)*('Assumptions'!$C$48-'Assumptions'!$B$48)),'Assumptions'!$D$48-SQRT((1-C990)*('Assumptions'!$D$48-'Assumptions'!$B$48)*('Assumptions'!$D$48-'Assumptions'!$C$48)))</x:f>
        <x:v>0.10400357334536826</x:v>
      </x:c>
      <x:c r="I990" s="132" t="n">
        <x:f>IF(D990&lt;(('Assumptions'!$C$49-'Assumptions'!$B$49)/('Assumptions'!$D$49-'Assumptions'!$B$49)),'Assumptions'!$B$49+SQRT(D990*('Assumptions'!$D$49-'Assumptions'!$B$49)*('Assumptions'!$C$49-'Assumptions'!$B$49)),'Assumptions'!$D$49-SQRT((1-D990)*('Assumptions'!$D$49-'Assumptions'!$B$49)*('Assumptions'!$D$49-'Assumptions'!$C$49)))</x:f>
        <x:v>0.02809750876701462</x:v>
      </x:c>
      <x:c r="J990" s="132" t="n">
        <x:f>IF(E990&lt;(('Assumptions'!$C$50-'Assumptions'!$B$50)/('Assumptions'!$D$50-'Assumptions'!$B$50)),'Assumptions'!$B$50+SQRT(E990*('Assumptions'!$D$50-'Assumptions'!$B$50)*('Assumptions'!$C$50-'Assumptions'!$B$50)),'Assumptions'!$D$50-SQRT((1-E990)*('Assumptions'!$D$50-'Assumptions'!$B$50)*('Assumptions'!$D$50-'Assumptions'!$C$50)))</x:f>
        <x:v>0.07825269084666453</x:v>
      </x:c>
      <x:c r="K990" s="132" t="n">
        <x:f>IF(F990&lt;(('Assumptions'!$C$51-'Assumptions'!$B$51)/('Assumptions'!$D$51-'Assumptions'!$B$51)),'Assumptions'!$B$51+SQRT(F990*('Assumptions'!$D$51-'Assumptions'!$B$51)*('Assumptions'!$C$51-'Assumptions'!$B$51)),'Assumptions'!$D$51-SQRT((1-F990)*('Assumptions'!$D$51-'Assumptions'!$B$51)*('Assumptions'!$D$51-'Assumptions'!$C$51)))</x:f>
        <x:v>0.06971729834903795</x:v>
      </x:c>
      <x:c r="L990" s="133" t="n">
        <x:f>(('Assumptions'!$B$17*(1+G990)+'Assumptions'!$B$18)*(1-H990-'Assumptions'!$B$20)-SUM('Assumptions'!$B$21:$B$25)*(1+I990))-(('Assumptions'!$B$17*(1+G990)+'Assumptions'!$B$18)*(1-H990-'Assumptions'!$B$20)*'Assumptions'!$B$26)</x:f>
        <x:v>186819.4432070508</x:v>
      </x:c>
      <x:c r="M990" s="133" t="n">
        <x:f>'Assumptions'!$B$10*'Assumptions'!$B$33</x:f>
        <x:v>1950000</x:v>
      </x:c>
      <x:c r="N990" s="133" t="n">
        <x:f>-PMT(K990/12,'Assumptions'!$B$35*12,M990)*12</x:f>
        <x:v>155236.7617207276</x:v>
      </x:c>
      <x:c r="O990" s="133" t="n">
        <x:f>(L990*(1+'Assumptions'!$B$29)^('Assumptions'!$B$14/12)/J990)*(1-'Assumptions'!$B$42)-'Debt Schedule'!$F$9</x:f>
        <x:v>2601577.5132755963</x:v>
      </x:c>
      <x:c r="P990" s="132" t="n">
        <x:f>((O990+(L990-N990-'Assumptions'!$B$27-'Assumptions'!$B$28)*('Assumptions'!$B$14/12))/ABS('Monthly Cash Flow'!$S$5))^(1/('Assumptions'!$B$14/12))-1</x:f>
        <x:v>0.14606779201814546</x:v>
      </x:c>
      <x:c r="Q990" s="133" t="n">
        <x:f>-ABS('Monthly Cash Flow'!$S$5)+((L990-N990-'Assumptions'!$B$27-'Assumptions'!$B$28)*(1-(1+'Assumptions'!$B$43)^-('Assumptions'!$B$14/12))/'Assumptions'!$B$43)+(O990/(1+'Assumptions'!$B$43)^('Assumptions'!$B$14/12))</x:f>
        <x:v>288966.6919284866</x:v>
      </x:c>
    </x:row>
    <x:row r="991">
      <x:c r="A991" s="131" t="n">
        <x:f>984</x:f>
        <x:v>984</x:v>
      </x:c>
      <x:c r="B991" s="131" t="n">
        <x:f>MOD(ABS(SIN((A991+1)*12.9898+78.233)*43758.5453),1)</x:f>
        <x:v>0.852756507738377</x:v>
      </x:c>
      <x:c r="C991" s="131" t="n">
        <x:f>MOD(ABS(SIN((A991+2)*12.9898+78.233)*43758.5453),1)</x:f>
        <x:v>0.31252967823456856</x:v>
      </x:c>
      <x:c r="D991" s="131" t="n">
        <x:f>MOD(ABS(SIN((A991+3)*12.9898+78.233)*43758.5453),1)</x:f>
        <x:v>0.9891445714583824</x:v>
      </x:c>
      <x:c r="E991" s="131" t="n">
        <x:f>MOD(ABS(SIN((A991+4)*12.9898+78.233)*43758.5453),1)</x:f>
        <x:v>0.5146785044107673</x:v>
      </x:c>
      <x:c r="F991" s="131" t="n">
        <x:f>MOD(ABS(SIN((A991+5)*12.9898+78.233)*43758.5453),1)</x:f>
        <x:v>0.8918238069491053</x:v>
      </x:c>
      <x:c r="G991" s="132" t="n">
        <x:f>IF(B991&lt;(('Assumptions'!$C$47-'Assumptions'!$B$47)/('Assumptions'!$D$47-'Assumptions'!$B$47)),'Assumptions'!$B$47+SQRT(B991*('Assumptions'!$D$47-'Assumptions'!$B$47)*('Assumptions'!$C$47-'Assumptions'!$B$47)),'Assumptions'!$D$47-SQRT((1-B991)*('Assumptions'!$D$47-'Assumptions'!$B$47)*('Assumptions'!$D$47-'Assumptions'!$C$47)))</x:f>
        <x:v>0.0514624282005582</x:v>
      </x:c>
      <x:c r="H991" s="132" t="n">
        <x:f>IF(C991&lt;(('Assumptions'!$C$48-'Assumptions'!$B$48)/('Assumptions'!$D$48-'Assumptions'!$B$48)),'Assumptions'!$B$48+SQRT(C991*('Assumptions'!$D$48-'Assumptions'!$B$48)*('Assumptions'!$C$48-'Assumptions'!$B$48)),'Assumptions'!$D$48-SQRT((1-C991)*('Assumptions'!$D$48-'Assumptions'!$B$48)*('Assumptions'!$D$48-'Assumptions'!$C$48)))</x:f>
        <x:v>0.06221993294207187</x:v>
      </x:c>
      <x:c r="I991" s="132" t="n">
        <x:f>IF(D991&lt;(('Assumptions'!$C$49-'Assumptions'!$B$49)/('Assumptions'!$D$49-'Assumptions'!$B$49)),'Assumptions'!$B$49+SQRT(D991*('Assumptions'!$D$49-'Assumptions'!$B$49)*('Assumptions'!$C$49-'Assumptions'!$B$49)),'Assumptions'!$D$49-SQRT((1-D991)*('Assumptions'!$D$49-'Assumptions'!$B$49)*('Assumptions'!$D$49-'Assumptions'!$C$49)))</x:f>
        <x:v>0.13468734978852648</x:v>
      </x:c>
      <x:c r="J991" s="132" t="n">
        <x:f>IF(E991&lt;(('Assumptions'!$C$50-'Assumptions'!$B$50)/('Assumptions'!$D$50-'Assumptions'!$B$50)),'Assumptions'!$B$50+SQRT(E991*('Assumptions'!$D$50-'Assumptions'!$B$50)*('Assumptions'!$C$50-'Assumptions'!$B$50)),'Assumptions'!$D$50-SQRT((1-E991)*('Assumptions'!$D$50-'Assumptions'!$B$50)*('Assumptions'!$D$50-'Assumptions'!$C$50)))</x:f>
        <x:v>0.06831682103901204</x:v>
      </x:c>
      <x:c r="K991" s="132" t="n">
        <x:f>IF(F991&lt;(('Assumptions'!$C$51-'Assumptions'!$B$51)/('Assumptions'!$D$51-'Assumptions'!$B$51)),'Assumptions'!$B$51+SQRT(F991*('Assumptions'!$D$51-'Assumptions'!$B$51)*('Assumptions'!$C$51-'Assumptions'!$B$51)),'Assumptions'!$D$51-SQRT((1-F991)*('Assumptions'!$D$51-'Assumptions'!$B$51)*('Assumptions'!$D$51-'Assumptions'!$C$51)))</x:f>
        <x:v>0.07778475274812131</x:v>
      </x:c>
      <x:c r="L991" s="133" t="n">
        <x:f>(('Assumptions'!$B$17*(1+G991)+'Assumptions'!$B$18)*(1-H991-'Assumptions'!$B$20)-SUM('Assumptions'!$B$21:$B$25)*(1+I991))-(('Assumptions'!$B$17*(1+G991)+'Assumptions'!$B$18)*(1-H991-'Assumptions'!$B$20)*'Assumptions'!$B$26)</x:f>
        <x:v>210203.17835465155</x:v>
      </x:c>
      <x:c r="M991" s="133" t="n">
        <x:f>'Assumptions'!$B$10*'Assumptions'!$B$33</x:f>
        <x:v>1950000</x:v>
      </x:c>
      <x:c r="N991" s="133" t="n">
        <x:f>-PMT(K991/12,'Assumptions'!$B$35*12,M991)*12</x:f>
        <x:v>168101.15059686656</x:v>
      </x:c>
      <x:c r="O991" s="133" t="n">
        <x:f>(L991*(1+'Assumptions'!$B$29)^('Assumptions'!$B$14/12)/J991)*(1-'Assumptions'!$B$42)-'Debt Schedule'!$F$9</x:f>
        <x:v>3352938.644072462</x:v>
      </x:c>
      <x:c r="P991" s="132" t="n">
        <x:f>((O991+(L991-N991-'Assumptions'!$B$27-'Assumptions'!$B$28)*('Assumptions'!$B$14/12))/ABS('Monthly Cash Flow'!$S$5))^(1/('Assumptions'!$B$14/12))-1</x:f>
        <x:v>0.21042128709591124</x:v>
      </x:c>
      <x:c r="Q991" s="133" t="n">
        <x:f>-ABS('Monthly Cash Flow'!$S$5)+((L991-N991-'Assumptions'!$B$27-'Assumptions'!$B$28)*(1-(1+'Assumptions'!$B$43)^-('Assumptions'!$B$14/12))/'Assumptions'!$B$43)+(O991/(1+'Assumptions'!$B$43)^('Assumptions'!$B$14/12))</x:f>
        <x:v>795379.4380267828</x:v>
      </x:c>
    </x:row>
    <x:row r="992">
      <x:c r="A992" s="131" t="n">
        <x:f>985</x:f>
        <x:v>985</x:v>
      </x:c>
      <x:c r="B992" s="131" t="n">
        <x:f>MOD(ABS(SIN((A992+1)*12.9898+78.233)*43758.5453),1)</x:f>
        <x:v>0.31252967823456856</x:v>
      </x:c>
      <x:c r="C992" s="131" t="n">
        <x:f>MOD(ABS(SIN((A992+2)*12.9898+78.233)*43758.5453),1)</x:f>
        <x:v>0.9891445714583824</x:v>
      </x:c>
      <x:c r="D992" s="131" t="n">
        <x:f>MOD(ABS(SIN((A992+3)*12.9898+78.233)*43758.5453),1)</x:f>
        <x:v>0.5146785044107673</x:v>
      </x:c>
      <x:c r="E992" s="131" t="n">
        <x:f>MOD(ABS(SIN((A992+4)*12.9898+78.233)*43758.5453),1)</x:f>
        <x:v>0.8918238069491053</x:v>
      </x:c>
      <x:c r="F992" s="131" t="n">
        <x:f>MOD(ABS(SIN((A992+5)*12.9898+78.233)*43758.5453),1)</x:f>
        <x:v>0.8779285668497323</x:v>
      </x:c>
      <x:c r="G992" s="132" t="n">
        <x:f>IF(B992&lt;(('Assumptions'!$C$47-'Assumptions'!$B$47)/('Assumptions'!$D$47-'Assumptions'!$B$47)),'Assumptions'!$B$47+SQRT(B992*('Assumptions'!$D$47-'Assumptions'!$B$47)*('Assumptions'!$C$47-'Assumptions'!$B$47)),'Assumptions'!$D$47-SQRT((1-B992)*('Assumptions'!$D$47-'Assumptions'!$B$47)*('Assumptions'!$D$47-'Assumptions'!$C$47)))</x:f>
        <x:v>-0.01339334738237688</x:v>
      </x:c>
      <x:c r="H992" s="132" t="n">
        <x:f>IF(C992&lt;(('Assumptions'!$C$48-'Assumptions'!$B$48)/('Assumptions'!$D$48-'Assumptions'!$B$48)),'Assumptions'!$B$48+SQRT(C992*('Assumptions'!$D$48-'Assumptions'!$B$48)*('Assumptions'!$C$48-'Assumptions'!$B$48)),'Assumptions'!$D$48-SQRT((1-C992)*('Assumptions'!$D$48-'Assumptions'!$B$48)*('Assumptions'!$D$48-'Assumptions'!$C$48)))</x:f>
        <x:v>0.13022616906396298</x:v>
      </x:c>
      <x:c r="I992" s="132" t="n">
        <x:f>IF(D992&lt;(('Assumptions'!$C$49-'Assumptions'!$B$49)/('Assumptions'!$D$49-'Assumptions'!$B$49)),'Assumptions'!$B$49+SQRT(D992*('Assumptions'!$D$49-'Assumptions'!$B$49)*('Assumptions'!$C$49-'Assumptions'!$B$49)),'Assumptions'!$D$49-SQRT((1-D992)*('Assumptions'!$D$49-'Assumptions'!$B$49)*('Assumptions'!$D$49-'Assumptions'!$C$49)))</x:f>
        <x:v>0.04761374943515401</x:v>
      </x:c>
      <x:c r="J992" s="132" t="n">
        <x:f>IF(E992&lt;(('Assumptions'!$C$50-'Assumptions'!$B$50)/('Assumptions'!$D$50-'Assumptions'!$B$50)),'Assumptions'!$B$50+SQRT(E992*('Assumptions'!$D$50-'Assumptions'!$B$50)*('Assumptions'!$C$50-'Assumptions'!$B$50)),'Assumptions'!$D$50-SQRT((1-E992)*('Assumptions'!$D$50-'Assumptions'!$B$50)*('Assumptions'!$D$50-'Assumptions'!$C$50)))</x:f>
        <x:v>0.07448415425382797</x:v>
      </x:c>
      <x:c r="K992" s="132" t="n">
        <x:f>IF(F992&lt;(('Assumptions'!$C$51-'Assumptions'!$B$51)/('Assumptions'!$D$51-'Assumptions'!$B$51)),'Assumptions'!$B$51+SQRT(F992*('Assumptions'!$D$51-'Assumptions'!$B$51)*('Assumptions'!$C$51-'Assumptions'!$B$51)),'Assumptions'!$D$51-SQRT((1-F992)*('Assumptions'!$D$51-'Assumptions'!$B$51)*('Assumptions'!$D$51-'Assumptions'!$C$51)))</x:f>
        <x:v>0.07733534885310712</x:v>
      </x:c>
      <x:c r="L992" s="133" t="n">
        <x:f>(('Assumptions'!$B$17*(1+G992)+'Assumptions'!$B$18)*(1-H992-'Assumptions'!$B$20)-SUM('Assumptions'!$B$21:$B$25)*(1+I992))-(('Assumptions'!$B$17*(1+G992)+'Assumptions'!$B$18)*(1-H992-'Assumptions'!$B$20)*'Assumptions'!$B$26)</x:f>
        <x:v>176015.72508362576</x:v>
      </x:c>
      <x:c r="M992" s="133" t="n">
        <x:f>'Assumptions'!$B$10*'Assumptions'!$B$33</x:f>
        <x:v>1950000</x:v>
      </x:c>
      <x:c r="N992" s="133" t="n">
        <x:f>-PMT(K992/12,'Assumptions'!$B$35*12,M992)*12</x:f>
        <x:v>167374.29984104558</x:v>
      </x:c>
      <x:c r="O992" s="133" t="n">
        <x:f>(L992*(1+'Assumptions'!$B$29)^('Assumptions'!$B$14/12)/J992)*(1-'Assumptions'!$B$42)-'Debt Schedule'!$F$9</x:f>
        <x:v>2575144.212544941</x:v>
      </x:c>
      <x:c r="P992" s="132" t="n">
        <x:f>((O992+(L992-N992-'Assumptions'!$B$27-'Assumptions'!$B$28)*('Assumptions'!$B$14/12))/ABS('Monthly Cash Flow'!$S$5))^(1/('Assumptions'!$B$14/12))-1</x:f>
        <x:v>0.13313973302821047</x:v>
      </x:c>
      <x:c r="Q992" s="133" t="n">
        <x:f>-ABS('Monthly Cash Flow'!$S$5)+((L992-N992-'Assumptions'!$B$27-'Assumptions'!$B$28)*(1-(1+'Assumptions'!$B$43)^-('Assumptions'!$B$14/12))/'Assumptions'!$B$43)+(O992/(1+'Assumptions'!$B$43)^('Assumptions'!$B$14/12))</x:f>
        <x:v>185588.2812235977</x:v>
      </x:c>
    </x:row>
    <x:row r="993">
      <x:c r="A993" s="131" t="n">
        <x:f>986</x:f>
        <x:v>986</x:v>
      </x:c>
      <x:c r="B993" s="131" t="n">
        <x:f>MOD(ABS(SIN((A993+1)*12.9898+78.233)*43758.5453),1)</x:f>
        <x:v>0.9891445714583824</x:v>
      </x:c>
      <x:c r="C993" s="131" t="n">
        <x:f>MOD(ABS(SIN((A993+2)*12.9898+78.233)*43758.5453),1)</x:f>
        <x:v>0.5146785044107673</x:v>
      </x:c>
      <x:c r="D993" s="131" t="n">
        <x:f>MOD(ABS(SIN((A993+3)*12.9898+78.233)*43758.5453),1)</x:f>
        <x:v>0.8918238069491053</x:v>
      </x:c>
      <x:c r="E993" s="131" t="n">
        <x:f>MOD(ABS(SIN((A993+4)*12.9898+78.233)*43758.5453),1)</x:f>
        <x:v>0.8779285668497323</x:v>
      </x:c>
      <x:c r="F993" s="131" t="n">
        <x:f>MOD(ABS(SIN((A993+5)*12.9898+78.233)*43758.5453),1)</x:f>
        <x:v>0.8281761582620675</x:v>
      </x:c>
      <x:c r="G993" s="132" t="n">
        <x:f>IF(B993&lt;(('Assumptions'!$C$47-'Assumptions'!$B$47)/('Assumptions'!$D$47-'Assumptions'!$B$47)),'Assumptions'!$B$47+SQRT(B993*('Assumptions'!$D$47-'Assumptions'!$B$47)*('Assumptions'!$C$47-'Assumptions'!$B$47)),'Assumptions'!$D$47-SQRT((1-B993)*('Assumptions'!$D$47-'Assumptions'!$B$47)*('Assumptions'!$D$47-'Assumptions'!$C$47)))</x:f>
        <x:v>0.0868209690543697</x:v>
      </x:c>
      <x:c r="H993" s="132" t="n">
        <x:f>IF(C993&lt;(('Assumptions'!$C$48-'Assumptions'!$B$48)/('Assumptions'!$D$48-'Assumptions'!$B$48)),'Assumptions'!$B$48+SQRT(C993*('Assumptions'!$D$48-'Assumptions'!$B$48)*('Assumptions'!$C$48-'Assumptions'!$B$48)),'Assumptions'!$D$48-SQRT((1-C993)*('Assumptions'!$D$48-'Assumptions'!$B$48)*('Assumptions'!$D$48-'Assumptions'!$C$48)))</x:f>
        <x:v>0.07464841883178919</x:v>
      </x:c>
      <x:c r="I993" s="132" t="n">
        <x:f>IF(D993&lt;(('Assumptions'!$C$49-'Assumptions'!$B$49)/('Assumptions'!$D$49-'Assumptions'!$B$49)),'Assumptions'!$B$49+SQRT(D993*('Assumptions'!$D$49-'Assumptions'!$B$49)*('Assumptions'!$C$49-'Assumptions'!$B$49)),'Assumptions'!$D$49-SQRT((1-D993)*('Assumptions'!$D$49-'Assumptions'!$B$49)*('Assumptions'!$D$49-'Assumptions'!$C$49)))</x:f>
        <x:v>0.10166154977764259</x:v>
      </x:c>
      <x:c r="J993" s="132" t="n">
        <x:f>IF(E993&lt;(('Assumptions'!$C$50-'Assumptions'!$B$50)/('Assumptions'!$D$50-'Assumptions'!$B$50)),'Assumptions'!$B$50+SQRT(E993*('Assumptions'!$D$50-'Assumptions'!$B$50)*('Assumptions'!$C$50-'Assumptions'!$B$50)),'Assumptions'!$D$50-SQRT((1-E993)*('Assumptions'!$D$50-'Assumptions'!$B$50)*('Assumptions'!$D$50-'Assumptions'!$C$50)))</x:f>
        <x:v>0.07414059810445531</x:v>
      </x:c>
      <x:c r="K993" s="132" t="n">
        <x:f>IF(F993&lt;(('Assumptions'!$C$51-'Assumptions'!$B$51)/('Assumptions'!$D$51-'Assumptions'!$B$51)),'Assumptions'!$B$51+SQRT(F993*('Assumptions'!$D$51-'Assumptions'!$B$51)*('Assumptions'!$C$51-'Assumptions'!$B$51)),'Assumptions'!$D$51-SQRT((1-F993)*('Assumptions'!$D$51-'Assumptions'!$B$51)*('Assumptions'!$D$51-'Assumptions'!$C$51)))</x:f>
        <x:v>0.07590658348933801</x:v>
      </x:c>
      <x:c r="L993" s="133" t="n">
        <x:f>(('Assumptions'!$B$17*(1+G993)+'Assumptions'!$B$18)*(1-H993-'Assumptions'!$B$20)-SUM('Assumptions'!$B$21:$B$25)*(1+I993))-(('Assumptions'!$B$17*(1+G993)+'Assumptions'!$B$18)*(1-H993-'Assumptions'!$B$20)*'Assumptions'!$B$26)</x:f>
        <x:v>220818.84992847222</x:v>
      </x:c>
      <x:c r="M993" s="133" t="n">
        <x:f>'Assumptions'!$B$10*'Assumptions'!$B$33</x:f>
        <x:v>1950000</x:v>
      </x:c>
      <x:c r="N993" s="133" t="n">
        <x:f>-PMT(K993/12,'Assumptions'!$B$35*12,M993)*12</x:f>
        <x:v>165071.2769044332</x:v>
      </x:c>
      <x:c r="O993" s="133" t="n">
        <x:f>(L993*(1+'Assumptions'!$B$29)^('Assumptions'!$B$14/12)/J993)*(1-'Assumptions'!$B$42)-'Debt Schedule'!$F$9</x:f>
        <x:v>3245592.832006449</x:v>
      </x:c>
      <x:c r="P993" s="132" t="n">
        <x:f>((O993+(L993-N993-'Assumptions'!$B$27-'Assumptions'!$B$28)*('Assumptions'!$B$14/12))/ABS('Monthly Cash Flow'!$S$5))^(1/('Assumptions'!$B$14/12))-1</x:f>
        <x:v>0.2075925721443197</x:v>
      </x:c>
      <x:c r="Q993" s="133" t="n">
        <x:f>-ABS('Monthly Cash Flow'!$S$5)+((L993-N993-'Assumptions'!$B$27-'Assumptions'!$B$28)*(1-(1+'Assumptions'!$B$43)^-('Assumptions'!$B$14/12))/'Assumptions'!$B$43)+(O993/(1+'Assumptions'!$B$43)^('Assumptions'!$B$14/12))</x:f>
        <x:v>780453.4868305745</x:v>
      </x:c>
    </x:row>
    <x:row r="994">
      <x:c r="A994" s="131" t="n">
        <x:f>987</x:f>
        <x:v>987</x:v>
      </x:c>
      <x:c r="B994" s="131" t="n">
        <x:f>MOD(ABS(SIN((A994+1)*12.9898+78.233)*43758.5453),1)</x:f>
        <x:v>0.5146785044107673</x:v>
      </x:c>
      <x:c r="C994" s="131" t="n">
        <x:f>MOD(ABS(SIN((A994+2)*12.9898+78.233)*43758.5453),1)</x:f>
        <x:v>0.8918238069491053</x:v>
      </x:c>
      <x:c r="D994" s="131" t="n">
        <x:f>MOD(ABS(SIN((A994+3)*12.9898+78.233)*43758.5453),1)</x:f>
        <x:v>0.8779285668497323</x:v>
      </x:c>
      <x:c r="E994" s="131" t="n">
        <x:f>MOD(ABS(SIN((A994+4)*12.9898+78.233)*43758.5453),1)</x:f>
        <x:v>0.8281761582620675</x:v>
      </x:c>
      <x:c r="F994" s="131" t="n">
        <x:f>MOD(ABS(SIN((A994+5)*12.9898+78.233)*43758.5453),1)</x:f>
        <x:v>0.644581797227147</x:v>
      </x:c>
      <x:c r="G994" s="132" t="n">
        <x:f>IF(B994&lt;(('Assumptions'!$C$47-'Assumptions'!$B$47)/('Assumptions'!$D$47-'Assumptions'!$B$47)),'Assumptions'!$B$47+SQRT(B994*('Assumptions'!$D$47-'Assumptions'!$B$47)*('Assumptions'!$C$47-'Assumptions'!$B$47)),'Assumptions'!$D$47-SQRT((1-B994)*('Assumptions'!$D$47-'Assumptions'!$B$47)*('Assumptions'!$D$47-'Assumptions'!$C$47)))</x:f>
        <x:v>0.011140830057447468</x:v>
      </x:c>
      <x:c r="H994" s="132" t="n">
        <x:f>IF(C994&lt;(('Assumptions'!$C$48-'Assumptions'!$B$48)/('Assumptions'!$D$48-'Assumptions'!$B$48)),'Assumptions'!$B$48+SQRT(C994*('Assumptions'!$D$48-'Assumptions'!$B$48)*('Assumptions'!$C$48-'Assumptions'!$B$48)),'Assumptions'!$D$48-SQRT((1-C994)*('Assumptions'!$D$48-'Assumptions'!$B$48)*('Assumptions'!$D$48-'Assumptions'!$C$48)))</x:f>
        <x:v>0.10914630494012309</x:v>
      </x:c>
      <x:c r="I994" s="132" t="n">
        <x:f>IF(D994&lt;(('Assumptions'!$C$49-'Assumptions'!$B$49)/('Assumptions'!$D$49-'Assumptions'!$B$49)),'Assumptions'!$B$49+SQRT(D994*('Assumptions'!$D$49-'Assumptions'!$B$49)*('Assumptions'!$C$49-'Assumptions'!$B$49)),'Assumptions'!$D$49-SQRT((1-D994)*('Assumptions'!$D$49-'Assumptions'!$B$49)*('Assumptions'!$D$49-'Assumptions'!$C$49)))</x:f>
        <x:v>0.09865077453314625</x:v>
      </x:c>
      <x:c r="J994" s="132" t="n">
        <x:f>IF(E994&lt;(('Assumptions'!$C$50-'Assumptions'!$B$50)/('Assumptions'!$D$50-'Assumptions'!$B$50)),'Assumptions'!$B$50+SQRT(E994*('Assumptions'!$D$50-'Assumptions'!$B$50)*('Assumptions'!$C$50-'Assumptions'!$B$50)),'Assumptions'!$D$50-SQRT((1-E994)*('Assumptions'!$D$50-'Assumptions'!$B$50)*('Assumptions'!$D$50-'Assumptions'!$C$50)))</x:f>
        <x:v>0.07304834872215288</x:v>
      </x:c>
      <x:c r="K994" s="132" t="n">
        <x:f>IF(F994&lt;(('Assumptions'!$C$51-'Assumptions'!$B$51)/('Assumptions'!$D$51-'Assumptions'!$B$51)),'Assumptions'!$B$51+SQRT(F994*('Assumptions'!$D$51-'Assumptions'!$B$51)*('Assumptions'!$C$51-'Assumptions'!$B$51)),'Assumptions'!$D$51-SQRT((1-F994)*('Assumptions'!$D$51-'Assumptions'!$B$51)*('Assumptions'!$D$51-'Assumptions'!$C$51)))</x:f>
        <x:v>0.07192158227902032</x:v>
      </x:c>
      <x:c r="L994" s="133" t="n">
        <x:f>(('Assumptions'!$B$17*(1+G994)+'Assumptions'!$B$18)*(1-H994-'Assumptions'!$B$20)-SUM('Assumptions'!$B$21:$B$25)*(1+I994))-(('Assumptions'!$B$17*(1+G994)+'Assumptions'!$B$18)*(1-H994-'Assumptions'!$B$20)*'Assumptions'!$B$26)</x:f>
        <x:v>184605.71659308215</x:v>
      </x:c>
      <x:c r="M994" s="133" t="n">
        <x:f>'Assumptions'!$B$10*'Assumptions'!$B$33</x:f>
        <x:v>1950000</x:v>
      </x:c>
      <x:c r="N994" s="133" t="n">
        <x:f>-PMT(K994/12,'Assumptions'!$B$35*12,M994)*12</x:f>
        <x:v>158712.24077394902</x:v>
      </x:c>
      <x:c r="O994" s="133" t="n">
        <x:f>(L994*(1+'Assumptions'!$B$29)^('Assumptions'!$B$14/12)/J994)*(1-'Assumptions'!$B$42)-'Debt Schedule'!$F$9</x:f>
        <x:v>2753903.5099378033</x:v>
      </x:c>
      <x:c r="P994" s="132" t="n">
        <x:f>((O994+(L994-N994-'Assumptions'!$B$27-'Assumptions'!$B$28)*('Assumptions'!$B$14/12))/ABS('Monthly Cash Flow'!$S$5))^(1/('Assumptions'!$B$14/12))-1</x:f>
        <x:v>0.15695303538683048</x:v>
      </x:c>
      <x:c r="Q994" s="133" t="n">
        <x:f>-ABS('Monthly Cash Flow'!$S$5)+((L994-N994-'Assumptions'!$B$27-'Assumptions'!$B$28)*(1-(1+'Assumptions'!$B$43)^-('Assumptions'!$B$14/12))/'Assumptions'!$B$43)+(O994/(1+'Assumptions'!$B$43)^('Assumptions'!$B$14/12))</x:f>
        <x:v>361982.585740661</x:v>
      </x:c>
    </x:row>
    <x:row r="995">
      <x:c r="A995" s="131" t="n">
        <x:f>988</x:f>
        <x:v>988</x:v>
      </x:c>
      <x:c r="B995" s="131" t="n">
        <x:f>MOD(ABS(SIN((A995+1)*12.9898+78.233)*43758.5453),1)</x:f>
        <x:v>0.8918238069491053</x:v>
      </x:c>
      <x:c r="C995" s="131" t="n">
        <x:f>MOD(ABS(SIN((A995+2)*12.9898+78.233)*43758.5453),1)</x:f>
        <x:v>0.8779285668497323</x:v>
      </x:c>
      <x:c r="D995" s="131" t="n">
        <x:f>MOD(ABS(SIN((A995+3)*12.9898+78.233)*43758.5453),1)</x:f>
        <x:v>0.8281761582620675</x:v>
      </x:c>
      <x:c r="E995" s="131" t="n">
        <x:f>MOD(ABS(SIN((A995+4)*12.9898+78.233)*43758.5453),1)</x:f>
        <x:v>0.644581797227147</x:v>
      </x:c>
      <x:c r="F995" s="131" t="n">
        <x:f>MOD(ABS(SIN((A995+5)*12.9898+78.233)*43758.5453),1)</x:f>
        <x:v>0.7707409929098503</x:v>
      </x:c>
      <x:c r="G995" s="132" t="n">
        <x:f>IF(B995&lt;(('Assumptions'!$C$47-'Assumptions'!$B$47)/('Assumptions'!$D$47-'Assumptions'!$B$47)),'Assumptions'!$B$47+SQRT(B995*('Assumptions'!$D$47-'Assumptions'!$B$47)*('Assumptions'!$C$47-'Assumptions'!$B$47)),'Assumptions'!$D$47-SQRT((1-B995)*('Assumptions'!$D$47-'Assumptions'!$B$47)*('Assumptions'!$D$47-'Assumptions'!$C$47)))</x:f>
        <x:v>0.05839688606829635</x:v>
      </x:c>
      <x:c r="H995" s="132" t="n">
        <x:f>IF(C995&lt;(('Assumptions'!$C$48-'Assumptions'!$B$48)/('Assumptions'!$D$48-'Assumptions'!$B$48)),'Assumptions'!$B$48+SQRT(C995*('Assumptions'!$D$48-'Assumptions'!$B$48)*('Assumptions'!$C$48-'Assumptions'!$B$48)),'Assumptions'!$D$48-SQRT((1-C995)*('Assumptions'!$D$48-'Assumptions'!$B$48)*('Assumptions'!$D$48-'Assumptions'!$C$48)))</x:f>
        <x:v>0.10722457305049475</x:v>
      </x:c>
      <x:c r="I995" s="132" t="n">
        <x:f>IF(D995&lt;(('Assumptions'!$C$49-'Assumptions'!$B$49)/('Assumptions'!$D$49-'Assumptions'!$B$49)),'Assumptions'!$B$49+SQRT(D995*('Assumptions'!$D$49-'Assumptions'!$B$49)*('Assumptions'!$C$49-'Assumptions'!$B$49)),'Assumptions'!$D$49-SQRT((1-D995)*('Assumptions'!$D$49-'Assumptions'!$B$49)*('Assumptions'!$D$49-'Assumptions'!$C$49)))</x:f>
        <x:v>0.0890787805314163</x:v>
      </x:c>
      <x:c r="J995" s="132" t="n">
        <x:f>IF(E995&lt;(('Assumptions'!$C$50-'Assumptions'!$B$50)/('Assumptions'!$D$50-'Assumptions'!$B$50)),'Assumptions'!$B$50+SQRT(E995*('Assumptions'!$D$50-'Assumptions'!$B$50)*('Assumptions'!$C$50-'Assumptions'!$B$50)),'Assumptions'!$D$50-SQRT((1-E995)*('Assumptions'!$D$50-'Assumptions'!$B$50)*('Assumptions'!$D$50-'Assumptions'!$C$50)))</x:f>
        <x:v>0.07000193171008195</x:v>
      </x:c>
      <x:c r="K995" s="132" t="n">
        <x:f>IF(F995&lt;(('Assumptions'!$C$51-'Assumptions'!$B$51)/('Assumptions'!$D$51-'Assumptions'!$B$51)),'Assumptions'!$B$51+SQRT(F995*('Assumptions'!$D$51-'Assumptions'!$B$51)*('Assumptions'!$C$51-'Assumptions'!$B$51)),'Assumptions'!$D$51-SQRT((1-F995)*('Assumptions'!$D$51-'Assumptions'!$B$51)*('Assumptions'!$D$51-'Assumptions'!$C$51)))</x:f>
        <x:v>0.07449614846058197</x:v>
      </x:c>
      <x:c r="L995" s="133" t="n">
        <x:f>(('Assumptions'!$B$17*(1+G995)+'Assumptions'!$B$18)*(1-H995-'Assumptions'!$B$20)-SUM('Assumptions'!$B$21:$B$25)*(1+I995))-(('Assumptions'!$B$17*(1+G995)+'Assumptions'!$B$18)*(1-H995-'Assumptions'!$B$20)*'Assumptions'!$B$26)</x:f>
        <x:v>200933.76231695124</x:v>
      </x:c>
      <x:c r="M995" s="133" t="n">
        <x:f>'Assumptions'!$B$10*'Assumptions'!$B$33</x:f>
        <x:v>1950000</x:v>
      </x:c>
      <x:c r="N995" s="133" t="n">
        <x:f>-PMT(K995/12,'Assumptions'!$B$35*12,M995)*12</x:f>
        <x:v>162809.62318147317</x:v>
      </x:c>
      <x:c r="O995" s="133" t="n">
        <x:f>(L995*(1+'Assumptions'!$B$29)^('Assumptions'!$B$14/12)/J995)*(1-'Assumptions'!$B$42)-'Debt Schedule'!$F$9</x:f>
        <x:v>3127928.8710789713</x:v>
      </x:c>
      <x:c r="P995" s="132" t="n">
        <x:f>((O995+(L995-N995-'Assumptions'!$B$27-'Assumptions'!$B$28)*('Assumptions'!$B$14/12))/ABS('Monthly Cash Flow'!$S$5))^(1/('Assumptions'!$B$14/12))-1</x:f>
        <x:v>0.1922576542909642</x:v>
      </x:c>
      <x:c r="Q995" s="133" t="n">
        <x:f>-ABS('Monthly Cash Flow'!$S$5)+((L995-N995-'Assumptions'!$B$27-'Assumptions'!$B$28)*(1-(1+'Assumptions'!$B$43)^-('Assumptions'!$B$14/12))/'Assumptions'!$B$43)+(O995/(1+'Assumptions'!$B$43)^('Assumptions'!$B$14/12))</x:f>
        <x:v>640586.744518803</x:v>
      </x:c>
    </x:row>
    <x:row r="996">
      <x:c r="A996" s="131" t="n">
        <x:f>989</x:f>
        <x:v>989</x:v>
      </x:c>
      <x:c r="B996" s="131" t="n">
        <x:f>MOD(ABS(SIN((A996+1)*12.9898+78.233)*43758.5453),1)</x:f>
        <x:v>0.8779285668497323</x:v>
      </x:c>
      <x:c r="C996" s="131" t="n">
        <x:f>MOD(ABS(SIN((A996+2)*12.9898+78.233)*43758.5453),1)</x:f>
        <x:v>0.8281761582620675</x:v>
      </x:c>
      <x:c r="D996" s="131" t="n">
        <x:f>MOD(ABS(SIN((A996+3)*12.9898+78.233)*43758.5453),1)</x:f>
        <x:v>0.644581797227147</x:v>
      </x:c>
      <x:c r="E996" s="131" t="n">
        <x:f>MOD(ABS(SIN((A996+4)*12.9898+78.233)*43758.5453),1)</x:f>
        <x:v>0.7707409929098503</x:v>
      </x:c>
      <x:c r="F996" s="131" t="n">
        <x:f>MOD(ABS(SIN((A996+5)*12.9898+78.233)*43758.5453),1)</x:f>
        <x:v>0.05130830236521433</x:v>
      </x:c>
      <x:c r="G996" s="132" t="n">
        <x:f>IF(B996&lt;(('Assumptions'!$C$47-'Assumptions'!$B$47)/('Assumptions'!$D$47-'Assumptions'!$B$47)),'Assumptions'!$B$47+SQRT(B996*('Assumptions'!$D$47-'Assumptions'!$B$47)*('Assumptions'!$C$47-'Assumptions'!$B$47)),'Assumptions'!$D$47-SQRT((1-B996)*('Assumptions'!$D$47-'Assumptions'!$B$47)*('Assumptions'!$D$47-'Assumptions'!$C$47)))</x:f>
        <x:v>0.055805623316939036</x:v>
      </x:c>
      <x:c r="H996" s="132" t="n">
        <x:f>IF(C996&lt;(('Assumptions'!$C$48-'Assumptions'!$B$48)/('Assumptions'!$D$48-'Assumptions'!$B$48)),'Assumptions'!$B$48+SQRT(C996*('Assumptions'!$D$48-'Assumptions'!$B$48)*('Assumptions'!$C$48-'Assumptions'!$B$48)),'Assumptions'!$D$48-SQRT((1-C996)*('Assumptions'!$D$48-'Assumptions'!$B$48)*('Assumptions'!$D$48-'Assumptions'!$C$48)))</x:f>
        <x:v>0.10111491536213653</x:v>
      </x:c>
      <x:c r="I996" s="132" t="n">
        <x:f>IF(D996&lt;(('Assumptions'!$C$49-'Assumptions'!$B$49)/('Assumptions'!$D$49-'Assumptions'!$B$49)),'Assumptions'!$B$49+SQRT(D996*('Assumptions'!$D$49-'Assumptions'!$B$49)*('Assumptions'!$C$49-'Assumptions'!$B$49)),'Assumptions'!$D$49-SQRT((1-D996)*('Assumptions'!$D$49-'Assumptions'!$B$49)*('Assumptions'!$D$49-'Assumptions'!$C$49)))</x:f>
        <x:v>0.0623813194581565</x:v>
      </x:c>
      <x:c r="J996" s="132" t="n">
        <x:f>IF(E996&lt;(('Assumptions'!$C$50-'Assumptions'!$B$50)/('Assumptions'!$D$50-'Assumptions'!$B$50)),'Assumptions'!$B$50+SQRT(E996*('Assumptions'!$D$50-'Assumptions'!$B$50)*('Assumptions'!$C$50-'Assumptions'!$B$50)),'Assumptions'!$D$50-SQRT((1-E996)*('Assumptions'!$D$50-'Assumptions'!$B$50)*('Assumptions'!$D$50-'Assumptions'!$C$50)))</x:f>
        <x:v>0.07197011234548674</x:v>
      </x:c>
      <x:c r="K996" s="132" t="n">
        <x:f>IF(F996&lt;(('Assumptions'!$C$51-'Assumptions'!$B$51)/('Assumptions'!$D$51-'Assumptions'!$B$51)),'Assumptions'!$B$51+SQRT(F996*('Assumptions'!$D$51-'Assumptions'!$B$51)*('Assumptions'!$C$51-'Assumptions'!$B$51)),'Assumptions'!$D$51-SQRT((1-F996)*('Assumptions'!$D$51-'Assumptions'!$B$51)*('Assumptions'!$D$51-'Assumptions'!$C$51)))</x:f>
        <x:v>0.061256299129520166</x:v>
      </x:c>
      <x:c r="L996" s="133" t="n">
        <x:f>(('Assumptions'!$B$17*(1+G996)+'Assumptions'!$B$18)*(1-H996-'Assumptions'!$B$20)-SUM('Assumptions'!$B$21:$B$25)*(1+I996))-(('Assumptions'!$B$17*(1+G996)+'Assumptions'!$B$18)*(1-H996-'Assumptions'!$B$20)*'Assumptions'!$B$26)</x:f>
        <x:v>205841.98737422776</x:v>
      </x:c>
      <x:c r="M996" s="133" t="n">
        <x:f>'Assumptions'!$B$10*'Assumptions'!$B$33</x:f>
        <x:v>1950000</x:v>
      </x:c>
      <x:c r="N996" s="133" t="n">
        <x:f>-PMT(K996/12,'Assumptions'!$B$35*12,M996)*12</x:f>
        <x:v>142190.39836773704</x:v>
      </x:c>
      <x:c r="O996" s="133" t="n">
        <x:f>(L996*(1+'Assumptions'!$B$29)^('Assumptions'!$B$14/12)/J996)*(1-'Assumptions'!$B$42)-'Debt Schedule'!$F$9</x:f>
        <x:v>3116705.4669392477</x:v>
      </x:c>
      <x:c r="P996" s="132" t="n">
        <x:f>((O996+(L996-N996-'Assumptions'!$B$27-'Assumptions'!$B$28)*('Assumptions'!$B$14/12))/ABS('Monthly Cash Flow'!$S$5))^(1/('Assumptions'!$B$14/12))-1</x:f>
        <x:v>0.2010289161369485</x:v>
      </x:c>
      <x:c r="Q996" s="133" t="n">
        <x:f>-ABS('Monthly Cash Flow'!$S$5)+((L996-N996-'Assumptions'!$B$27-'Assumptions'!$B$28)*(1-(1+'Assumptions'!$B$43)^-('Assumptions'!$B$14/12))/'Assumptions'!$B$43)+(O996/(1+'Assumptions'!$B$43)^('Assumptions'!$B$14/12))</x:f>
        <x:v>730387.0127989105</x:v>
      </x:c>
    </x:row>
    <x:row r="997">
      <x:c r="A997" s="131" t="n">
        <x:f>990</x:f>
        <x:v>990</x:v>
      </x:c>
      <x:c r="B997" s="131" t="n">
        <x:f>MOD(ABS(SIN((A997+1)*12.9898+78.233)*43758.5453),1)</x:f>
        <x:v>0.8281761582620675</x:v>
      </x:c>
      <x:c r="C997" s="131" t="n">
        <x:f>MOD(ABS(SIN((A997+2)*12.9898+78.233)*43758.5453),1)</x:f>
        <x:v>0.644581797227147</x:v>
      </x:c>
      <x:c r="D997" s="131" t="n">
        <x:f>MOD(ABS(SIN((A997+3)*12.9898+78.233)*43758.5453),1)</x:f>
        <x:v>0.7707409929098503</x:v>
      </x:c>
      <x:c r="E997" s="131" t="n">
        <x:f>MOD(ABS(SIN((A997+4)*12.9898+78.233)*43758.5453),1)</x:f>
        <x:v>0.05130830236521433</x:v>
      </x:c>
      <x:c r="F997" s="131" t="n">
        <x:f>MOD(ABS(SIN((A997+5)*12.9898+78.233)*43758.5453),1)</x:f>
        <x:v>0.3315309709985286</x:v>
      </x:c>
      <x:c r="G997" s="132" t="n">
        <x:f>IF(B997&lt;(('Assumptions'!$C$47-'Assumptions'!$B$47)/('Assumptions'!$D$47-'Assumptions'!$B$47)),'Assumptions'!$B$47+SQRT(B997*('Assumptions'!$D$47-'Assumptions'!$B$47)*('Assumptions'!$C$47-'Assumptions'!$B$47)),'Assumptions'!$D$47-SQRT((1-B997)*('Assumptions'!$D$47-'Assumptions'!$B$47)*('Assumptions'!$D$47-'Assumptions'!$C$47)))</x:f>
        <x:v>0.047567362570561836</x:v>
      </x:c>
      <x:c r="H997" s="132" t="n">
        <x:f>IF(C997&lt;(('Assumptions'!$C$48-'Assumptions'!$B$48)/('Assumptions'!$D$48-'Assumptions'!$B$48)),'Assumptions'!$B$48+SQRT(C997*('Assumptions'!$D$48-'Assumptions'!$B$48)*('Assumptions'!$C$48-'Assumptions'!$B$48)),'Assumptions'!$D$48-SQRT((1-C997)*('Assumptions'!$D$48-'Assumptions'!$B$48)*('Assumptions'!$D$48-'Assumptions'!$C$48)))</x:f>
        <x:v>0.08407433340226417</x:v>
      </x:c>
      <x:c r="I997" s="132" t="n">
        <x:f>IF(D997&lt;(('Assumptions'!$C$49-'Assumptions'!$B$49)/('Assumptions'!$D$49-'Assumptions'!$B$49)),'Assumptions'!$B$49+SQRT(D997*('Assumptions'!$D$49-'Assumptions'!$B$49)*('Assumptions'!$C$49-'Assumptions'!$B$49)),'Assumptions'!$D$49-SQRT((1-D997)*('Assumptions'!$D$49-'Assumptions'!$B$49)*('Assumptions'!$D$49-'Assumptions'!$C$49)))</x:f>
        <x:v>0.07962959035825333</x:v>
      </x:c>
      <x:c r="J997" s="132" t="n">
        <x:f>IF(E997&lt;(('Assumptions'!$C$50-'Assumptions'!$B$50)/('Assumptions'!$D$50-'Assumptions'!$B$50)),'Assumptions'!$B$50+SQRT(E997*('Assumptions'!$D$50-'Assumptions'!$B$50)*('Assumptions'!$C$50-'Assumptions'!$B$50)),'Assumptions'!$D$50-SQRT((1-E997)*('Assumptions'!$D$50-'Assumptions'!$B$50)*('Assumptions'!$D$50-'Assumptions'!$C$50)))</x:f>
        <x:v>0.060897700403533726</x:v>
      </x:c>
      <x:c r="K997" s="132" t="n">
        <x:f>IF(F997&lt;(('Assumptions'!$C$51-'Assumptions'!$B$51)/('Assumptions'!$D$51-'Assumptions'!$B$51)),'Assumptions'!$B$51+SQRT(F997*('Assumptions'!$D$51-'Assumptions'!$B$51)*('Assumptions'!$C$51-'Assumptions'!$B$51)),'Assumptions'!$D$51-SQRT((1-F997)*('Assumptions'!$D$51-'Assumptions'!$B$51)*('Assumptions'!$D$51-'Assumptions'!$C$51)))</x:f>
        <x:v>0.06704835153440611</x:v>
      </x:c>
      <x:c r="L997" s="133" t="n">
        <x:f>(('Assumptions'!$B$17*(1+G997)+'Assumptions'!$B$18)*(1-H997-'Assumptions'!$B$20)-SUM('Assumptions'!$B$21:$B$25)*(1+I997))-(('Assumptions'!$B$17*(1+G997)+'Assumptions'!$B$18)*(1-H997-'Assumptions'!$B$20)*'Assumptions'!$B$26)</x:f>
        <x:v>207601.74365916968</x:v>
      </x:c>
      <x:c r="M997" s="133" t="n">
        <x:f>'Assumptions'!$B$10*'Assumptions'!$B$33</x:f>
        <x:v>1950000</x:v>
      </x:c>
      <x:c r="N997" s="133" t="n">
        <x:f>-PMT(K997/12,'Assumptions'!$B$35*12,M997)*12</x:f>
        <x:v>151070.1047019518</x:v>
      </x:c>
      <x:c r="O997" s="133" t="n">
        <x:f>(L997*(1+'Assumptions'!$B$29)^('Assumptions'!$B$14/12)/J997)*(1-'Assumptions'!$B$42)-'Debt Schedule'!$F$9</x:f>
        <x:v>3714873.936983825</x:v>
      </x:c>
      <x:c r="P997" s="132" t="n">
        <x:f>((O997+(L997-N997-'Assumptions'!$B$27-'Assumptions'!$B$28)*('Assumptions'!$B$14/12))/ABS('Monthly Cash Flow'!$S$5))^(1/('Assumptions'!$B$14/12))-1</x:f>
        <x:v>0.24016617074960367</x:v>
      </x:c>
      <x:c r="Q997" s="133" t="n">
        <x:f>-ABS('Monthly Cash Flow'!$S$5)+((L997-N997-'Assumptions'!$B$27-'Assumptions'!$B$28)*(1-(1+'Assumptions'!$B$43)^-('Assumptions'!$B$14/12))/'Assumptions'!$B$43)+(O997/(1+'Assumptions'!$B$43)^('Assumptions'!$B$14/12))</x:f>
        <x:v>1074812.3581856273</x:v>
      </x:c>
    </x:row>
    <x:row r="998">
      <x:c r="A998" s="131" t="n">
        <x:f>991</x:f>
        <x:v>991</x:v>
      </x:c>
      <x:c r="B998" s="131" t="n">
        <x:f>MOD(ABS(SIN((A998+1)*12.9898+78.233)*43758.5453),1)</x:f>
        <x:v>0.644581797227147</x:v>
      </x:c>
      <x:c r="C998" s="131" t="n">
        <x:f>MOD(ABS(SIN((A998+2)*12.9898+78.233)*43758.5453),1)</x:f>
        <x:v>0.7707409929098503</x:v>
      </x:c>
      <x:c r="D998" s="131" t="n">
        <x:f>MOD(ABS(SIN((A998+3)*12.9898+78.233)*43758.5453),1)</x:f>
        <x:v>0.05130830236521433</x:v>
      </x:c>
      <x:c r="E998" s="131" t="n">
        <x:f>MOD(ABS(SIN((A998+4)*12.9898+78.233)*43758.5453),1)</x:f>
        <x:v>0.3315309709985286</x:v>
      </x:c>
      <x:c r="F998" s="131" t="n">
        <x:f>MOD(ABS(SIN((A998+5)*12.9898+78.233)*43758.5453),1)</x:f>
        <x:v>0.37438869768811855</x:v>
      </x:c>
      <x:c r="G998" s="132" t="n">
        <x:f>IF(B998&lt;(('Assumptions'!$C$47-'Assumptions'!$B$47)/('Assumptions'!$D$47-'Assumptions'!$B$47)),'Assumptions'!$B$47+SQRT(B998*('Assumptions'!$D$47-'Assumptions'!$B$47)*('Assumptions'!$C$47-'Assumptions'!$B$47)),'Assumptions'!$D$47-SQRT((1-B998)*('Assumptions'!$D$47-'Assumptions'!$B$47)*('Assumptions'!$D$47-'Assumptions'!$C$47)))</x:f>
        <x:v>0.024589846543282737</x:v>
      </x:c>
      <x:c r="H998" s="132" t="n">
        <x:f>IF(C998&lt;(('Assumptions'!$C$48-'Assumptions'!$B$48)/('Assumptions'!$D$48-'Assumptions'!$B$48)),'Assumptions'!$B$48+SQRT(C998*('Assumptions'!$D$48-'Assumptions'!$B$48)*('Assumptions'!$C$48-'Assumptions'!$B$48)),'Assumptions'!$D$48-SQRT((1-C998)*('Assumptions'!$D$48-'Assumptions'!$B$48)*('Assumptions'!$D$48-'Assumptions'!$C$48)))</x:f>
        <x:v>0.0950836414833825</x:v>
      </x:c>
      <x:c r="I998" s="132" t="n">
        <x:f>IF(D998&lt;(('Assumptions'!$C$49-'Assumptions'!$B$49)/('Assumptions'!$D$49-'Assumptions'!$B$49)),'Assumptions'!$B$49+SQRT(D998*('Assumptions'!$D$49-'Assumptions'!$B$49)*('Assumptions'!$C$49-'Assumptions'!$B$49)),'Assumptions'!$D$49-SQRT((1-D998)*('Assumptions'!$D$49-'Assumptions'!$B$49)*('Assumptions'!$D$49-'Assumptions'!$C$49)))</x:f>
        <x:v>-0.00646004108872926</x:v>
      </x:c>
      <x:c r="J998" s="132" t="n">
        <x:f>IF(E998&lt;(('Assumptions'!$C$50-'Assumptions'!$B$50)/('Assumptions'!$D$50-'Assumptions'!$B$50)),'Assumptions'!$B$50+SQRT(E998*('Assumptions'!$D$50-'Assumptions'!$B$50)*('Assumptions'!$C$50-'Assumptions'!$B$50)),'Assumptions'!$D$50-SQRT((1-E998)*('Assumptions'!$D$50-'Assumptions'!$B$50)*('Assumptions'!$D$50-'Assumptions'!$C$50)))</x:f>
        <x:v>0.06613680892891981</x:v>
      </x:c>
      <x:c r="K998" s="132" t="n">
        <x:f>IF(F998&lt;(('Assumptions'!$C$51-'Assumptions'!$B$51)/('Assumptions'!$D$51-'Assumptions'!$B$51)),'Assumptions'!$B$51+SQRT(F998*('Assumptions'!$D$51-'Assumptions'!$B$51)*('Assumptions'!$C$51-'Assumptions'!$B$51)),'Assumptions'!$D$51-SQRT((1-F998)*('Assumptions'!$D$51-'Assumptions'!$B$51)*('Assumptions'!$D$51-'Assumptions'!$C$51)))</x:f>
        <x:v>0.06764847444062647</x:v>
      </x:c>
      <x:c r="L998" s="133" t="n">
        <x:f>(('Assumptions'!$B$17*(1+G998)+'Assumptions'!$B$18)*(1-H998-'Assumptions'!$B$20)-SUM('Assumptions'!$B$21:$B$25)*(1+I998))-(('Assumptions'!$B$17*(1+G998)+'Assumptions'!$B$18)*(1-H998-'Assumptions'!$B$20)*'Assumptions'!$B$26)</x:f>
        <x:v>207166.43716336906</x:v>
      </x:c>
      <x:c r="M998" s="133" t="n">
        <x:f>'Assumptions'!$B$10*'Assumptions'!$B$33</x:f>
        <x:v>1950000</x:v>
      </x:c>
      <x:c r="N998" s="133" t="n">
        <x:f>-PMT(K998/12,'Assumptions'!$B$35*12,M998)*12</x:f>
        <x:v>152002.97110268968</x:v>
      </x:c>
      <x:c r="O998" s="133" t="n">
        <x:f>(L998*(1+'Assumptions'!$B$29)^('Assumptions'!$B$14/12)/J998)*(1-'Assumptions'!$B$42)-'Debt Schedule'!$F$9</x:f>
        <x:v>3413423.213858185</x:v>
      </x:c>
      <x:c r="P998" s="132" t="n">
        <x:f>((O998+(L998-N998-'Assumptions'!$B$27-'Assumptions'!$B$28)*('Assumptions'!$B$14/12))/ABS('Monthly Cash Flow'!$S$5))^(1/('Assumptions'!$B$14/12))-1</x:f>
        <x:v>0.21934266778005918</x:v>
      </x:c>
      <x:c r="Q998" s="133" t="n">
        <x:f>-ABS('Monthly Cash Flow'!$S$5)+((L998-N998-'Assumptions'!$B$27-'Assumptions'!$B$28)*(1-(1+'Assumptions'!$B$43)^-('Assumptions'!$B$14/12))/'Assumptions'!$B$43)+(O998/(1+'Assumptions'!$B$43)^('Assumptions'!$B$14/12))</x:f>
        <x:v>882448.7246308546</x:v>
      </x:c>
    </x:row>
    <x:row r="999">
      <x:c r="A999" s="131" t="n">
        <x:f>992</x:f>
        <x:v>992</x:v>
      </x:c>
      <x:c r="B999" s="131" t="n">
        <x:f>MOD(ABS(SIN((A999+1)*12.9898+78.233)*43758.5453),1)</x:f>
        <x:v>0.7707409929098503</x:v>
      </x:c>
      <x:c r="C999" s="131" t="n">
        <x:f>MOD(ABS(SIN((A999+2)*12.9898+78.233)*43758.5453),1)</x:f>
        <x:v>0.05130830236521433</x:v>
      </x:c>
      <x:c r="D999" s="131" t="n">
        <x:f>MOD(ABS(SIN((A999+3)*12.9898+78.233)*43758.5453),1)</x:f>
        <x:v>0.3315309709985286</x:v>
      </x:c>
      <x:c r="E999" s="131" t="n">
        <x:f>MOD(ABS(SIN((A999+4)*12.9898+78.233)*43758.5453),1)</x:f>
        <x:v>0.37438869768811855</x:v>
      </x:c>
      <x:c r="F999" s="131" t="n">
        <x:f>MOD(ABS(SIN((A999+5)*12.9898+78.233)*43758.5453),1)</x:f>
        <x:v>0.761435810563853</x:v>
      </x:c>
      <x:c r="G999" s="132" t="n">
        <x:f>IF(B999&lt;(('Assumptions'!$C$47-'Assumptions'!$B$47)/('Assumptions'!$D$47-'Assumptions'!$B$47)),'Assumptions'!$B$47+SQRT(B999*('Assumptions'!$D$47-'Assumptions'!$B$47)*('Assumptions'!$C$47-'Assumptions'!$B$47)),'Assumptions'!$D$47-SQRT((1-B999)*('Assumptions'!$D$47-'Assumptions'!$B$47)*('Assumptions'!$D$47-'Assumptions'!$C$47)))</x:f>
        <x:v>0.03943479453149362</x:v>
      </x:c>
      <x:c r="H999" s="132" t="n">
        <x:f>IF(C999&lt;(('Assumptions'!$C$48-'Assumptions'!$B$48)/('Assumptions'!$D$48-'Assumptions'!$B$48)),'Assumptions'!$B$48+SQRT(C999*('Assumptions'!$D$48-'Assumptions'!$B$48)*('Assumptions'!$C$48-'Assumptions'!$B$48)),'Assumptions'!$D$48-SQRT((1-C999)*('Assumptions'!$D$48-'Assumptions'!$B$48)*('Assumptions'!$D$48-'Assumptions'!$C$48)))</x:f>
        <x:v>0.04301220188151134</x:v>
      </x:c>
      <x:c r="I999" s="132" t="n">
        <x:f>IF(D999&lt;(('Assumptions'!$C$49-'Assumptions'!$B$49)/('Assumptions'!$D$49-'Assumptions'!$B$49)),'Assumptions'!$B$49+SQRT(D999*('Assumptions'!$D$49-'Assumptions'!$B$49)*('Assumptions'!$C$49-'Assumptions'!$B$49)),'Assumptions'!$D$49-SQRT((1-D999)*('Assumptions'!$D$49-'Assumptions'!$B$49)*('Assumptions'!$D$49-'Assumptions'!$C$49)))</x:f>
        <x:v>0.029837567520614575</x:v>
      </x:c>
      <x:c r="J999" s="132" t="n">
        <x:f>IF(E999&lt;(('Assumptions'!$C$50-'Assumptions'!$B$50)/('Assumptions'!$D$50-'Assumptions'!$B$50)),'Assumptions'!$B$50+SQRT(E999*('Assumptions'!$D$50-'Assumptions'!$B$50)*('Assumptions'!$C$50-'Assumptions'!$B$50)),'Assumptions'!$D$50-SQRT((1-E999)*('Assumptions'!$D$50-'Assumptions'!$B$50)*('Assumptions'!$D$50-'Assumptions'!$C$50)))</x:f>
        <x:v>0.06667809658806371</x:v>
      </x:c>
      <x:c r="K999" s="132" t="n">
        <x:f>IF(F999&lt;(('Assumptions'!$C$51-'Assumptions'!$B$51)/('Assumptions'!$D$51-'Assumptions'!$B$51)),'Assumptions'!$B$51+SQRT(F999*('Assumptions'!$D$51-'Assumptions'!$B$51)*('Assumptions'!$C$51-'Assumptions'!$B$51)),'Assumptions'!$D$51-SQRT((1-F999)*('Assumptions'!$D$51-'Assumptions'!$B$51)*('Assumptions'!$D$51-'Assumptions'!$C$51)))</x:f>
        <x:v>0.07428510307253748</x:v>
      </x:c>
      <x:c r="L999" s="133" t="n">
        <x:f>(('Assumptions'!$B$17*(1+G999)+'Assumptions'!$B$18)*(1-H999-'Assumptions'!$B$20)-SUM('Assumptions'!$B$21:$B$25)*(1+I999))-(('Assumptions'!$B$17*(1+G999)+'Assumptions'!$B$18)*(1-H999-'Assumptions'!$B$20)*'Assumptions'!$B$26)</x:f>
        <x:v>226789.57812389408</x:v>
      </x:c>
      <x:c r="M999" s="133" t="n">
        <x:f>'Assumptions'!$B$10*'Assumptions'!$B$33</x:f>
        <x:v>1950000</x:v>
      </x:c>
      <x:c r="N999" s="133" t="n">
        <x:f>-PMT(K999/12,'Assumptions'!$B$35*12,M999)*12</x:f>
        <x:v>162472.23186899317</x:v>
      </x:c>
      <x:c r="O999" s="133" t="n">
        <x:f>(L999*(1+'Assumptions'!$B$29)^('Assumptions'!$B$14/12)/J999)*(1-'Assumptions'!$B$42)-'Debt Schedule'!$F$9</x:f>
        <x:v>3706413.5629552114</x:v>
      </x:c>
      <x:c r="P999" s="132" t="n">
        <x:f>((O999+(L999-N999-'Assumptions'!$B$27-'Assumptions'!$B$28)*('Assumptions'!$B$14/12))/ABS('Monthly Cash Flow'!$S$5))^(1/('Assumptions'!$B$14/12))-1</x:f>
        <x:v>0.24214982222732018</x:v>
      </x:c>
      <x:c r="Q999" s="133" t="n">
        <x:f>-ABS('Monthly Cash Flow'!$S$5)+((L999-N999-'Assumptions'!$B$27-'Assumptions'!$B$28)*(1-(1+'Assumptions'!$B$43)^-('Assumptions'!$B$14/12))/'Assumptions'!$B$43)+(O999/(1+'Assumptions'!$B$43)^('Assumptions'!$B$14/12))</x:f>
        <x:v>1099073.0877647488</x:v>
      </x:c>
    </x:row>
    <x:row r="1000">
      <x:c r="A1000" s="131" t="n">
        <x:f>993</x:f>
        <x:v>993</x:v>
      </x:c>
      <x:c r="B1000" s="131" t="n">
        <x:f>MOD(ABS(SIN((A1000+1)*12.9898+78.233)*43758.5453),1)</x:f>
        <x:v>0.05130830236521433</x:v>
      </x:c>
      <x:c r="C1000" s="131" t="n">
        <x:f>MOD(ABS(SIN((A1000+2)*12.9898+78.233)*43758.5453),1)</x:f>
        <x:v>0.3315309709985286</x:v>
      </x:c>
      <x:c r="D1000" s="131" t="n">
        <x:f>MOD(ABS(SIN((A1000+3)*12.9898+78.233)*43758.5453),1)</x:f>
        <x:v>0.37438869768811855</x:v>
      </x:c>
      <x:c r="E1000" s="131" t="n">
        <x:f>MOD(ABS(SIN((A1000+4)*12.9898+78.233)*43758.5453),1)</x:f>
        <x:v>0.761435810563853</x:v>
      </x:c>
      <x:c r="F1000" s="131" t="n">
        <x:f>MOD(ABS(SIN((A1000+5)*12.9898+78.233)*43758.5453),1)</x:f>
        <x:v>0.6566486474621342</x:v>
      </x:c>
      <x:c r="G1000" s="132" t="n">
        <x:f>IF(B1000&lt;(('Assumptions'!$C$47-'Assumptions'!$B$47)/('Assumptions'!$D$47-'Assumptions'!$B$47)),'Assumptions'!$B$47+SQRT(B1000*('Assumptions'!$D$47-'Assumptions'!$B$47)*('Assumptions'!$C$47-'Assumptions'!$B$47)),'Assumptions'!$D$47-SQRT((1-B1000)*('Assumptions'!$D$47-'Assumptions'!$B$47)*('Assumptions'!$D$47-'Assumptions'!$C$47)))</x:f>
        <x:v>-0.06490870112456446</x:v>
      </x:c>
      <x:c r="H1000" s="132" t="n">
        <x:f>IF(C1000&lt;(('Assumptions'!$C$48-'Assumptions'!$B$48)/('Assumptions'!$D$48-'Assumptions'!$B$48)),'Assumptions'!$B$48+SQRT(C1000*('Assumptions'!$D$48-'Assumptions'!$B$48)*('Assumptions'!$C$48-'Assumptions'!$B$48)),'Assumptions'!$D$48-SQRT((1-C1000)*('Assumptions'!$D$48-'Assumptions'!$B$48)*('Assumptions'!$D$48-'Assumptions'!$C$48)))</x:f>
        <x:v>0.06330236343137458</x:v>
      </x:c>
      <x:c r="I1000" s="132" t="n">
        <x:f>IF(D1000&lt;(('Assumptions'!$C$49-'Assumptions'!$B$49)/('Assumptions'!$D$49-'Assumptions'!$B$49)),'Assumptions'!$B$49+SQRT(D1000*('Assumptions'!$D$49-'Assumptions'!$B$49)*('Assumptions'!$C$49-'Assumptions'!$B$49)),'Assumptions'!$D$49-SQRT((1-D1000)*('Assumptions'!$D$49-'Assumptions'!$B$49)*('Assumptions'!$D$49-'Assumptions'!$C$49)))</x:f>
        <x:v>0.03375369197287753</x:v>
      </x:c>
      <x:c r="J1000" s="132" t="n">
        <x:f>IF(E1000&lt;(('Assumptions'!$C$50-'Assumptions'!$B$50)/('Assumptions'!$D$50-'Assumptions'!$B$50)),'Assumptions'!$B$50+SQRT(E1000*('Assumptions'!$D$50-'Assumptions'!$B$50)*('Assumptions'!$C$50-'Assumptions'!$B$50)),'Assumptions'!$D$50-SQRT((1-E1000)*('Assumptions'!$D$50-'Assumptions'!$B$50)*('Assumptions'!$D$50-'Assumptions'!$C$50)))</x:f>
        <x:v>0.07180877431156263</x:v>
      </x:c>
      <x:c r="K1000" s="132" t="n">
        <x:f>IF(F1000&lt;(('Assumptions'!$C$51-'Assumptions'!$B$51)/('Assumptions'!$D$51-'Assumptions'!$B$51)),'Assumptions'!$B$51+SQRT(F1000*('Assumptions'!$D$51-'Assumptions'!$B$51)*('Assumptions'!$C$51-'Assumptions'!$B$51)),'Assumptions'!$D$51-SQRT((1-F1000)*('Assumptions'!$D$51-'Assumptions'!$B$51)*('Assumptions'!$D$51-'Assumptions'!$C$51)))</x:f>
        <x:v>0.07214551290759341</x:v>
      </x:c>
      <x:c r="L1000" s="133" t="n">
        <x:f>(('Assumptions'!$B$17*(1+G1000)+'Assumptions'!$B$18)*(1-H1000-'Assumptions'!$B$20)-SUM('Assumptions'!$B$21:$B$25)*(1+I1000))-(('Assumptions'!$B$17*(1+G1000)+'Assumptions'!$B$18)*(1-H1000-'Assumptions'!$B$20)*'Assumptions'!$B$26)</x:f>
        <x:v>185238.97745140406</x:v>
      </x:c>
      <x:c r="M1000" s="133" t="n">
        <x:f>'Assumptions'!$B$10*'Assumptions'!$B$33</x:f>
        <x:v>1950000</x:v>
      </x:c>
      <x:c r="N1000" s="133" t="n">
        <x:f>-PMT(K1000/12,'Assumptions'!$B$35*12,M1000)*12</x:f>
        <x:v>159067.0094268632</x:v>
      </x:c>
      <x:c r="O1000" s="133" t="n">
        <x:f>(L1000*(1+'Assumptions'!$B$29)^('Assumptions'!$B$14/12)/J1000)*(1-'Assumptions'!$B$42)-'Debt Schedule'!$F$9</x:f>
        <x:v>2811051.732854833</x:v>
      </x:c>
      <x:c r="P1000" s="132" t="n">
        <x:f>((O1000+(L1000-N1000-'Assumptions'!$B$27-'Assumptions'!$B$28)*('Assumptions'!$B$14/12))/ABS('Monthly Cash Flow'!$S$5))^(1/('Assumptions'!$B$14/12))-1</x:f>
        <x:v>0.16195759222795258</x:v>
      </x:c>
      <x:c r="Q1000" s="133" t="n">
        <x:f>-ABS('Monthly Cash Flow'!$S$5)+((L1000-N1000-'Assumptions'!$B$27-'Assumptions'!$B$28)*(1-(1+'Assumptions'!$B$43)^-('Assumptions'!$B$14/12))/'Assumptions'!$B$43)+(O1000/(1+'Assumptions'!$B$43)^('Assumptions'!$B$14/12))</x:f>
        <x:v>398522.8404924257</x:v>
      </x:c>
    </x:row>
    <x:row r="1001">
      <x:c r="A1001" s="131" t="n">
        <x:f>994</x:f>
        <x:v>994</x:v>
      </x:c>
      <x:c r="B1001" s="131" t="n">
        <x:f>MOD(ABS(SIN((A1001+1)*12.9898+78.233)*43758.5453),1)</x:f>
        <x:v>0.3315309709985286</x:v>
      </x:c>
      <x:c r="C1001" s="131" t="n">
        <x:f>MOD(ABS(SIN((A1001+2)*12.9898+78.233)*43758.5453),1)</x:f>
        <x:v>0.37438869768811855</x:v>
      </x:c>
      <x:c r="D1001" s="131" t="n">
        <x:f>MOD(ABS(SIN((A1001+3)*12.9898+78.233)*43758.5453),1)</x:f>
        <x:v>0.761435810563853</x:v>
      </x:c>
      <x:c r="E1001" s="131" t="n">
        <x:f>MOD(ABS(SIN((A1001+4)*12.9898+78.233)*43758.5453),1)</x:f>
        <x:v>0.6566486474621342</x:v>
      </x:c>
      <x:c r="F1001" s="131" t="n">
        <x:f>MOD(ABS(SIN((A1001+5)*12.9898+78.233)*43758.5453),1)</x:f>
        <x:v>0.4335551269323332</x:v>
      </x:c>
      <x:c r="G1001" s="132" t="n">
        <x:f>IF(B1001&lt;(('Assumptions'!$C$47-'Assumptions'!$B$47)/('Assumptions'!$D$47-'Assumptions'!$B$47)),'Assumptions'!$B$47+SQRT(B1001*('Assumptions'!$D$47-'Assumptions'!$B$47)*('Assumptions'!$C$47-'Assumptions'!$B$47)),'Assumptions'!$D$47-SQRT((1-B1001)*('Assumptions'!$D$47-'Assumptions'!$B$47)*('Assumptions'!$D$47-'Assumptions'!$C$47)))</x:f>
        <x:v>-0.010799420943781501</x:v>
      </x:c>
      <x:c r="H1001" s="132" t="n">
        <x:f>IF(C1001&lt;(('Assumptions'!$C$48-'Assumptions'!$B$48)/('Assumptions'!$D$48-'Assumptions'!$B$48)),'Assumptions'!$B$48+SQRT(C1001*('Assumptions'!$D$48-'Assumptions'!$B$48)*('Assumptions'!$C$48-'Assumptions'!$B$48)),'Assumptions'!$D$48-SQRT((1-C1001)*('Assumptions'!$D$48-'Assumptions'!$B$48)*('Assumptions'!$D$48-'Assumptions'!$C$48)))</x:f>
        <x:v>0.0658017556788265</x:v>
      </x:c>
      <x:c r="I1001" s="132" t="n">
        <x:f>IF(D1001&lt;(('Assumptions'!$C$49-'Assumptions'!$B$49)/('Assumptions'!$D$49-'Assumptions'!$B$49)),'Assumptions'!$B$49+SQRT(D1001*('Assumptions'!$D$49-'Assumptions'!$B$49)*('Assumptions'!$C$49-'Assumptions'!$B$49)),'Assumptions'!$D$49-SQRT((1-D1001)*('Assumptions'!$D$49-'Assumptions'!$B$49)*('Assumptions'!$D$49-'Assumptions'!$C$49)))</x:f>
        <x:v>0.07821569466923305</x:v>
      </x:c>
      <x:c r="J1001" s="132" t="n">
        <x:f>IF(E1001&lt;(('Assumptions'!$C$50-'Assumptions'!$B$50)/('Assumptions'!$D$50-'Assumptions'!$B$50)),'Assumptions'!$B$50+SQRT(E1001*('Assumptions'!$D$50-'Assumptions'!$B$50)*('Assumptions'!$C$50-'Assumptions'!$B$50)),'Assumptions'!$D$50-SQRT((1-E1001)*('Assumptions'!$D$50-'Assumptions'!$B$50)*('Assumptions'!$D$50-'Assumptions'!$C$50)))</x:f>
        <x:v>0.07017312013397566</x:v>
      </x:c>
      <x:c r="K1001" s="132" t="n">
        <x:f>IF(F1001&lt;(('Assumptions'!$C$51-'Assumptions'!$B$51)/('Assumptions'!$D$51-'Assumptions'!$B$51)),'Assumptions'!$B$51+SQRT(F1001*('Assumptions'!$D$51-'Assumptions'!$B$51)*('Assumptions'!$C$51-'Assumptions'!$B$51)),'Assumptions'!$D$51-SQRT((1-F1001)*('Assumptions'!$D$51-'Assumptions'!$B$51)*('Assumptions'!$D$51-'Assumptions'!$C$51)))</x:f>
        <x:v>0.06848934903876244</x:v>
      </x:c>
      <x:c r="L1001" s="133" t="n">
        <x:f>(('Assumptions'!$B$17*(1+G1001)+'Assumptions'!$B$18)*(1-H1001-'Assumptions'!$B$20)-SUM('Assumptions'!$B$21:$B$25)*(1+I1001))-(('Assumptions'!$B$17*(1+G1001)+'Assumptions'!$B$18)*(1-H1001-'Assumptions'!$B$20)*'Assumptions'!$B$26)</x:f>
        <x:v>196068.51486022328</x:v>
      </x:c>
      <x:c r="M1001" s="133" t="n">
        <x:f>'Assumptions'!$B$10*'Assumptions'!$B$33</x:f>
        <x:v>1950000</x:v>
      </x:c>
      <x:c r="N1001" s="133" t="n">
        <x:f>-PMT(K1001/12,'Assumptions'!$B$35*12,M1001)*12</x:f>
        <x:v>153314.0201246153</x:v>
      </x:c>
      <x:c r="O1001" s="133" t="n">
        <x:f>(L1001*(1+'Assumptions'!$B$29)^('Assumptions'!$B$14/12)/J1001)*(1-'Assumptions'!$B$42)-'Debt Schedule'!$F$9</x:f>
        <x:v>3044745.864117224</x:v>
      </x:c>
      <x:c r="P1001" s="132" t="n">
        <x:f>((O1001+(L1001-N1001-'Assumptions'!$B$27-'Assumptions'!$B$28)*('Assumptions'!$B$14/12))/ABS('Monthly Cash Flow'!$S$5))^(1/('Assumptions'!$B$14/12))-1</x:f>
        <x:v>0.187631770059405</x:v>
      </x:c>
      <x:c r="Q1001" s="133" t="n">
        <x:f>-ABS('Monthly Cash Flow'!$S$5)+((L1001-N1001-'Assumptions'!$B$27-'Assumptions'!$B$28)*(1-(1+'Assumptions'!$B$43)^-('Assumptions'!$B$14/12))/'Assumptions'!$B$43)+(O1001/(1+'Assumptions'!$B$43)^('Assumptions'!$B$14/12))</x:f>
        <x:v>606489.3325267048</x:v>
      </x:c>
    </x:row>
    <x:row r="1002">
      <x:c r="A1002" s="131" t="n">
        <x:f>995</x:f>
        <x:v>995</x:v>
      </x:c>
      <x:c r="B1002" s="131" t="n">
        <x:f>MOD(ABS(SIN((A1002+1)*12.9898+78.233)*43758.5453),1)</x:f>
        <x:v>0.37438869768811855</x:v>
      </x:c>
      <x:c r="C1002" s="131" t="n">
        <x:f>MOD(ABS(SIN((A1002+2)*12.9898+78.233)*43758.5453),1)</x:f>
        <x:v>0.761435810563853</x:v>
      </x:c>
      <x:c r="D1002" s="131" t="n">
        <x:f>MOD(ABS(SIN((A1002+3)*12.9898+78.233)*43758.5453),1)</x:f>
        <x:v>0.6566486474621342</x:v>
      </x:c>
      <x:c r="E1002" s="131" t="n">
        <x:f>MOD(ABS(SIN((A1002+4)*12.9898+78.233)*43758.5453),1)</x:f>
        <x:v>0.4335551269323332</x:v>
      </x:c>
      <x:c r="F1002" s="131" t="n">
        <x:f>MOD(ABS(SIN((A1002+5)*12.9898+78.233)*43758.5453),1)</x:f>
        <x:v>0.7302701249354868</x:v>
      </x:c>
      <x:c r="G1002" s="132" t="n">
        <x:f>IF(B1002&lt;(('Assumptions'!$C$47-'Assumptions'!$B$47)/('Assumptions'!$D$47-'Assumptions'!$B$47)),'Assumptions'!$B$47+SQRT(B1002*('Assumptions'!$D$47-'Assumptions'!$B$47)*('Assumptions'!$C$47-'Assumptions'!$B$47)),'Assumptions'!$D$47-SQRT((1-B1002)*('Assumptions'!$D$47-'Assumptions'!$B$47)*('Assumptions'!$D$47-'Assumptions'!$C$47)))</x:f>
        <x:v>-0.005209026038789727</x:v>
      </x:c>
      <x:c r="H1002" s="132" t="n">
        <x:f>IF(C1002&lt;(('Assumptions'!$C$48-'Assumptions'!$B$48)/('Assumptions'!$D$48-'Assumptions'!$B$48)),'Assumptions'!$B$48+SQRT(C1002*('Assumptions'!$D$48-'Assumptions'!$B$48)*('Assumptions'!$C$48-'Assumptions'!$B$48)),'Assumptions'!$D$48-SQRT((1-C1002)*('Assumptions'!$D$48-'Assumptions'!$B$48)*('Assumptions'!$D$48-'Assumptions'!$C$48)))</x:f>
        <x:v>0.09418117344324395</x:v>
      </x:c>
      <x:c r="I1002" s="132" t="n">
        <x:f>IF(D1002&lt;(('Assumptions'!$C$49-'Assumptions'!$B$49)/('Assumptions'!$D$49-'Assumptions'!$B$49)),'Assumptions'!$B$49+SQRT(D1002*('Assumptions'!$D$49-'Assumptions'!$B$49)*('Assumptions'!$C$49-'Assumptions'!$B$49)),'Assumptions'!$D$49-SQRT((1-D1002)*('Assumptions'!$D$49-'Assumptions'!$B$49)*('Assumptions'!$D$49-'Assumptions'!$C$49)))</x:f>
        <x:v>0.0638815396397619</x:v>
      </x:c>
      <x:c r="J1002" s="132" t="n">
        <x:f>IF(E1002&lt;(('Assumptions'!$C$50-'Assumptions'!$B$50)/('Assumptions'!$D$50-'Assumptions'!$B$50)),'Assumptions'!$B$50+SQRT(E1002*('Assumptions'!$D$50-'Assumptions'!$B$50)*('Assumptions'!$C$50-'Assumptions'!$B$50)),'Assumptions'!$D$50-SQRT((1-E1002)*('Assumptions'!$D$50-'Assumptions'!$B$50)*('Assumptions'!$D$50-'Assumptions'!$C$50)))</x:f>
        <x:v>0.06737673547078057</x:v>
      </x:c>
      <x:c r="K1002" s="132" t="n">
        <x:f>IF(F1002&lt;(('Assumptions'!$C$51-'Assumptions'!$B$51)/('Assumptions'!$D$51-'Assumptions'!$B$51)),'Assumptions'!$B$51+SQRT(F1002*('Assumptions'!$D$51-'Assumptions'!$B$51)*('Assumptions'!$C$51-'Assumptions'!$B$51)),'Assumptions'!$D$51-SQRT((1-F1002)*('Assumptions'!$D$51-'Assumptions'!$B$51)*('Assumptions'!$D$51-'Assumptions'!$C$51)))</x:f>
        <x:v>0.07360669045558768</x:v>
      </x:c>
      <x:c r="L1002" s="133" t="n">
        <x:f>(('Assumptions'!$B$17*(1+G1002)+'Assumptions'!$B$18)*(1-H1002-'Assumptions'!$B$20)-SUM('Assumptions'!$B$21:$B$25)*(1+I1002))-(('Assumptions'!$B$17*(1+G1002)+'Assumptions'!$B$18)*(1-H1002-'Assumptions'!$B$20)*'Assumptions'!$B$26)</x:f>
        <x:v>189412.97344036712</x:v>
      </x:c>
      <x:c r="M1002" s="133" t="n">
        <x:f>'Assumptions'!$B$10*'Assumptions'!$B$33</x:f>
        <x:v>1950000</x:v>
      </x:c>
      <x:c r="N1002" s="133" t="n">
        <x:f>-PMT(K1002/12,'Assumptions'!$B$35*12,M1002)*12</x:f>
        <x:v>161389.49715265728</x:v>
      </x:c>
      <x:c r="O1002" s="133" t="n">
        <x:f>(L1002*(1+'Assumptions'!$B$29)^('Assumptions'!$B$14/12)/J1002)*(1-'Assumptions'!$B$42)-'Debt Schedule'!$F$9</x:f>
        <x:v>3063470.722298135</x:v>
      </x:c>
      <x:c r="P1002" s="132" t="n">
        <x:f>((O1002+(L1002-N1002-'Assumptions'!$B$27-'Assumptions'!$B$28)*('Assumptions'!$B$14/12))/ABS('Monthly Cash Flow'!$S$5))^(1/('Assumptions'!$B$14/12))-1</x:f>
        <x:v>0.18333487504299106</x:v>
      </x:c>
      <x:c r="Q1002" s="133" t="n">
        <x:f>-ABS('Monthly Cash Flow'!$S$5)+((L1002-N1002-'Assumptions'!$B$27-'Assumptions'!$B$28)*(1-(1+'Assumptions'!$B$43)^-('Assumptions'!$B$14/12))/'Assumptions'!$B$43)+(O1002/(1+'Assumptions'!$B$43)^('Assumptions'!$B$14/12))</x:f>
        <x:v>562273.8464102868</x:v>
      </x:c>
    </x:row>
    <x:row r="1003">
      <x:c r="A1003" s="131" t="n">
        <x:f>996</x:f>
        <x:v>996</x:v>
      </x:c>
      <x:c r="B1003" s="131" t="n">
        <x:f>MOD(ABS(SIN((A1003+1)*12.9898+78.233)*43758.5453),1)</x:f>
        <x:v>0.761435810563853</x:v>
      </x:c>
      <x:c r="C1003" s="131" t="n">
        <x:f>MOD(ABS(SIN((A1003+2)*12.9898+78.233)*43758.5453),1)</x:f>
        <x:v>0.6566486474621342</x:v>
      </x:c>
      <x:c r="D1003" s="131" t="n">
        <x:f>MOD(ABS(SIN((A1003+3)*12.9898+78.233)*43758.5453),1)</x:f>
        <x:v>0.4335551269323332</x:v>
      </x:c>
      <x:c r="E1003" s="131" t="n">
        <x:f>MOD(ABS(SIN((A1003+4)*12.9898+78.233)*43758.5453),1)</x:f>
        <x:v>0.7302701249354868</x:v>
      </x:c>
      <x:c r="F1003" s="131" t="n">
        <x:f>MOD(ABS(SIN((A1003+5)*12.9898+78.233)*43758.5453),1)</x:f>
        <x:v>0.013259523700980935</x:v>
      </x:c>
      <x:c r="G1003" s="132" t="n">
        <x:f>IF(B1003&lt;(('Assumptions'!$C$47-'Assumptions'!$B$47)/('Assumptions'!$D$47-'Assumptions'!$B$47)),'Assumptions'!$B$47+SQRT(B1003*('Assumptions'!$D$47-'Assumptions'!$B$47)*('Assumptions'!$C$47-'Assumptions'!$B$47)),'Assumptions'!$D$47-SQRT((1-B1003)*('Assumptions'!$D$47-'Assumptions'!$B$47)*('Assumptions'!$D$47-'Assumptions'!$C$47)))</x:f>
        <x:v>0.038217906874415855</x:v>
      </x:c>
      <x:c r="H1003" s="132" t="n">
        <x:f>IF(C1003&lt;(('Assumptions'!$C$48-'Assumptions'!$B$48)/('Assumptions'!$D$48-'Assumptions'!$B$48)),'Assumptions'!$B$48+SQRT(C1003*('Assumptions'!$D$48-'Assumptions'!$B$48)*('Assumptions'!$C$48-'Assumptions'!$B$48)),'Assumptions'!$D$48-SQRT((1-C1003)*('Assumptions'!$D$48-'Assumptions'!$B$48)*('Assumptions'!$D$48-'Assumptions'!$C$48)))</x:f>
        <x:v>0.08503190104857894</x:v>
      </x:c>
      <x:c r="I1003" s="132" t="n">
        <x:f>IF(D1003&lt;(('Assumptions'!$C$49-'Assumptions'!$B$49)/('Assumptions'!$D$49-'Assumptions'!$B$49)),'Assumptions'!$B$49+SQRT(D1003*('Assumptions'!$D$49-'Assumptions'!$B$49)*('Assumptions'!$C$49-'Assumptions'!$B$49)),'Assumptions'!$D$49-SQRT((1-D1003)*('Assumptions'!$D$49-'Assumptions'!$B$49)*('Assumptions'!$D$49-'Assumptions'!$C$49)))</x:f>
        <x:v>0.039387119835610454</x:v>
      </x:c>
      <x:c r="J1003" s="132" t="n">
        <x:f>IF(E1003&lt;(('Assumptions'!$C$50-'Assumptions'!$B$50)/('Assumptions'!$D$50-'Assumptions'!$B$50)),'Assumptions'!$B$50+SQRT(E1003*('Assumptions'!$D$50-'Assumptions'!$B$50)*('Assumptions'!$C$50-'Assumptions'!$B$50)),'Assumptions'!$D$50-SQRT((1-E1003)*('Assumptions'!$D$50-'Assumptions'!$B$50)*('Assumptions'!$D$50-'Assumptions'!$C$50)))</x:f>
        <x:v>0.07129014768426616</x:v>
      </x:c>
      <x:c r="K1003" s="132" t="n">
        <x:f>IF(F1003&lt;(('Assumptions'!$C$51-'Assumptions'!$B$51)/('Assumptions'!$D$51-'Assumptions'!$B$51)),'Assumptions'!$B$51+SQRT(F1003*('Assumptions'!$D$51-'Assumptions'!$B$51)*('Assumptions'!$C$51-'Assumptions'!$B$51)),'Assumptions'!$D$51-SQRT((1-F1003)*('Assumptions'!$D$51-'Assumptions'!$B$51)*('Assumptions'!$D$51-'Assumptions'!$C$51)))</x:f>
        <x:v>0.0594095468095257</x:v>
      </x:c>
      <x:c r="L1003" s="133" t="n">
        <x:f>(('Assumptions'!$B$17*(1+G1003)+'Assumptions'!$B$18)*(1-H1003-'Assumptions'!$B$20)-SUM('Assumptions'!$B$21:$B$25)*(1+I1003))-(('Assumptions'!$B$17*(1+G1003)+'Assumptions'!$B$18)*(1-H1003-'Assumptions'!$B$20)*'Assumptions'!$B$26)</x:f>
        <x:v>209384.96359298754</x:v>
      </x:c>
      <x:c r="M1003" s="133" t="n">
        <x:f>'Assumptions'!$B$10*'Assumptions'!$B$33</x:f>
        <x:v>1950000</x:v>
      </x:c>
      <x:c r="N1003" s="133" t="n">
        <x:f>-PMT(K1003/12,'Assumptions'!$B$35*12,M1003)*12</x:f>
        <x:v>139407.76301280543</x:v>
      </x:c>
      <x:c r="O1003" s="133" t="n">
        <x:f>(L1003*(1+'Assumptions'!$B$29)^('Assumptions'!$B$14/12)/J1003)*(1-'Assumptions'!$B$42)-'Debt Schedule'!$F$9</x:f>
        <x:v>3200589.3333485327</x:v>
      </x:c>
      <x:c r="P1003" s="132" t="n">
        <x:f>((O1003+(L1003-N1003-'Assumptions'!$B$27-'Assumptions'!$B$28)*('Assumptions'!$B$14/12))/ABS('Monthly Cash Flow'!$S$5))^(1/('Assumptions'!$B$14/12))-1</x:f>
        <x:v>0.2094860791318054</x:v>
      </x:c>
      <x:c r="Q1003" s="133" t="n">
        <x:f>-ABS('Monthly Cash Flow'!$S$5)+((L1003-N1003-'Assumptions'!$B$27-'Assumptions'!$B$28)*(1-(1+'Assumptions'!$B$43)^-('Assumptions'!$B$14/12))/'Assumptions'!$B$43)+(O1003/(1+'Assumptions'!$B$43)^('Assumptions'!$B$14/12))</x:f>
        <x:v>806451.3387750473</x:v>
      </x:c>
    </x:row>
    <x:row r="1004">
      <x:c r="A1004" s="131" t="n">
        <x:f>997</x:f>
        <x:v>997</x:v>
      </x:c>
      <x:c r="B1004" s="131" t="n">
        <x:f>MOD(ABS(SIN((A1004+1)*12.9898+78.233)*43758.5453),1)</x:f>
        <x:v>0.6566486474621342</x:v>
      </x:c>
      <x:c r="C1004" s="131" t="n">
        <x:f>MOD(ABS(SIN((A1004+2)*12.9898+78.233)*43758.5453),1)</x:f>
        <x:v>0.4335551269323332</x:v>
      </x:c>
      <x:c r="D1004" s="131" t="n">
        <x:f>MOD(ABS(SIN((A1004+3)*12.9898+78.233)*43758.5453),1)</x:f>
        <x:v>0.7302701249354868</x:v>
      </x:c>
      <x:c r="E1004" s="131" t="n">
        <x:f>MOD(ABS(SIN((A1004+4)*12.9898+78.233)*43758.5453),1)</x:f>
        <x:v>0.013259523700980935</x:v>
      </x:c>
      <x:c r="F1004" s="131" t="n">
        <x:f>MOD(ABS(SIN((A1004+5)*12.9898+78.233)*43758.5453),1)</x:f>
        <x:v>0.8981077960870607</x:v>
      </x:c>
      <x:c r="G1004" s="132" t="n">
        <x:f>IF(B1004&lt;(('Assumptions'!$C$47-'Assumptions'!$B$47)/('Assumptions'!$D$47-'Assumptions'!$B$47)),'Assumptions'!$B$47+SQRT(B1004*('Assumptions'!$D$47-'Assumptions'!$B$47)*('Assumptions'!$C$47-'Assumptions'!$B$47)),'Assumptions'!$D$47-SQRT((1-B1004)*('Assumptions'!$D$47-'Assumptions'!$B$47)*('Assumptions'!$D$47-'Assumptions'!$C$47)))</x:f>
        <x:v>0.025881030494172064</x:v>
      </x:c>
      <x:c r="H1004" s="132" t="n">
        <x:f>IF(C1004&lt;(('Assumptions'!$C$48-'Assumptions'!$B$48)/('Assumptions'!$D$48-'Assumptions'!$B$48)),'Assumptions'!$B$48+SQRT(C1004*('Assumptions'!$D$48-'Assumptions'!$B$48)*('Assumptions'!$C$48-'Assumptions'!$B$48)),'Assumptions'!$D$48-SQRT((1-C1004)*('Assumptions'!$D$48-'Assumptions'!$B$48)*('Assumptions'!$D$48-'Assumptions'!$C$48)))</x:f>
        <x:v>0.06939748670907339</x:v>
      </x:c>
      <x:c r="I1004" s="132" t="n">
        <x:f>IF(D1004&lt;(('Assumptions'!$C$49-'Assumptions'!$B$49)/('Assumptions'!$D$49-'Assumptions'!$B$49)),'Assumptions'!$B$49+SQRT(D1004*('Assumptions'!$D$49-'Assumptions'!$B$49)*('Assumptions'!$C$49-'Assumptions'!$B$49)),'Assumptions'!$D$49-SQRT((1-D1004)*('Assumptions'!$D$49-'Assumptions'!$B$49)*('Assumptions'!$D$49-'Assumptions'!$C$49)))</x:f>
        <x:v>0.07367067862614338</x:v>
      </x:c>
      <x:c r="J1004" s="132" t="n">
        <x:f>IF(E1004&lt;(('Assumptions'!$C$50-'Assumptions'!$B$50)/('Assumptions'!$D$50-'Assumptions'!$B$50)),'Assumptions'!$B$50+SQRT(E1004*('Assumptions'!$D$50-'Assumptions'!$B$50)*('Assumptions'!$C$50-'Assumptions'!$B$50)),'Assumptions'!$D$50-SQRT((1-E1004)*('Assumptions'!$D$50-'Assumptions'!$B$50)*('Assumptions'!$D$50-'Assumptions'!$C$50)))</x:f>
        <x:v>0.05922725007822281</x:v>
      </x:c>
      <x:c r="K1004" s="132" t="n">
        <x:f>IF(F1004&lt;(('Assumptions'!$C$51-'Assumptions'!$B$51)/('Assumptions'!$D$51-'Assumptions'!$B$51)),'Assumptions'!$B$51+SQRT(F1004*('Assumptions'!$D$51-'Assumptions'!$B$51)*('Assumptions'!$C$51-'Assumptions'!$B$51)),'Assumptions'!$D$51-SQRT((1-F1004)*('Assumptions'!$D$51-'Assumptions'!$B$51)*('Assumptions'!$D$51-'Assumptions'!$C$51)))</x:f>
        <x:v>0.07799745595279102</x:v>
      </x:c>
      <x:c r="L1004" s="133" t="n">
        <x:f>(('Assumptions'!$B$17*(1+G1004)+'Assumptions'!$B$18)*(1-H1004-'Assumptions'!$B$20)-SUM('Assumptions'!$B$21:$B$25)*(1+I1004))-(('Assumptions'!$B$17*(1+G1004)+'Assumptions'!$B$18)*(1-H1004-'Assumptions'!$B$20)*'Assumptions'!$B$26)</x:f>
        <x:v>207020.0490943745</x:v>
      </x:c>
      <x:c r="M1004" s="133" t="n">
        <x:f>'Assumptions'!$B$10*'Assumptions'!$B$33</x:f>
        <x:v>1950000</x:v>
      </x:c>
      <x:c r="N1004" s="133" t="n">
        <x:f>-PMT(K1004/12,'Assumptions'!$B$35*12,M1004)*12</x:f>
        <x:v>168445.576102245</x:v>
      </x:c>
      <x:c r="O1004" s="133" t="n">
        <x:f>(L1004*(1+'Assumptions'!$B$29)^('Assumptions'!$B$14/12)/J1004)*(1-'Assumptions'!$B$42)-'Debt Schedule'!$F$9</x:f>
        <x:v>3808945.9991971566</x:v>
      </x:c>
      <x:c r="P1004" s="132" t="n">
        <x:f>((O1004+(L1004-N1004-'Assumptions'!$B$27-'Assumptions'!$B$28)*('Assumptions'!$B$14/12))/ABS('Monthly Cash Flow'!$S$5))^(1/('Assumptions'!$B$14/12))-1</x:f>
        <x:v>0.24044599680322354</x:v>
      </x:c>
      <x:c r="Q1004" s="133" t="n">
        <x:f>-ABS('Monthly Cash Flow'!$S$5)+((L1004-N1004-'Assumptions'!$B$27-'Assumptions'!$B$28)*(1-(1+'Assumptions'!$B$43)^-('Assumptions'!$B$14/12))/'Assumptions'!$B$43)+(O1004/(1+'Assumptions'!$B$43)^('Assumptions'!$B$14/12))</x:f>
        <x:v>1065151.9203615037</x:v>
      </x:c>
    </x:row>
    <x:row r="1005">
      <x:c r="A1005" s="131" t="n">
        <x:f>998</x:f>
        <x:v>998</x:v>
      </x:c>
      <x:c r="B1005" s="131" t="n">
        <x:f>MOD(ABS(SIN((A1005+1)*12.9898+78.233)*43758.5453),1)</x:f>
        <x:v>0.4335551269323332</x:v>
      </x:c>
      <x:c r="C1005" s="131" t="n">
        <x:f>MOD(ABS(SIN((A1005+2)*12.9898+78.233)*43758.5453),1)</x:f>
        <x:v>0.7302701249354868</x:v>
      </x:c>
      <x:c r="D1005" s="131" t="n">
        <x:f>MOD(ABS(SIN((A1005+3)*12.9898+78.233)*43758.5453),1)</x:f>
        <x:v>0.013259523700980935</x:v>
      </x:c>
      <x:c r="E1005" s="131" t="n">
        <x:f>MOD(ABS(SIN((A1005+4)*12.9898+78.233)*43758.5453),1)</x:f>
        <x:v>0.8981077960870607</x:v>
      </x:c>
      <x:c r="F1005" s="131" t="n">
        <x:f>MOD(ABS(SIN((A1005+5)*12.9898+78.233)*43758.5453),1)</x:f>
        <x:v>0.44367221499123843</x:v>
      </x:c>
      <x:c r="G1005" s="132" t="n">
        <x:f>IF(B1005&lt;(('Assumptions'!$C$47-'Assumptions'!$B$47)/('Assumptions'!$D$47-'Assumptions'!$B$47)),'Assumptions'!$B$47+SQRT(B1005*('Assumptions'!$D$47-'Assumptions'!$B$47)*('Assumptions'!$C$47-'Assumptions'!$B$47)),'Assumptions'!$D$47-SQRT((1-B1005)*('Assumptions'!$D$47-'Assumptions'!$B$47)*('Assumptions'!$D$47-'Assumptions'!$C$47)))</x:f>
        <x:v>0.0020064853152778617</x:v>
      </x:c>
      <x:c r="H1005" s="132" t="n">
        <x:f>IF(C1005&lt;(('Assumptions'!$C$48-'Assumptions'!$B$48)/('Assumptions'!$D$48-'Assumptions'!$B$48)),'Assumptions'!$B$48+SQRT(C1005*('Assumptions'!$D$48-'Assumptions'!$B$48)*('Assumptions'!$C$48-'Assumptions'!$B$48)),'Assumptions'!$D$48-SQRT((1-C1005)*('Assumptions'!$D$48-'Assumptions'!$B$48)*('Assumptions'!$D$48-'Assumptions'!$C$48)))</x:f>
        <x:v>0.09128015906668296</x:v>
      </x:c>
      <x:c r="I1005" s="132" t="n">
        <x:f>IF(D1005&lt;(('Assumptions'!$C$49-'Assumptions'!$B$49)/('Assumptions'!$D$49-'Assumptions'!$B$49)),'Assumptions'!$B$49+SQRT(D1005*('Assumptions'!$D$49-'Assumptions'!$B$49)*('Assumptions'!$C$49-'Assumptions'!$B$49)),'Assumptions'!$D$49-SQRT((1-D1005)*('Assumptions'!$D$49-'Assumptions'!$B$49)*('Assumptions'!$D$49-'Assumptions'!$C$49)))</x:f>
        <x:v>-0.018033260428563087</x:v>
      </x:c>
      <x:c r="J1005" s="132" t="n">
        <x:f>IF(E1005&lt;(('Assumptions'!$C$50-'Assumptions'!$B$50)/('Assumptions'!$D$50-'Assumptions'!$B$50)),'Assumptions'!$B$50+SQRT(E1005*('Assumptions'!$D$50-'Assumptions'!$B$50)*('Assumptions'!$C$50-'Assumptions'!$B$50)),'Assumptions'!$D$50-SQRT((1-E1005)*('Assumptions'!$D$50-'Assumptions'!$B$50)*('Assumptions'!$D$50-'Assumptions'!$C$50)))</x:f>
        <x:v>0.07464675964013251</x:v>
      </x:c>
      <x:c r="K1005" s="132" t="n">
        <x:f>IF(F1005&lt;(('Assumptions'!$C$51-'Assumptions'!$B$51)/('Assumptions'!$D$51-'Assumptions'!$B$51)),'Assumptions'!$B$51+SQRT(F1005*('Assumptions'!$D$51-'Assumptions'!$B$51)*('Assumptions'!$C$51-'Assumptions'!$B$51)),'Assumptions'!$D$51-SQRT((1-F1005)*('Assumptions'!$D$51-'Assumptions'!$B$51)*('Assumptions'!$D$51-'Assumptions'!$C$51)))</x:f>
        <x:v>0.06863745904404006</x:v>
      </x:c>
      <x:c r="L1005" s="133" t="n">
        <x:f>(('Assumptions'!$B$17*(1+G1005)+'Assumptions'!$B$18)*(1-H1005-'Assumptions'!$B$20)-SUM('Assumptions'!$B$21:$B$25)*(1+I1005))-(('Assumptions'!$B$17*(1+G1005)+'Assumptions'!$B$18)*(1-H1005-'Assumptions'!$B$20)*'Assumptions'!$B$26)</x:f>
        <x:v>203022.85616914573</x:v>
      </x:c>
      <x:c r="M1005" s="133" t="n">
        <x:f>'Assumptions'!$B$10*'Assumptions'!$B$33</x:f>
        <x:v>1950000</x:v>
      </x:c>
      <x:c r="N1005" s="133" t="n">
        <x:f>-PMT(K1005/12,'Assumptions'!$B$35*12,M1005)*12</x:f>
        <x:v>153545.41964292905</x:v>
      </x:c>
      <x:c r="O1005" s="133" t="n">
        <x:f>(L1005*(1+'Assumptions'!$B$29)^('Assumptions'!$B$14/12)/J1005)*(1-'Assumptions'!$B$42)-'Debt Schedule'!$F$9</x:f>
        <x:v>2963793.5617696964</x:v>
      </x:c>
      <x:c r="P1005" s="132" t="n">
        <x:f>((O1005+(L1005-N1005-'Assumptions'!$B$27-'Assumptions'!$B$28)*('Assumptions'!$B$14/12))/ABS('Monthly Cash Flow'!$S$5))^(1/('Assumptions'!$B$14/12))-1</x:f>
        <x:v>0.18393253125857667</x:v>
      </x:c>
      <x:c r="Q1005" s="133" t="n">
        <x:f>-ABS('Monthly Cash Flow'!$S$5)+((L1005-N1005-'Assumptions'!$B$27-'Assumptions'!$B$28)*(1-(1+'Assumptions'!$B$43)^-('Assumptions'!$B$14/12))/'Assumptions'!$B$43)+(O1005/(1+'Assumptions'!$B$43)^('Assumptions'!$B$14/12))</x:f>
        <x:v>581709.5606397358</x:v>
      </x:c>
    </x:row>
    <x:row r="1006">
      <x:c r="A1006" s="131" t="n">
        <x:f>999</x:f>
        <x:v>999</x:v>
      </x:c>
      <x:c r="B1006" s="131" t="n">
        <x:f>MOD(ABS(SIN((A1006+1)*12.9898+78.233)*43758.5453),1)</x:f>
        <x:v>0.7302701249354868</x:v>
      </x:c>
      <x:c r="C1006" s="131" t="n">
        <x:f>MOD(ABS(SIN((A1006+2)*12.9898+78.233)*43758.5453),1)</x:f>
        <x:v>0.013259523700980935</x:v>
      </x:c>
      <x:c r="D1006" s="131" t="n">
        <x:f>MOD(ABS(SIN((A1006+3)*12.9898+78.233)*43758.5453),1)</x:f>
        <x:v>0.8981077960870607</x:v>
      </x:c>
      <x:c r="E1006" s="131" t="n">
        <x:f>MOD(ABS(SIN((A1006+4)*12.9898+78.233)*43758.5453),1)</x:f>
        <x:v>0.44367221499123843</x:v>
      </x:c>
      <x:c r="F1006" s="131" t="n">
        <x:f>MOD(ABS(SIN((A1006+5)*12.9898+78.233)*43758.5453),1)</x:f>
        <x:v>0.7987698920478579</x:v>
      </x:c>
      <x:c r="G1006" s="132" t="n">
        <x:f>IF(B1006&lt;(('Assumptions'!$C$47-'Assumptions'!$B$47)/('Assumptions'!$D$47-'Assumptions'!$B$47)),'Assumptions'!$B$47+SQRT(B1006*('Assumptions'!$D$47-'Assumptions'!$B$47)*('Assumptions'!$C$47-'Assumptions'!$B$47)),'Assumptions'!$D$47-SQRT((1-B1006)*('Assumptions'!$D$47-'Assumptions'!$B$47)*('Assumptions'!$D$47-'Assumptions'!$C$47)))</x:f>
        <x:v>0.034306179887053215</x:v>
      </x:c>
      <x:c r="H1006" s="132" t="n">
        <x:f>IF(C1006&lt;(('Assumptions'!$C$48-'Assumptions'!$B$48)/('Assumptions'!$D$48-'Assumptions'!$B$48)),'Assumptions'!$B$48+SQRT(C1006*('Assumptions'!$D$48-'Assumptions'!$B$48)*('Assumptions'!$C$48-'Assumptions'!$B$48)),'Assumptions'!$D$48-SQRT((1-C1006)*('Assumptions'!$D$48-'Assumptions'!$B$48)*('Assumptions'!$D$48-'Assumptions'!$C$48)))</x:f>
        <x:v>0.0366148641870591</x:v>
      </x:c>
      <x:c r="I1006" s="132" t="n">
        <x:f>IF(D1006&lt;(('Assumptions'!$C$49-'Assumptions'!$B$49)/('Assumptions'!$D$49-'Assumptions'!$B$49)),'Assumptions'!$B$49+SQRT(D1006*('Assumptions'!$D$49-'Assumptions'!$B$49)*('Assumptions'!$C$49-'Assumptions'!$B$49)),'Assumptions'!$D$49-SQRT((1-D1006)*('Assumptions'!$D$49-'Assumptions'!$B$49)*('Assumptions'!$D$49-'Assumptions'!$C$49)))</x:f>
        <x:v>0.10308655198645607</x:v>
      </x:c>
      <x:c r="J1006" s="132" t="n">
        <x:f>IF(E1006&lt;(('Assumptions'!$C$50-'Assumptions'!$B$50)/('Assumptions'!$D$50-'Assumptions'!$B$50)),'Assumptions'!$B$50+SQRT(E1006*('Assumptions'!$D$50-'Assumptions'!$B$50)*('Assumptions'!$C$50-'Assumptions'!$B$50)),'Assumptions'!$D$50-SQRT((1-E1006)*('Assumptions'!$D$50-'Assumptions'!$B$50)*('Assumptions'!$D$50-'Assumptions'!$C$50)))</x:f>
        <x:v>0.06749130864166596</x:v>
      </x:c>
      <x:c r="K1006" s="132" t="n">
        <x:f>IF(F1006&lt;(('Assumptions'!$C$51-'Assumptions'!$B$51)/('Assumptions'!$D$51-'Assumptions'!$B$51)),'Assumptions'!$B$51+SQRT(F1006*('Assumptions'!$D$51-'Assumptions'!$B$51)*('Assumptions'!$C$51-'Assumptions'!$B$51)),'Assumptions'!$D$51-SQRT((1-F1006)*('Assumptions'!$D$51-'Assumptions'!$B$51)*('Assumptions'!$D$51-'Assumptions'!$C$51)))</x:f>
        <x:v>0.07515916723788234</x:v>
      </x:c>
      <x:c r="L1006" s="133" t="n">
        <x:f>(('Assumptions'!$B$17*(1+G1006)+'Assumptions'!$B$18)*(1-H1006-'Assumptions'!$B$20)-SUM('Assumptions'!$B$21:$B$25)*(1+I1006))-(('Assumptions'!$B$17*(1+G1006)+'Assumptions'!$B$18)*(1-H1006-'Assumptions'!$B$20)*'Assumptions'!$B$26)</x:f>
        <x:v>218279.03241462936</x:v>
      </x:c>
      <x:c r="M1006" s="133" t="n">
        <x:f>'Assumptions'!$B$10*'Assumptions'!$B$33</x:f>
        <x:v>1950000</x:v>
      </x:c>
      <x:c r="N1006" s="133" t="n">
        <x:f>-PMT(K1006/12,'Assumptions'!$B$35*12,M1006)*12</x:f>
        <x:v>163871.3074579236</x:v>
      </x:c>
      <x:c r="O1006" s="133" t="n">
        <x:f>(L1006*(1+'Assumptions'!$B$29)^('Assumptions'!$B$14/12)/J1006)*(1-'Assumptions'!$B$42)-'Debt Schedule'!$F$9</x:f>
        <x:v>3524342.832200321</x:v>
      </x:c>
      <x:c r="P1006" s="132" t="n">
        <x:f>((O1006+(L1006-N1006-'Assumptions'!$B$27-'Assumptions'!$B$28)*('Assumptions'!$B$14/12))/ABS('Monthly Cash Flow'!$S$5))^(1/('Assumptions'!$B$14/12))-1</x:f>
        <x:v>0.22674060042542377</x:v>
      </x:c>
      <x:c r="Q1006" s="133" t="n">
        <x:f>-ABS('Monthly Cash Flow'!$S$5)+((L1006-N1006-'Assumptions'!$B$27-'Assumptions'!$B$28)*(1-(1+'Assumptions'!$B$43)^-('Assumptions'!$B$14/12))/'Assumptions'!$B$43)+(O1006/(1+'Assumptions'!$B$43)^('Assumptions'!$B$14/12))</x:f>
        <x:v>948456.2274270288</x:v>
      </x:c>
    </x:row>
    <x:row r="1007">
      <x:c r="A1007" s="131" t="n">
        <x:f>1000</x:f>
        <x:v>1000</x:v>
      </x:c>
      <x:c r="B1007" s="131" t="n">
        <x:f>MOD(ABS(SIN((A1007+1)*12.9898+78.233)*43758.5453),1)</x:f>
        <x:v>0.013259523700980935</x:v>
      </x:c>
      <x:c r="C1007" s="131" t="n">
        <x:f>MOD(ABS(SIN((A1007+2)*12.9898+78.233)*43758.5453),1)</x:f>
        <x:v>0.8981077960870607</x:v>
      </x:c>
      <x:c r="D1007" s="131" t="n">
        <x:f>MOD(ABS(SIN((A1007+3)*12.9898+78.233)*43758.5453),1)</x:f>
        <x:v>0.44367221499123843</x:v>
      </x:c>
      <x:c r="E1007" s="131" t="n">
        <x:f>MOD(ABS(SIN((A1007+4)*12.9898+78.233)*43758.5453),1)</x:f>
        <x:v>0.7987698920478579</x:v>
      </x:c>
      <x:c r="F1007" s="131" t="n">
        <x:f>MOD(ABS(SIN((A1007+5)*12.9898+78.233)*43758.5453),1)</x:f>
        <x:v>0.40624937190295896</x:v>
      </x:c>
      <x:c r="G1007" s="132" t="n">
        <x:f>IF(B1007&lt;(('Assumptions'!$C$47-'Assumptions'!$B$47)/('Assumptions'!$D$47-'Assumptions'!$B$47)),'Assumptions'!$B$47+SQRT(B1007*('Assumptions'!$D$47-'Assumptions'!$B$47)*('Assumptions'!$C$47-'Assumptions'!$B$47)),'Assumptions'!$D$47-SQRT((1-B1007)*('Assumptions'!$D$47-'Assumptions'!$B$47)*('Assumptions'!$D$47-'Assumptions'!$C$47)))</x:f>
        <x:v>-0.08216103789948691</x:v>
      </x:c>
      <x:c r="H1007" s="132" t="n">
        <x:f>IF(C1007&lt;(('Assumptions'!$C$48-'Assumptions'!$B$48)/('Assumptions'!$D$48-'Assumptions'!$B$48)),'Assumptions'!$B$48+SQRT(C1007*('Assumptions'!$D$48-'Assumptions'!$B$48)*('Assumptions'!$C$48-'Assumptions'!$B$48)),'Assumptions'!$D$48-SQRT((1-C1007)*('Assumptions'!$D$48-'Assumptions'!$B$48)*('Assumptions'!$D$48-'Assumptions'!$C$48)))</x:f>
        <x:v>0.11005586210234355</x:v>
      </x:c>
      <x:c r="I1007" s="132" t="n">
        <x:f>IF(D1007&lt;(('Assumptions'!$C$49-'Assumptions'!$B$49)/('Assumptions'!$D$49-'Assumptions'!$B$49)),'Assumptions'!$B$49+SQRT(D1007*('Assumptions'!$D$49-'Assumptions'!$B$49)*('Assumptions'!$C$49-'Assumptions'!$B$49)),'Assumptions'!$D$49-SQRT((1-D1007)*('Assumptions'!$D$49-'Assumptions'!$B$49)*('Assumptions'!$D$49-'Assumptions'!$C$49)))</x:f>
        <x:v>0.040379380789063</x:v>
      </x:c>
      <x:c r="J1007" s="132" t="n">
        <x:f>IF(E1007&lt;(('Assumptions'!$C$50-'Assumptions'!$B$50)/('Assumptions'!$D$50-'Assumptions'!$B$50)),'Assumptions'!$B$50+SQRT(E1007*('Assumptions'!$D$50-'Assumptions'!$B$50)*('Assumptions'!$C$50-'Assumptions'!$B$50)),'Assumptions'!$D$50-SQRT((1-E1007)*('Assumptions'!$D$50-'Assumptions'!$B$50)*('Assumptions'!$D$50-'Assumptions'!$C$50)))</x:f>
        <x:v>0.07247697083206904</x:v>
      </x:c>
      <x:c r="K1007" s="132" t="n">
        <x:f>IF(F1007&lt;(('Assumptions'!$C$51-'Assumptions'!$B$51)/('Assumptions'!$D$51-'Assumptions'!$B$51)),'Assumptions'!$B$51+SQRT(F1007*('Assumptions'!$D$51-'Assumptions'!$B$51)*('Assumptions'!$C$51-'Assumptions'!$B$51)),'Assumptions'!$D$51-SQRT((1-F1007)*('Assumptions'!$D$51-'Assumptions'!$B$51)*('Assumptions'!$D$51-'Assumptions'!$C$51)))</x:f>
        <x:v>0.06809608063874828</x:v>
      </x:c>
      <x:c r="L1007" s="133" t="n">
        <x:f>(('Assumptions'!$B$17*(1+G1007)+'Assumptions'!$B$18)*(1-H1007-'Assumptions'!$B$20)-SUM('Assumptions'!$B$21:$B$25)*(1+I1007))-(('Assumptions'!$B$17*(1+G1007)+'Assumptions'!$B$18)*(1-H1007-'Assumptions'!$B$20)*'Assumptions'!$B$26)</x:f>
        <x:v>163240.4408428636</x:v>
      </x:c>
      <x:c r="M1007" s="133" t="n">
        <x:f>'Assumptions'!$B$10*'Assumptions'!$B$33</x:f>
        <x:v>1950000</x:v>
      </x:c>
      <x:c r="N1007" s="133" t="n">
        <x:f>-PMT(K1007/12,'Assumptions'!$B$35*12,M1007)*12</x:f>
        <x:v>152700.28528999584</x:v>
      </x:c>
      <x:c r="O1007" s="133" t="n">
        <x:f>(L1007*(1+'Assumptions'!$B$29)^('Assumptions'!$B$14/12)/J1007)*(1-'Assumptions'!$B$42)-'Debt Schedule'!$F$9</x:f>
        <x:v>2454379.4290439487</x:v>
      </x:c>
      <x:c r="P1007" s="132" t="n">
        <x:f>((O1007+(L1007-N1007-'Assumptions'!$B$27-'Assumptions'!$B$28)*('Assumptions'!$B$14/12))/ABS('Monthly Cash Flow'!$S$5))^(1/('Assumptions'!$B$14/12))-1</x:f>
        <x:v>0.12251493427039817</x:v>
      </x:c>
      <x:c r="Q1007" s="133" t="n">
        <x:f>-ABS('Monthly Cash Flow'!$S$5)+((L1007-N1007-'Assumptions'!$B$27-'Assumptions'!$B$28)*(1-(1+'Assumptions'!$B$43)^-('Assumptions'!$B$14/12))/'Assumptions'!$B$43)+(O1007/(1+'Assumptions'!$B$43)^('Assumptions'!$B$14/12))</x:f>
        <x:v>117800.53381212219</x:v>
      </x:c>
    </x:row>
  </x:sheetData>
  <x:mergeCells>
    <x:mergeCell ref="A1:Q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6" hidden="0" customWidth="1"/>
  </x:cols>
  <x:sheetData>
    <x:row r="1" ht="34" customHeight="1">
      <x:c r="A1" s="26" t="str">
        <x:v>Checks</x:v>
      </x:c>
    </x:row>
    <x:row r="2">
      <x:c r="A2" s="27" t="str">
        <x:v>Each assertion has one owner, one tolerance, and one remediation note.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4">
      <x:c r="A4" s="85" t="str">
        <x:v>Check</x:v>
      </x:c>
      <x:c r="B4" s="86" t="str">
        <x:v>Actual</x:v>
      </x:c>
      <x:c r="C4" s="86" t="str">
        <x:v>Expected</x:v>
      </x:c>
      <x:c r="D4" s="86" t="str">
        <x:v>Difference</x:v>
      </x:c>
      <x:c r="E4" s="86" t="str">
        <x:v>Tolerance</x:v>
      </x:c>
      <x:c r="F4" s="86" t="str">
        <x:v>Status</x:v>
      </x:c>
      <x:c r="G4" s="87" t="str">
        <x:v>Notes</x:v>
      </x:c>
    </x:row>
    <x:row r="5">
      <x:c r="A5" t="str">
        <x:v>Sources and uses tie</x:v>
      </x:c>
      <x:c r="B5" t="n">
        <x:f>'Monthly Cash Flow'!$T$5-'Executive Summary'!$B$9</x:f>
        <x:v>0</x:v>
      </x:c>
      <x:c r="C5" t="n">
        <x:f>0</x:f>
        <x:v>0</x:v>
      </x:c>
      <x:c r="D5" t="n">
        <x:f>B5-C5</x:f>
        <x:v>0</x:v>
      </x:c>
      <x:c r="E5" t="n">
        <x:f>1</x:f>
        <x:v>1</x:v>
      </x:c>
      <x:c r="F5" t="str">
        <x:f>IF(ABS(D5)&lt;=E5,"OK","FAIL")</x:f>
        <x:v>OK</x:v>
      </x:c>
      <x:c r="G5" s="143" t="str">
        <x:v>Loan sources should reconcile.</x:v>
      </x:c>
    </x:row>
    <x:row r="6">
      <x:c r="A6" t="str">
        <x:v>Ending debt non-negative</x:v>
      </x:c>
      <x:c r="B6" t="n">
        <x:f>'Monthly Cash Flow'!$T$65</x:f>
        <x:v>0</x:v>
      </x:c>
      <x:c r="C6" t="n">
        <x:f>0</x:f>
        <x:v>0</x:v>
      </x:c>
      <x:c r="D6" t="n">
        <x:f>B6-C6</x:f>
        <x:v>0</x:v>
      </x:c>
      <x:c r="E6" t="n">
        <x:f>1</x:f>
        <x:v>1</x:v>
      </x:c>
      <x:c r="F6" t="str">
        <x:f>IF(ABS(D6)&lt;=E6,"OK","FAIL")</x:f>
        <x:v>OK</x:v>
      </x:c>
      <x:c r="G6" s="143" t="str">
        <x:v>Debt balance cannot fall below zero.</x:v>
      </x:c>
    </x:row>
    <x:row r="7">
      <x:c r="A7" t="str">
        <x:v>Cash-flow months match hold period</x:v>
      </x:c>
      <x:c r="B7" t="n">
        <x:f>MAX('Monthly Cash Flow'!$A$5:$A$65)</x:f>
        <x:v>60</x:v>
      </x:c>
      <x:c r="C7" t="n">
        <x:f>'Assumptions'!$B$14</x:f>
        <x:v>60</x:v>
      </x:c>
      <x:c r="D7" t="n">
        <x:f>B7-C7</x:f>
        <x:v>0</x:v>
      </x:c>
      <x:c r="E7" t="n">
        <x:f>0</x:f>
        <x:v>0</x:v>
      </x:c>
      <x:c r="F7" t="str">
        <x:f>IF(ABS(D7)&lt;=E7,"OK","FAIL")</x:f>
        <x:v>OK</x:v>
      </x:c>
      <x:c r="G7" s="143" t="str">
        <x:v>Schedule length must match hold period.</x:v>
      </x:c>
    </x:row>
    <x:row r="8">
      <x:c r="A8" t="str">
        <x:v>Exit cap rate positive</x:v>
      </x:c>
      <x:c r="B8" t="n">
        <x:f>'Assumptions'!$B$41</x:f>
        <x:v>0.065</x:v>
      </x:c>
      <x:c r="C8" t="n">
        <x:f>0.0001</x:f>
        <x:v>0.0001</x:v>
      </x:c>
      <x:c r="D8" t="n">
        <x:f>B8-C8</x:f>
        <x:v>0.0649</x:v>
      </x:c>
      <x:c r="E8" t="n">
        <x:f>0</x:f>
        <x:v>0</x:v>
      </x:c>
      <x:c r="F8" t="str">
        <x:f>IF(B8&gt;C8,"OK","FAIL")</x:f>
        <x:v>OK</x:v>
      </x:c>
      <x:c r="G8" s="143" t="str">
        <x:v>Exit cap must be a positive market assumption.</x:v>
      </x:c>
    </x:row>
    <x:row r="9">
      <x:c r="A9" t="str">
        <x:v>DSCR above lender floor</x:v>
      </x:c>
      <x:c r="B9" t="n">
        <x:f>'Executive Summary'!$B$16</x:f>
        <x:v>1.951833156271425</x:v>
      </x:c>
      <x:c r="C9" t="n">
        <x:f>1.20</x:f>
        <x:v>1.2</x:v>
      </x:c>
      <x:c r="D9" t="n">
        <x:f>B9-C9</x:f>
        <x:v>0.7518331562714251</x:v>
      </x:c>
      <x:c r="E9" t="n">
        <x:f>0</x:f>
        <x:v>0</x:v>
      </x:c>
      <x:c r="F9" t="str">
        <x:f>IF(B9&gt;=C9,"OK","FAIL")</x:f>
        <x:v>OK</x:v>
      </x:c>
      <x:c r="G9" s="143" t="str">
        <x:v>Minimum committee floor is 1.20x.</x:v>
      </x:c>
    </x:row>
    <x:row r="10">
      <x:c r="A10" t="str">
        <x:v>Monte Carlo iterations complete</x:v>
      </x:c>
      <x:c r="B10" t="n">
        <x:f>COUNT('Monte Carlo'!$P$8:$P$1007)</x:f>
        <x:v>1000</x:v>
      </x:c>
      <x:c r="C10" t="n">
        <x:f>'Assumptions'!$B$53</x:f>
        <x:v>1000</x:v>
      </x:c>
      <x:c r="D10" t="n">
        <x:f>B10-C10</x:f>
        <x:v>0</x:v>
      </x:c>
      <x:c r="E10" t="n">
        <x:f>0</x:f>
        <x:v>0</x:v>
      </x:c>
      <x:c r="F10" t="str">
        <x:f>IF(B10=C10,"OK","FAIL")</x:f>
        <x:v>OK</x:v>
      </x:c>
      <x:c r="G10" s="143" t="str">
        <x:v>All requested simulations should calculate.</x:v>
      </x:c>
    </x:row>
    <x:row r="11">
      <x:c r="A11" t="str">
        <x:v>Property address populated</x:v>
      </x:c>
      <x:c r="B11" t="n">
        <x:f>LEN('Assumptions'!$B$5)</x:f>
        <x:v>32</x:v>
      </x:c>
      <x:c r="C11" t="n">
        <x:f>10</x:f>
        <x:v>10</x:v>
      </x:c>
      <x:c r="D11" t="n">
        <x:f>B11-C11</x:f>
        <x:v>22</x:v>
      </x:c>
      <x:c r="E11" t="n">
        <x:f>0</x:f>
        <x:v>0</x:v>
      </x:c>
      <x:c r="F11" t="str">
        <x:f>IF(B11&gt;=C11,"OK","FAIL")</x:f>
        <x:v>OK</x:v>
      </x:c>
      <x:c r="G11" s="143" t="str">
        <x:v>Address should be specific enough for provider lookup.</x:v>
      </x:c>
    </x:row>
    <x:row r="12">
      <x:c r="A12" t="str">
        <x:v>Overall model status</x:v>
      </x:c>
      <x:c r="F12" t="str">
        <x:f>IF(COUNTIF(F5:F11,"FAIL")=0,"OK","FAIL")</x:f>
        <x:v>OK</x:v>
      </x:c>
      <x:c r="G12" s="143" t="str">
        <x:v>Resolve all failed checks before reliance.</x:v>
      </x:c>
    </x:row>
  </x:sheetData>
  <x:mergeCells>
    <x:mergeCell ref="A1:G1"/>
    <x:mergeCell ref="A2:J2"/>
  </x:mergeCells>
  <x:conditionalFormatting sqref="F5:F12">
    <x:cfRule type="containsText" dxfId="2" priority="1" operator="containsText" text="OK"/>
    <x:cfRule type="containsText" dxfId="3" priority="2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54" hidden="0" customWidth="1"/>
  </x:cols>
  <x:sheetData>
    <x:row r="1" ht="34" customHeight="1">
      <x:c r="A1" s="26" t="str">
        <x:v>Sources &amp; Audit</x:v>
      </x:c>
    </x:row>
    <x:row r="2">
      <x:c r="A2" s="27" t="str">
        <x:v>Source catalog, model conventions, and limitations for diligence review.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4">
      <x:c r="A4" s="85" t="str">
        <x:v>Source ID</x:v>
      </x:c>
      <x:c r="B4" s="86" t="str">
        <x:v>Input / Topic</x:v>
      </x:c>
      <x:c r="C4" s="86" t="str">
        <x:v>Value / Coverage</x:v>
      </x:c>
      <x:c r="D4" s="86" t="str">
        <x:v>Units</x:v>
      </x:c>
      <x:c r="E4" s="86" t="str">
        <x:v>As-of</x:v>
      </x:c>
      <x:c r="F4" s="86" t="str">
        <x:v>Source</x:v>
      </x:c>
      <x:c r="G4" s="86" t="str">
        <x:v>URL</x:v>
      </x:c>
      <x:c r="H4" s="87" t="str">
        <x:v>Audit note</x:v>
      </x:c>
    </x:row>
    <x:row r="5">
      <x:c r="A5" s="143" t="str">
        <x:v>SRC-01</x:v>
      </x:c>
      <x:c r="B5" s="143" t="str">
        <x:v>Property record provider</x:v>
      </x:c>
      <x:c r="C5" s="143" t="str">
        <x:v>US residential and commercial public records</x:v>
      </x:c>
      <x:c r="D5" s="143" t="str">
        <x:v>Coverage</x:v>
      </x:c>
      <x:c r="E5" s="146" t="n">
        <x:v>46213.7795099537</x:v>
      </x:c>
      <x:c r="F5" s="143" t="str">
        <x:v>RentCast</x:v>
      </x:c>
      <x:c r="G5" s="147" t="str">
        <x:v>https://developers.rentcast.io/reference/property-data</x:v>
      </x:c>
      <x:c r="H5" s="143" t="str">
        <x:v>Availability and freshness vary by county and state.</x:v>
      </x:c>
    </x:row>
    <x:row r="6">
      <x:c r="A6" s="143" t="str">
        <x:v>SRC-02</x:v>
      </x:c>
      <x:c r="B6" s="143" t="str">
        <x:v>Address autocomplete</x:v>
      </x:c>
      <x:c r="C6" s="143" t="str">
        <x:v>Interactive address and place suggestions</x:v>
      </x:c>
      <x:c r="D6" s="143" t="str">
        <x:v>Coverage</x:v>
      </x:c>
      <x:c r="E6" s="146" t="n">
        <x:v>46213.7795099537</x:v>
      </x:c>
      <x:c r="F6" s="143" t="str">
        <x:v>Mapbox Search Box</x:v>
      </x:c>
      <x:c r="G6" s="147" t="str">
        <x:v>https://docs.mapbox.com/api/search/search-box/</x:v>
      </x:c>
      <x:c r="H6" s="143" t="str">
        <x:v>Session token and access token required; returned data is for temporary use.</x:v>
      </x:c>
    </x:row>
    <x:row r="7">
      <x:c r="A7" s="143" t="str">
        <x:v>SRC-03</x:v>
      </x:c>
      <x:c r="B7" s="143" t="str">
        <x:v>Property address</x:v>
      </x:c>
      <x:c r="C7" s="143" t="str">
        <x:v>User / provider input</x:v>
      </x:c>
      <x:c r="D7" s="143" t="str">
        <x:v>Text</x:v>
      </x:c>
      <x:c r="E7" s="146" t="n">
        <x:v>46213.7795099537</x:v>
      </x:c>
      <x:c r="F7" s="143" t="str">
        <x:v>Assumptions</x:v>
      </x:c>
      <x:c r="G7" s="147" t="str"/>
      <x:c r="H7" s="143" t="str">
        <x:v>Verify legal address, parcel, unit, and jurisdiction.</x:v>
      </x:c>
    </x:row>
    <x:row r="8">
      <x:c r="A8" s="143" t="str">
        <x:v>SRC-04</x:v>
      </x:c>
      <x:c r="B8" s="143" t="str">
        <x:v>Rent and operating assumptions</x:v>
      </x:c>
      <x:c r="C8" s="143" t="str">
        <x:v>User input</x:v>
      </x:c>
      <x:c r="D8" s="143" t="str">
        <x:v>USD / %</x:v>
      </x:c>
      <x:c r="E8" s="146" t="n">
        <x:v>46213.7795099537</x:v>
      </x:c>
      <x:c r="F8" s="143" t="str">
        <x:v>Assumptions</x:v>
      </x:c>
      <x:c r="G8" s="147" t="str"/>
      <x:c r="H8" s="143" t="str">
        <x:v>Support with leases, rent roll, trailing statements, and market evidence.</x:v>
      </x:c>
    </x:row>
    <x:row r="9">
      <x:c r="A9" s="143" t="str">
        <x:v>SRC-05</x:v>
      </x:c>
      <x:c r="B9" s="143" t="str">
        <x:v>Debt assumptions</x:v>
      </x:c>
      <x:c r="C9" s="143" t="str">
        <x:v>User input</x:v>
      </x:c>
      <x:c r="D9" s="143" t="str">
        <x:v>% / months</x:v>
      </x:c>
      <x:c r="E9" s="146" t="n">
        <x:v>46213.7795099537</x:v>
      </x:c>
      <x:c r="F9" s="143" t="str">
        <x:v>Assumptions</x:v>
      </x:c>
      <x:c r="G9" s="147" t="str"/>
      <x:c r="H9" s="143" t="str">
        <x:v>Replace with lender term sheet and fee schedule.</x:v>
      </x:c>
    </x:row>
    <x:row r="10">
      <x:c r="A10" s="143" t="str">
        <x:v>SRC-06</x:v>
      </x:c>
      <x:c r="B10" s="143" t="str">
        <x:v>Exit capitalization rate</x:v>
      </x:c>
      <x:c r="C10" s="143" t="str">
        <x:v>User input</x:v>
      </x:c>
      <x:c r="D10" s="143" t="str">
        <x:v>%</x:v>
      </x:c>
      <x:c r="E10" s="146" t="n">
        <x:v>46213.7795099537</x:v>
      </x:c>
      <x:c r="F10" s="143" t="str">
        <x:v>Assumptions</x:v>
      </x:c>
      <x:c r="G10" s="147" t="str"/>
      <x:c r="H10" s="143" t="str">
        <x:v>Support with current market transactions and broker / appraisal evidence.</x:v>
      </x:c>
    </x:row>
    <x:row r="11">
      <x:c r="A11" s="143" t="str">
        <x:v>SRC-07</x:v>
      </x:c>
      <x:c r="B11" s="143" t="str">
        <x:v>Monte Carlo distributions</x:v>
      </x:c>
      <x:c r="C11" s="143" t="str">
        <x:v>User input</x:v>
      </x:c>
      <x:c r="D11" s="143" t="str">
        <x:v>%</x:v>
      </x:c>
      <x:c r="E11" s="146" t="n">
        <x:v>46213.7795099537</x:v>
      </x:c>
      <x:c r="F11" s="143" t="str">
        <x:v>Assumptions</x:v>
      </x:c>
      <x:c r="G11" s="147" t="str"/>
      <x:c r="H11" s="143" t="str">
        <x:v>Triangular distributions do not infer correlation or fat-tail events.</x:v>
      </x:c>
    </x:row>
    <x:row r="12">
      <x:c r="A12" s="143" t="str">
        <x:v>SRC-08</x:v>
      </x:c>
      <x:c r="B12" s="143" t="str">
        <x:v>Formula methodology</x:v>
      </x:c>
      <x:c r="C12" s="143" t="str">
        <x:v>Monthly levered cash flow; annualized IRR</x:v>
      </x:c>
      <x:c r="D12" s="143" t="str">
        <x:v>Convention</x:v>
      </x:c>
      <x:c r="E12" s="146" t="n">
        <x:v>46213.7795099537</x:v>
      </x:c>
      <x:c r="F12" s="143" t="str">
        <x:v>DiamondEcho</x:v>
      </x:c>
      <x:c r="G12" s="147" t="str"/>
      <x:c r="H12" s="143" t="str">
        <x:v>Formula version 1.1; compare with deterministic backend trace.</x:v>
      </x:c>
    </x:row>
  </x:sheetData>
  <x:mergeCells>
    <x:mergeCell ref="A1:H1"/>
    <x:mergeCell ref="A2:J2"/>
  </x:mergeCells>
  <x:pageMargins left="0.7" right="0.7" top="0.75" bottom="0.75" header="0.3" footer="0.3"/>
</x:worksheet>
</file>